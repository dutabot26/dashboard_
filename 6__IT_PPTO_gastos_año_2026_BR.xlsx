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ftms-my.sharepoint.com/personal/ginna_castro_craftmulti_com/Documents/Ginna Castro C/Proyectos/PPTO Admtivo 2025/2026/Budget Brasil 2026/Enero 2026/"/>
    </mc:Choice>
  </mc:AlternateContent>
  <xr:revisionPtr revIDLastSave="0" documentId="8_{86CEB8FA-B943-40BF-9668-11114B2EA02A}" xr6:coauthVersionLast="47" xr6:coauthVersionMax="47" xr10:uidLastSave="{00000000-0000-0000-0000-000000000000}"/>
  <bookViews>
    <workbookView xWindow="-110" yWindow="-110" windowWidth="19420" windowHeight="10300" xr2:uid="{4384132D-6F91-4E7D-8556-93AC548C1000}"/>
  </bookViews>
  <sheets>
    <sheet name="PPTO mensual 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E23" i="1" l="1"/>
  <c r="E8" i="1"/>
  <c r="O8" i="1"/>
  <c r="O22" i="1" l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7" i="1"/>
  <c r="O6" i="1"/>
  <c r="O5" i="1"/>
  <c r="O4" i="1"/>
  <c r="E2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4" i="1"/>
  <c r="B23" i="1"/>
  <c r="C23" i="1"/>
  <c r="C24" i="1" s="1"/>
  <c r="B24" i="1" l="1"/>
  <c r="D23" i="1"/>
  <c r="D24" i="1" s="1"/>
  <c r="F23" i="1" l="1"/>
  <c r="F24" i="1" s="1"/>
  <c r="G23" i="1" l="1"/>
  <c r="G24" i="1" s="1"/>
  <c r="H23" i="1" l="1"/>
  <c r="H24" i="1" s="1"/>
  <c r="I23" i="1" l="1"/>
  <c r="I24" i="1" s="1"/>
  <c r="J23" i="1" l="1"/>
  <c r="J24" i="1" s="1"/>
  <c r="K23" i="1" l="1"/>
  <c r="K24" i="1" s="1"/>
  <c r="L23" i="1" l="1"/>
  <c r="L24" i="1" s="1"/>
  <c r="M23" i="1" l="1"/>
  <c r="M24" i="1" s="1"/>
  <c r="N23" i="1" l="1"/>
  <c r="N24" i="1" s="1"/>
  <c r="O23" i="1" l="1"/>
  <c r="O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Ginna Castro Correa</author>
    <author>tc={9BE137C2-76BE-43AC-8C9D-E523FE37E8E8}</author>
    <author>tc={0B582790-4D0D-40AB-9163-0DBE33F2F0BB}</author>
    <author>tc={EE251D96-A99D-4895-9D81-FF09FCB9EACC}</author>
    <author>tc={C89755BC-8F36-4B7D-9BC9-C84178F14B71}</author>
    <author>tc={6DB027E1-901C-4124-BFC6-E5EADE29864B}</author>
    <author>tc={C35D268C-341E-4C56-9E70-752CA4E6CF64}</author>
    <author>tc={974A6283-184D-45BB-897C-42DB13011FF5}</author>
    <author>tc={14B87E91-8E8F-4427-A91D-EE1AFF1DF469}</author>
    <author>tc={8633725B-CE4A-460C-B353-4B85662D4499}</author>
    <author>tc={E4D258FF-2068-4BA5-AEBE-8F3A167239D0}</author>
    <author>tc={158F708F-7ACD-4D2A-9676-53B20F53FF99}</author>
    <author>tc={49CE9463-99BE-4D40-B5C7-FCB7BF8EE8B8}</author>
  </authors>
  <commentList>
    <comment ref="H6" authorId="0" shapeId="0" xr:uid="{2DBCB4F2-3475-4852-B6DB-594E018FCD8E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Licencia 1</t>
        </r>
      </text>
    </comment>
    <comment ref="K6" authorId="0" shapeId="0" xr:uid="{E2EA259F-2318-4F95-903D-71C5C393C608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Licencia 2
</t>
        </r>
      </text>
    </comment>
    <comment ref="L6" authorId="0" shapeId="0" xr:uid="{745F7A63-8457-4F3F-BFDF-20B69EC9DF9B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Licencia 3 y 4</t>
        </r>
      </text>
    </comment>
    <comment ref="B21" authorId="1" shapeId="0" xr:uid="{9BE137C2-76BE-43AC-8C9D-E523FE37E8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C21" authorId="2" shapeId="0" xr:uid="{0B582790-4D0D-40AB-9163-0DBE33F2F0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D21" authorId="3" shapeId="0" xr:uid="{EE251D96-A99D-4895-9D81-FF09FCB9EA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F21" authorId="4" shapeId="0" xr:uid="{C89755BC-8F36-4B7D-9BC9-C84178F14B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G21" authorId="5" shapeId="0" xr:uid="{6DB027E1-901C-4124-BFC6-E5EADE298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H21" authorId="6" shapeId="0" xr:uid="{C35D268C-341E-4C56-9E70-752CA4E6CF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I21" authorId="7" shapeId="0" xr:uid="{974A6283-184D-45BB-897C-42DB13011F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J21" authorId="8" shapeId="0" xr:uid="{14B87E91-8E8F-4427-A91D-EE1AFF1DF4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K21" authorId="9" shapeId="0" xr:uid="{8633725B-CE4A-460C-B353-4B85662D44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L21" authorId="10" shapeId="0" xr:uid="{E4D258FF-2068-4BA5-AEBE-8F3A167239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M21" authorId="11" shapeId="0" xr:uid="{158F708F-7ACD-4D2A-9676-53B20F53FF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  <comment ref="N21" authorId="12" shapeId="0" xr:uid="{49CE9463-99BE-4D40-B5C7-FCB7BF8EE8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la oficina del aeropuerto, tiene un valor mensual de nueve millones</t>
      </text>
    </comment>
  </commentList>
</comments>
</file>

<file path=xl/sharedStrings.xml><?xml version="1.0" encoding="utf-8"?>
<sst xmlns="http://schemas.openxmlformats.org/spreadsheetml/2006/main" count="25" uniqueCount="25">
  <si>
    <t>INPUT PRESUPUESTO 2026 (precios 2025)</t>
  </si>
  <si>
    <t>TOTAL</t>
  </si>
  <si>
    <t>DEPRECIACION</t>
  </si>
  <si>
    <t>PC + 5 años</t>
  </si>
  <si>
    <t>Aumento memorias/cambio de discos</t>
  </si>
  <si>
    <t>Licencias Firewall &amp; veembackup</t>
  </si>
  <si>
    <t>Renovación licencias sistemas operativos servidores</t>
  </si>
  <si>
    <t>Repositorio Veembackup</t>
  </si>
  <si>
    <t>Canal backup intenet</t>
  </si>
  <si>
    <t>Nuevo Firewall (Expandible hasta 2025)</t>
  </si>
  <si>
    <t>Programa Desaster Recovery</t>
  </si>
  <si>
    <t>Capacidad NAS (Requerido en 2027)</t>
  </si>
  <si>
    <t>Plan de teléfono PBX  ETB (Calle 100)</t>
  </si>
  <si>
    <t>Redireccionamiento extensiones (Colombia)</t>
  </si>
  <si>
    <t>Monitores</t>
  </si>
  <si>
    <t>Migracion a la nube</t>
  </si>
  <si>
    <t>Renovación impresoras</t>
  </si>
  <si>
    <t>Biométrico huella digital</t>
  </si>
  <si>
    <t>Morrales PC (Terminales)</t>
  </si>
  <si>
    <t>Insumos y perifericos</t>
  </si>
  <si>
    <t>Internet oficinas</t>
  </si>
  <si>
    <t>SEC VAS</t>
  </si>
  <si>
    <t>TOTALCOP</t>
  </si>
  <si>
    <t>TOTAL USD</t>
  </si>
  <si>
    <t>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</si>
</sst>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17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164" fontId="0" fillId="0" borderId="0" xfId="3" applyNumberFormat="1" applyFont="1" applyFill="1" applyBorder="1" applyAlignment="1">
      <alignment vertical="top"/>
    </xf>
    <xf numFmtId="164" fontId="0" fillId="0" borderId="0" xfId="0" applyNumberFormat="1" applyAlignment="1">
      <alignment vertical="top"/>
    </xf>
    <xf numFmtId="164" fontId="0" fillId="0" borderId="0" xfId="2" applyNumberFormat="1" applyFont="1" applyFill="1" applyAlignment="1">
      <alignment vertical="top"/>
    </xf>
    <xf numFmtId="0" fontId="0" fillId="5" borderId="0" xfId="0" applyFill="1" applyAlignment="1">
      <alignment vertical="top"/>
    </xf>
    <xf numFmtId="165" fontId="0" fillId="5" borderId="0" xfId="1" applyNumberFormat="1" applyFont="1" applyFill="1" applyBorder="1" applyAlignment="1">
      <alignment vertical="top"/>
    </xf>
    <xf numFmtId="0" fontId="3" fillId="6" borderId="0" xfId="0" applyFont="1" applyFill="1" applyAlignment="1">
      <alignment vertical="top"/>
    </xf>
    <xf numFmtId="164" fontId="3" fillId="6" borderId="0" xfId="3" applyNumberFormat="1" applyFont="1" applyFill="1" applyBorder="1" applyAlignment="1">
      <alignment vertical="top"/>
    </xf>
    <xf numFmtId="17" fontId="2" fillId="7" borderId="0" xfId="0" applyNumberFormat="1" applyFont="1" applyFill="1" applyAlignment="1">
      <alignment horizontal="center" vertical="center"/>
    </xf>
    <xf numFmtId="164" fontId="0" fillId="8" borderId="0" xfId="3" applyNumberFormat="1" applyFont="1" applyFill="1" applyBorder="1" applyAlignment="1">
      <alignment vertical="top"/>
    </xf>
  </cellXfs>
  <cellStyles count="4">
    <cellStyle name="Millares" xfId="1" builtinId="3"/>
    <cellStyle name="Moneda" xfId="2" builtinId="4"/>
    <cellStyle name="Moneda 2" xfId="3" xr:uid="{E6D27970-0A19-4514-B665-7842E2884A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hon Espinosa" id="{06781532-7CC0-4D29-B6BC-CE34EDF5506C}" userId="S::coordinador.it@e-craft.com::fc76eaaf-4c39-4c14-b41d-6517d316792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11-19T15:21:33.36" personId="{06781532-7CC0-4D29-B6BC-CE34EDF5506C}" id="{9BE137C2-76BE-43AC-8C9D-E523FE37E8E8}">
    <text>Solo la oficina del aeropuerto, tiene un valor mensual de nueve millones</text>
  </threadedComment>
  <threadedComment ref="C21" dT="2025-11-19T15:21:33.36" personId="{06781532-7CC0-4D29-B6BC-CE34EDF5506C}" id="{0B582790-4D0D-40AB-9163-0DBE33F2F0BB}">
    <text>Solo la oficina del aeropuerto, tiene un valor mensual de nueve millones</text>
  </threadedComment>
  <threadedComment ref="D21" dT="2025-11-19T15:21:33.36" personId="{06781532-7CC0-4D29-B6BC-CE34EDF5506C}" id="{EE251D96-A99D-4895-9D81-FF09FCB9EACC}">
    <text>Solo la oficina del aeropuerto, tiene un valor mensual de nueve millones</text>
  </threadedComment>
  <threadedComment ref="F21" dT="2025-11-19T15:21:33.36" personId="{06781532-7CC0-4D29-B6BC-CE34EDF5506C}" id="{C89755BC-8F36-4B7D-9BC9-C84178F14B71}">
    <text>Solo la oficina del aeropuerto, tiene un valor mensual de nueve millones</text>
  </threadedComment>
  <threadedComment ref="G21" dT="2025-11-19T15:21:33.36" personId="{06781532-7CC0-4D29-B6BC-CE34EDF5506C}" id="{6DB027E1-901C-4124-BFC6-E5EADE29864B}">
    <text>Solo la oficina del aeropuerto, tiene un valor mensual de nueve millones</text>
  </threadedComment>
  <threadedComment ref="H21" dT="2025-11-19T15:21:33.36" personId="{06781532-7CC0-4D29-B6BC-CE34EDF5506C}" id="{C35D268C-341E-4C56-9E70-752CA4E6CF64}">
    <text>Solo la oficina del aeropuerto, tiene un valor mensual de nueve millones</text>
  </threadedComment>
  <threadedComment ref="I21" dT="2025-11-19T15:21:33.36" personId="{06781532-7CC0-4D29-B6BC-CE34EDF5506C}" id="{974A6283-184D-45BB-897C-42DB13011FF5}">
    <text>Solo la oficina del aeropuerto, tiene un valor mensual de nueve millones</text>
  </threadedComment>
  <threadedComment ref="J21" dT="2025-11-19T15:21:33.36" personId="{06781532-7CC0-4D29-B6BC-CE34EDF5506C}" id="{14B87E91-8E8F-4427-A91D-EE1AFF1DF469}">
    <text>Solo la oficina del aeropuerto, tiene un valor mensual de nueve millones</text>
  </threadedComment>
  <threadedComment ref="K21" dT="2025-11-19T15:21:33.36" personId="{06781532-7CC0-4D29-B6BC-CE34EDF5506C}" id="{8633725B-CE4A-460C-B353-4B85662D4499}">
    <text>Solo la oficina del aeropuerto, tiene un valor mensual de nueve millones</text>
  </threadedComment>
  <threadedComment ref="L21" dT="2025-11-19T15:21:33.36" personId="{06781532-7CC0-4D29-B6BC-CE34EDF5506C}" id="{E4D258FF-2068-4BA5-AEBE-8F3A167239D0}">
    <text>Solo la oficina del aeropuerto, tiene un valor mensual de nueve millones</text>
  </threadedComment>
  <threadedComment ref="M21" dT="2025-11-19T15:21:33.36" personId="{06781532-7CC0-4D29-B6BC-CE34EDF5506C}" id="{158F708F-7ACD-4D2A-9676-53B20F53FF99}">
    <text>Solo la oficina del aeropuerto, tiene un valor mensual de nueve millones</text>
  </threadedComment>
  <threadedComment ref="N21" dT="2025-11-19T15:21:33.36" personId="{06781532-7CC0-4D29-B6BC-CE34EDF5506C}" id="{49CE9463-99BE-4D40-B5C7-FCB7BF8EE8B8}">
    <text>Solo la oficina del aeropuerto, tiene un valor mensual de nueve millones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7BE-AB53-40C3-9FA7-F2AEEBBFC0F8}">
  <dimension ref="A3:Q25"/>
  <sheetViews>
    <sheetView tabSelected="1" topLeftCell="G1" workbookViewId="0">
      <selection activeCell="M20" sqref="M20:N20"/>
    </sheetView>
  </sheetViews>
  <sheetFormatPr baseColWidth="10" defaultRowHeight="14.5" x14ac:dyDescent="0.35"/>
  <cols>
    <col min="1" max="1" width="28.6328125" customWidth="1"/>
    <col min="2" max="4" width="13.26953125" customWidth="1"/>
    <col min="5" max="5" width="16.54296875" customWidth="1"/>
    <col min="6" max="14" width="13.26953125" customWidth="1"/>
    <col min="15" max="15" width="15.90625" customWidth="1"/>
  </cols>
  <sheetData>
    <row r="3" spans="1:17" x14ac:dyDescent="0.35">
      <c r="A3" s="1" t="s">
        <v>0</v>
      </c>
      <c r="B3" s="1">
        <v>46023</v>
      </c>
      <c r="C3" s="1">
        <v>46054</v>
      </c>
      <c r="D3" s="1">
        <v>46082</v>
      </c>
      <c r="E3" s="14" t="s">
        <v>24</v>
      </c>
      <c r="F3" s="1">
        <v>46113</v>
      </c>
      <c r="G3" s="1">
        <v>46143</v>
      </c>
      <c r="H3" s="1">
        <v>46174</v>
      </c>
      <c r="I3" s="1">
        <v>46204</v>
      </c>
      <c r="J3" s="1">
        <v>46235</v>
      </c>
      <c r="K3" s="1">
        <v>46266</v>
      </c>
      <c r="L3" s="1">
        <v>46296</v>
      </c>
      <c r="M3" s="1">
        <v>46327</v>
      </c>
      <c r="N3" s="1">
        <v>46357</v>
      </c>
      <c r="O3" s="2" t="s">
        <v>1</v>
      </c>
      <c r="P3" s="3" t="s">
        <v>2</v>
      </c>
      <c r="Q3" s="4"/>
    </row>
    <row r="4" spans="1:17" x14ac:dyDescent="0.35">
      <c r="A4" s="5" t="s">
        <v>3</v>
      </c>
      <c r="B4" s="7">
        <v>9355632</v>
      </c>
      <c r="C4" s="7">
        <v>9355632</v>
      </c>
      <c r="D4" s="7">
        <v>9355632</v>
      </c>
      <c r="E4" s="15">
        <f>+SUM(B4:D4)</f>
        <v>28066896</v>
      </c>
      <c r="F4" s="7">
        <v>9355632</v>
      </c>
      <c r="G4" s="7">
        <v>9355632</v>
      </c>
      <c r="H4" s="7">
        <v>9355632</v>
      </c>
      <c r="I4" s="7">
        <v>9355632</v>
      </c>
      <c r="J4" s="7">
        <v>9355632</v>
      </c>
      <c r="K4" s="7">
        <v>9355632</v>
      </c>
      <c r="L4" s="7">
        <v>9355632</v>
      </c>
      <c r="M4" s="7">
        <v>9355632</v>
      </c>
      <c r="N4" s="7">
        <v>9355632</v>
      </c>
      <c r="O4" s="7">
        <f>+B4+C4+D4+F4+G4+H4+I4+J4+K4+L4+M4+N4</f>
        <v>112267584</v>
      </c>
      <c r="P4" s="10">
        <v>12</v>
      </c>
      <c r="Q4" s="5"/>
    </row>
    <row r="5" spans="1:17" x14ac:dyDescent="0.35">
      <c r="A5" s="5" t="s">
        <v>4</v>
      </c>
      <c r="B5" s="7">
        <v>107771.29166666667</v>
      </c>
      <c r="C5" s="7">
        <v>107771.29166666667</v>
      </c>
      <c r="D5" s="7">
        <v>107771.29166666667</v>
      </c>
      <c r="E5" s="15">
        <f t="shared" ref="E5:E22" si="0">+SUM(B5:D5)</f>
        <v>323313.875</v>
      </c>
      <c r="F5" s="7">
        <v>107771.29166666667</v>
      </c>
      <c r="G5" s="7">
        <v>107771.29166666667</v>
      </c>
      <c r="H5" s="7">
        <v>107771.29166666667</v>
      </c>
      <c r="I5" s="7">
        <v>107771.29166666667</v>
      </c>
      <c r="J5" s="7">
        <v>107771.29166666667</v>
      </c>
      <c r="K5" s="7">
        <v>107771.29166666667</v>
      </c>
      <c r="L5" s="7">
        <v>107771.29166666667</v>
      </c>
      <c r="M5" s="7">
        <v>107771.29166666667</v>
      </c>
      <c r="N5" s="7">
        <v>107771.29166666667</v>
      </c>
      <c r="O5" s="7">
        <f t="shared" ref="O5:O22" si="1">+B5+C5+D5+F5+G5+H5+I5+J5+K5+L5+M5+N5</f>
        <v>1293255.5</v>
      </c>
      <c r="P5" s="10">
        <v>12</v>
      </c>
      <c r="Q5" s="5"/>
    </row>
    <row r="6" spans="1:17" x14ac:dyDescent="0.35">
      <c r="A6" s="5" t="s">
        <v>5</v>
      </c>
      <c r="B6" s="7">
        <v>0</v>
      </c>
      <c r="C6" s="7">
        <v>0</v>
      </c>
      <c r="D6" s="7">
        <v>0</v>
      </c>
      <c r="E6" s="15">
        <f t="shared" si="0"/>
        <v>0</v>
      </c>
      <c r="F6" s="7">
        <v>0</v>
      </c>
      <c r="G6" s="7">
        <v>0</v>
      </c>
      <c r="H6" s="7">
        <v>10510000</v>
      </c>
      <c r="I6" s="7">
        <v>0</v>
      </c>
      <c r="J6" s="7">
        <v>0</v>
      </c>
      <c r="K6" s="7">
        <v>899656</v>
      </c>
      <c r="L6" s="7">
        <v>21004718.459999997</v>
      </c>
      <c r="M6" s="7">
        <v>0</v>
      </c>
      <c r="N6" s="7">
        <v>0</v>
      </c>
      <c r="O6" s="7">
        <f t="shared" si="1"/>
        <v>32414374.459999997</v>
      </c>
      <c r="P6" s="10">
        <v>12</v>
      </c>
      <c r="Q6" s="5"/>
    </row>
    <row r="7" spans="1:17" x14ac:dyDescent="0.35">
      <c r="A7" s="5" t="s">
        <v>6</v>
      </c>
      <c r="B7" s="7">
        <v>0</v>
      </c>
      <c r="C7" s="7">
        <v>0</v>
      </c>
      <c r="D7" s="7">
        <v>0</v>
      </c>
      <c r="E7" s="15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/>
      <c r="L7" s="7">
        <v>8092700</v>
      </c>
      <c r="M7" s="7">
        <v>0</v>
      </c>
      <c r="N7" s="7">
        <v>0</v>
      </c>
      <c r="O7" s="7">
        <f t="shared" si="1"/>
        <v>8092700</v>
      </c>
      <c r="P7" s="10">
        <v>1</v>
      </c>
      <c r="Q7" s="5"/>
    </row>
    <row r="8" spans="1:17" x14ac:dyDescent="0.35">
      <c r="A8" s="5" t="s">
        <v>7</v>
      </c>
      <c r="B8" s="7">
        <v>2667000</v>
      </c>
      <c r="C8" s="7">
        <v>2667000</v>
      </c>
      <c r="D8" s="7">
        <v>2667000</v>
      </c>
      <c r="E8" s="15">
        <f t="shared" si="0"/>
        <v>8001000</v>
      </c>
      <c r="F8" s="7">
        <v>2667000</v>
      </c>
      <c r="G8" s="7">
        <v>2667000</v>
      </c>
      <c r="H8" s="7">
        <v>2667000</v>
      </c>
      <c r="I8" s="7">
        <v>2667000</v>
      </c>
      <c r="J8" s="7">
        <v>2667000</v>
      </c>
      <c r="K8" s="7">
        <v>2667000</v>
      </c>
      <c r="L8" s="7">
        <v>2667000</v>
      </c>
      <c r="M8" s="7">
        <v>2667000</v>
      </c>
      <c r="N8" s="7">
        <v>2667000</v>
      </c>
      <c r="O8" s="7">
        <f t="shared" si="1"/>
        <v>32004000</v>
      </c>
      <c r="P8" s="10">
        <v>1</v>
      </c>
      <c r="Q8" s="6"/>
    </row>
    <row r="9" spans="1:17" x14ac:dyDescent="0.35">
      <c r="A9" s="5" t="s">
        <v>8</v>
      </c>
      <c r="B9" s="8">
        <v>1366300</v>
      </c>
      <c r="C9" s="8">
        <v>1366300</v>
      </c>
      <c r="D9" s="8">
        <v>1366300</v>
      </c>
      <c r="E9" s="15">
        <f t="shared" si="0"/>
        <v>4098900</v>
      </c>
      <c r="F9" s="8">
        <v>1366300</v>
      </c>
      <c r="G9" s="8">
        <v>1366300</v>
      </c>
      <c r="H9" s="8">
        <v>1366300</v>
      </c>
      <c r="I9" s="8">
        <v>1366300</v>
      </c>
      <c r="J9" s="8">
        <v>1366300</v>
      </c>
      <c r="K9" s="8">
        <v>1366300</v>
      </c>
      <c r="L9" s="8">
        <v>1366300</v>
      </c>
      <c r="M9" s="8">
        <v>1366300</v>
      </c>
      <c r="N9" s="8">
        <v>1366300</v>
      </c>
      <c r="O9" s="7">
        <f t="shared" si="1"/>
        <v>16395600</v>
      </c>
      <c r="P9" s="10">
        <v>1</v>
      </c>
      <c r="Q9" s="5"/>
    </row>
    <row r="10" spans="1:17" x14ac:dyDescent="0.35">
      <c r="A10" s="5" t="s">
        <v>9</v>
      </c>
      <c r="B10" s="8"/>
      <c r="C10" s="8"/>
      <c r="D10" s="8"/>
      <c r="E10" s="15">
        <f t="shared" si="0"/>
        <v>0</v>
      </c>
      <c r="F10" s="8"/>
      <c r="G10" s="8"/>
      <c r="H10" s="8"/>
      <c r="I10" s="8"/>
      <c r="J10" s="8"/>
      <c r="K10" s="8"/>
      <c r="L10" s="8">
        <v>732988.15248896996</v>
      </c>
      <c r="M10" s="8">
        <v>732988.15248896996</v>
      </c>
      <c r="N10" s="8">
        <v>732988.15248896996</v>
      </c>
      <c r="O10" s="7">
        <f t="shared" si="1"/>
        <v>2198964.4574669097</v>
      </c>
      <c r="P10" s="10">
        <v>12</v>
      </c>
      <c r="Q10" s="5"/>
    </row>
    <row r="11" spans="1:17" x14ac:dyDescent="0.35">
      <c r="A11" s="5" t="s">
        <v>10</v>
      </c>
      <c r="B11" s="8"/>
      <c r="C11" s="8"/>
      <c r="D11" s="8"/>
      <c r="E11" s="15">
        <f t="shared" si="0"/>
        <v>0</v>
      </c>
      <c r="F11" s="8"/>
      <c r="G11" s="8"/>
      <c r="H11" s="8"/>
      <c r="I11" s="8"/>
      <c r="J11" s="8"/>
      <c r="K11" s="8"/>
      <c r="L11" s="8"/>
      <c r="M11" s="8"/>
      <c r="N11" s="8"/>
      <c r="O11" s="7">
        <f t="shared" si="1"/>
        <v>0</v>
      </c>
      <c r="P11" s="10">
        <v>12</v>
      </c>
      <c r="Q11" s="6"/>
    </row>
    <row r="12" spans="1:17" x14ac:dyDescent="0.35">
      <c r="A12" s="5" t="s">
        <v>11</v>
      </c>
      <c r="B12" s="8">
        <v>0</v>
      </c>
      <c r="C12" s="8">
        <v>0</v>
      </c>
      <c r="D12" s="8">
        <v>0</v>
      </c>
      <c r="E12" s="15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7">
        <f t="shared" si="1"/>
        <v>0</v>
      </c>
      <c r="P12" s="10">
        <v>12</v>
      </c>
      <c r="Q12" s="5"/>
    </row>
    <row r="13" spans="1:17" x14ac:dyDescent="0.35">
      <c r="A13" s="5" t="s">
        <v>12</v>
      </c>
      <c r="B13" s="7"/>
      <c r="C13" s="7"/>
      <c r="D13" s="7"/>
      <c r="E13" s="15">
        <f t="shared" si="0"/>
        <v>0</v>
      </c>
      <c r="F13" s="7"/>
      <c r="G13" s="7"/>
      <c r="H13" s="7"/>
      <c r="I13" s="7"/>
      <c r="J13" s="7"/>
      <c r="K13" s="7"/>
      <c r="L13" s="7"/>
      <c r="M13" s="7"/>
      <c r="N13" s="7"/>
      <c r="O13" s="7">
        <f t="shared" si="1"/>
        <v>0</v>
      </c>
      <c r="P13" s="10">
        <v>1</v>
      </c>
      <c r="Q13" s="5"/>
    </row>
    <row r="14" spans="1:17" x14ac:dyDescent="0.35">
      <c r="A14" s="5" t="s">
        <v>13</v>
      </c>
      <c r="B14" s="7">
        <v>1313750</v>
      </c>
      <c r="C14" s="7">
        <v>1313750</v>
      </c>
      <c r="D14" s="7">
        <v>1313750</v>
      </c>
      <c r="E14" s="15">
        <f t="shared" si="0"/>
        <v>3941250</v>
      </c>
      <c r="F14" s="7">
        <v>1313750</v>
      </c>
      <c r="G14" s="7">
        <v>1313750</v>
      </c>
      <c r="H14" s="7">
        <v>1313750</v>
      </c>
      <c r="I14" s="7">
        <v>1313750</v>
      </c>
      <c r="J14" s="7">
        <v>1313750</v>
      </c>
      <c r="K14" s="7">
        <v>1313750</v>
      </c>
      <c r="L14" s="7">
        <v>1313750</v>
      </c>
      <c r="M14" s="7">
        <v>1313750</v>
      </c>
      <c r="N14" s="7">
        <v>1313750</v>
      </c>
      <c r="O14" s="7">
        <f t="shared" si="1"/>
        <v>15765000</v>
      </c>
      <c r="P14" s="10">
        <v>1</v>
      </c>
      <c r="Q14" s="5"/>
    </row>
    <row r="15" spans="1:17" x14ac:dyDescent="0.35">
      <c r="A15" s="5" t="s">
        <v>14</v>
      </c>
      <c r="B15" s="7">
        <v>472950</v>
      </c>
      <c r="C15" s="7">
        <v>472950</v>
      </c>
      <c r="D15" s="7">
        <v>472950</v>
      </c>
      <c r="E15" s="15">
        <f t="shared" si="0"/>
        <v>1418850</v>
      </c>
      <c r="F15" s="7">
        <v>472950</v>
      </c>
      <c r="G15" s="7">
        <v>472950</v>
      </c>
      <c r="H15" s="7">
        <v>472950</v>
      </c>
      <c r="I15" s="7">
        <v>472950</v>
      </c>
      <c r="J15" s="7">
        <v>472950</v>
      </c>
      <c r="K15" s="7">
        <v>472950</v>
      </c>
      <c r="L15" s="7">
        <v>472950</v>
      </c>
      <c r="M15" s="7">
        <v>472950</v>
      </c>
      <c r="N15" s="7">
        <v>472950</v>
      </c>
      <c r="O15" s="7">
        <f t="shared" si="1"/>
        <v>5675400</v>
      </c>
      <c r="P15" s="10">
        <v>1</v>
      </c>
      <c r="Q15" s="5"/>
    </row>
    <row r="16" spans="1:17" x14ac:dyDescent="0.35">
      <c r="A16" s="5" t="s">
        <v>15</v>
      </c>
      <c r="B16" s="7"/>
      <c r="C16" s="7"/>
      <c r="D16" s="7"/>
      <c r="E16" s="15">
        <f t="shared" si="0"/>
        <v>0</v>
      </c>
      <c r="F16" s="7"/>
      <c r="G16" s="7"/>
      <c r="H16" s="7"/>
      <c r="I16" s="7"/>
      <c r="J16" s="7"/>
      <c r="K16" s="7"/>
      <c r="L16" s="7"/>
      <c r="M16" s="7"/>
      <c r="N16" s="7"/>
      <c r="O16" s="7">
        <f t="shared" si="1"/>
        <v>0</v>
      </c>
      <c r="P16" s="10">
        <v>12</v>
      </c>
      <c r="Q16" s="6"/>
    </row>
    <row r="17" spans="1:17" x14ac:dyDescent="0.35">
      <c r="A17" s="5" t="s">
        <v>16</v>
      </c>
      <c r="B17" s="9"/>
      <c r="C17" s="7">
        <v>4046349.9999999995</v>
      </c>
      <c r="D17" s="7"/>
      <c r="E17" s="15">
        <f t="shared" si="0"/>
        <v>4046349.9999999995</v>
      </c>
      <c r="F17" s="7">
        <v>0</v>
      </c>
      <c r="G17" s="7">
        <v>0</v>
      </c>
      <c r="H17" s="7">
        <v>0</v>
      </c>
      <c r="I17" s="7">
        <v>0</v>
      </c>
      <c r="J17" s="7">
        <v>4046349.9999999995</v>
      </c>
      <c r="K17" s="7"/>
      <c r="L17" s="7"/>
      <c r="M17" s="7"/>
      <c r="N17" s="7"/>
      <c r="O17" s="7">
        <f t="shared" si="1"/>
        <v>8092699.9999999991</v>
      </c>
      <c r="P17" s="10">
        <v>1</v>
      </c>
      <c r="Q17" s="5"/>
    </row>
    <row r="18" spans="1:17" x14ac:dyDescent="0.35">
      <c r="A18" s="5" t="s">
        <v>17</v>
      </c>
      <c r="B18" s="9"/>
      <c r="C18" s="7">
        <v>1261200</v>
      </c>
      <c r="D18" s="7"/>
      <c r="E18" s="15">
        <f t="shared" si="0"/>
        <v>1261200</v>
      </c>
      <c r="F18" s="7"/>
      <c r="G18" s="7"/>
      <c r="H18" s="7">
        <v>1261200</v>
      </c>
      <c r="I18" s="7"/>
      <c r="J18" s="7"/>
      <c r="K18" s="7"/>
      <c r="L18" s="7">
        <v>1261200</v>
      </c>
      <c r="M18" s="7"/>
      <c r="N18" s="7"/>
      <c r="O18" s="7">
        <f t="shared" si="1"/>
        <v>3783600</v>
      </c>
      <c r="P18" s="10">
        <v>1</v>
      </c>
      <c r="Q18" s="5"/>
    </row>
    <row r="19" spans="1:17" x14ac:dyDescent="0.35">
      <c r="A19" s="5" t="s">
        <v>18</v>
      </c>
      <c r="B19" s="9">
        <v>157650</v>
      </c>
      <c r="C19" s="7">
        <v>157650</v>
      </c>
      <c r="D19" s="7">
        <v>157650</v>
      </c>
      <c r="E19" s="15">
        <f t="shared" si="0"/>
        <v>472950</v>
      </c>
      <c r="F19" s="7">
        <v>157650</v>
      </c>
      <c r="G19" s="7">
        <v>157650</v>
      </c>
      <c r="H19" s="7">
        <v>157650</v>
      </c>
      <c r="I19" s="7">
        <v>157650</v>
      </c>
      <c r="J19" s="7">
        <v>157650</v>
      </c>
      <c r="K19" s="7">
        <v>157650</v>
      </c>
      <c r="L19" s="7">
        <v>157650</v>
      </c>
      <c r="M19" s="7">
        <v>157650</v>
      </c>
      <c r="N19" s="7">
        <v>157650</v>
      </c>
      <c r="O19" s="7">
        <f t="shared" si="1"/>
        <v>1891800</v>
      </c>
      <c r="P19" s="11">
        <v>12</v>
      </c>
      <c r="Q19" s="5"/>
    </row>
    <row r="20" spans="1:17" x14ac:dyDescent="0.35">
      <c r="A20" s="5" t="s">
        <v>19</v>
      </c>
      <c r="B20" s="9">
        <v>1185000</v>
      </c>
      <c r="C20" s="7">
        <v>1185000</v>
      </c>
      <c r="D20" s="7">
        <v>1185000</v>
      </c>
      <c r="E20" s="15">
        <f t="shared" si="0"/>
        <v>3555000</v>
      </c>
      <c r="F20" s="7">
        <v>1185000</v>
      </c>
      <c r="G20" s="7">
        <v>1185000</v>
      </c>
      <c r="H20" s="7">
        <v>1185000</v>
      </c>
      <c r="I20" s="7">
        <v>1185000</v>
      </c>
      <c r="J20" s="7">
        <v>1185000</v>
      </c>
      <c r="K20" s="7">
        <v>1185000</v>
      </c>
      <c r="L20" s="7">
        <v>1185000</v>
      </c>
      <c r="M20" s="7">
        <v>1185000</v>
      </c>
      <c r="N20" s="7">
        <v>1185000</v>
      </c>
      <c r="O20" s="7">
        <f t="shared" si="1"/>
        <v>14220000</v>
      </c>
      <c r="P20" s="11">
        <v>1</v>
      </c>
      <c r="Q20" s="5"/>
    </row>
    <row r="21" spans="1:17" x14ac:dyDescent="0.35">
      <c r="A21" s="5" t="s">
        <v>20</v>
      </c>
      <c r="B21" s="9">
        <v>15328996.853999998</v>
      </c>
      <c r="C21" s="7">
        <v>15328996.853999998</v>
      </c>
      <c r="D21" s="7">
        <v>15328996.853999998</v>
      </c>
      <c r="E21" s="15">
        <f t="shared" si="0"/>
        <v>45986990.561999992</v>
      </c>
      <c r="F21" s="7">
        <v>15328996.853999998</v>
      </c>
      <c r="G21" s="7">
        <v>15328996.853999998</v>
      </c>
      <c r="H21" s="7">
        <v>15328996.853999998</v>
      </c>
      <c r="I21" s="7">
        <v>15328996.853999998</v>
      </c>
      <c r="J21" s="7">
        <v>15328996.853999998</v>
      </c>
      <c r="K21" s="7">
        <v>15328996.853999998</v>
      </c>
      <c r="L21" s="7">
        <v>15328996.853999998</v>
      </c>
      <c r="M21" s="7">
        <v>15328996.853999998</v>
      </c>
      <c r="N21" s="7">
        <v>15328996.853999998</v>
      </c>
      <c r="O21" s="7">
        <f t="shared" si="1"/>
        <v>183947962.248</v>
      </c>
      <c r="P21" s="11"/>
      <c r="Q21" s="5"/>
    </row>
    <row r="22" spans="1:17" x14ac:dyDescent="0.35">
      <c r="A22" s="5" t="s">
        <v>21</v>
      </c>
      <c r="B22" s="9">
        <v>2917000</v>
      </c>
      <c r="C22" s="9">
        <v>2917000</v>
      </c>
      <c r="D22" s="9">
        <v>2917000</v>
      </c>
      <c r="E22" s="15">
        <f t="shared" si="0"/>
        <v>8751000</v>
      </c>
      <c r="F22" s="9">
        <v>2917000</v>
      </c>
      <c r="G22" s="9">
        <v>2917000</v>
      </c>
      <c r="H22" s="9">
        <v>2917000</v>
      </c>
      <c r="I22" s="9">
        <v>2917000</v>
      </c>
      <c r="J22" s="9">
        <v>2917000</v>
      </c>
      <c r="K22" s="9">
        <v>2917000</v>
      </c>
      <c r="L22" s="9">
        <v>2917000</v>
      </c>
      <c r="M22" s="9">
        <v>2917000</v>
      </c>
      <c r="N22" s="9">
        <v>2917000</v>
      </c>
      <c r="O22" s="7">
        <f t="shared" si="1"/>
        <v>35004000</v>
      </c>
      <c r="P22" s="11"/>
      <c r="Q22" s="5"/>
    </row>
    <row r="23" spans="1:17" x14ac:dyDescent="0.35">
      <c r="A23" s="12" t="s">
        <v>22</v>
      </c>
      <c r="B23" s="13">
        <f>+SUM(B4:B22)</f>
        <v>34872050.145666666</v>
      </c>
      <c r="C23" s="13">
        <f t="shared" ref="C23:O23" si="2">+SUM(C4:C22)</f>
        <v>40179600.145666659</v>
      </c>
      <c r="D23" s="13">
        <f t="shared" si="2"/>
        <v>34872050.145666666</v>
      </c>
      <c r="E23" s="13">
        <f>+SUM(E4:E22)</f>
        <v>109923700.43699999</v>
      </c>
      <c r="F23" s="13">
        <f t="shared" si="2"/>
        <v>34872050.145666666</v>
      </c>
      <c r="G23" s="13">
        <f t="shared" si="2"/>
        <v>34872050.145666666</v>
      </c>
      <c r="H23" s="13">
        <f t="shared" si="2"/>
        <v>46643250.145666659</v>
      </c>
      <c r="I23" s="13">
        <f t="shared" si="2"/>
        <v>34872050.145666666</v>
      </c>
      <c r="J23" s="13">
        <f t="shared" si="2"/>
        <v>38918400.145666659</v>
      </c>
      <c r="K23" s="13">
        <f t="shared" si="2"/>
        <v>35771706.145666659</v>
      </c>
      <c r="L23" s="13">
        <f t="shared" si="2"/>
        <v>65963656.758155629</v>
      </c>
      <c r="M23" s="13">
        <f t="shared" si="2"/>
        <v>35605038.298155636</v>
      </c>
      <c r="N23" s="13">
        <f t="shared" si="2"/>
        <v>35605038.298155636</v>
      </c>
      <c r="O23" s="13">
        <f t="shared" si="2"/>
        <v>473046940.6654669</v>
      </c>
      <c r="P23" s="4"/>
      <c r="Q23" s="4"/>
    </row>
    <row r="24" spans="1:17" x14ac:dyDescent="0.35">
      <c r="A24" s="12" t="s">
        <v>23</v>
      </c>
      <c r="B24" s="13">
        <f>+B23/3950</f>
        <v>8828.3671254852325</v>
      </c>
      <c r="C24" s="13">
        <f t="shared" ref="C24:O24" si="3">+C23/3950</f>
        <v>10172.050669789027</v>
      </c>
      <c r="D24" s="13">
        <f t="shared" si="3"/>
        <v>8828.3671254852325</v>
      </c>
      <c r="E24" s="13">
        <f t="shared" si="3"/>
        <v>27828.784920759492</v>
      </c>
      <c r="F24" s="13">
        <f t="shared" si="3"/>
        <v>8828.3671254852325</v>
      </c>
      <c r="G24" s="13">
        <f t="shared" si="3"/>
        <v>8828.3671254852325</v>
      </c>
      <c r="H24" s="13">
        <f t="shared" si="3"/>
        <v>11808.417758396623</v>
      </c>
      <c r="I24" s="13">
        <f t="shared" si="3"/>
        <v>8828.3671254852325</v>
      </c>
      <c r="J24" s="13">
        <f t="shared" si="3"/>
        <v>9852.7595305485211</v>
      </c>
      <c r="K24" s="13">
        <f t="shared" si="3"/>
        <v>9056.1281381434583</v>
      </c>
      <c r="L24" s="13">
        <f t="shared" si="3"/>
        <v>16699.659938773577</v>
      </c>
      <c r="M24" s="13">
        <f t="shared" si="3"/>
        <v>9013.9337463685151</v>
      </c>
      <c r="N24" s="13">
        <f t="shared" si="3"/>
        <v>9013.9337463685151</v>
      </c>
      <c r="O24" s="13">
        <f t="shared" si="3"/>
        <v>119758.71915581441</v>
      </c>
      <c r="P24" s="4"/>
      <c r="Q24" s="4"/>
    </row>
    <row r="25" spans="1:17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PPTO mensual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Ginna Castro Correa</dc:creator>
  <cp:lastModifiedBy>Ginna Castro Correa</cp:lastModifiedBy>
  <dcterms:created xsi:type="dcterms:W3CDTF">2026-05-07T21:09:37Z</dcterms:created>
  <dcterms:modified xsi:type="dcterms:W3CDTF">2026-06-19T16:17:00Z</dcterms:modified>
</cp:coreProperties>
</file>