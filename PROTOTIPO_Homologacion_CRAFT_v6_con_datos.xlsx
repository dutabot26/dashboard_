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3" activeTab="4" autoFilterDateGrouping="1"/>
  </bookViews>
  <sheets>
    <sheet xmlns:r="http://schemas.openxmlformats.org/officeDocument/2006/relationships" name="MAESTRA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GISTRO" sheetId="3" state="visible" r:id="rId3"/>
    <sheet xmlns:r="http://schemas.openxmlformats.org/officeDocument/2006/relationships" name="ARCHIVO PLANO" sheetId="4" state="visible" r:id="rId4"/>
    <sheet xmlns:r="http://schemas.openxmlformats.org/officeDocument/2006/relationships" name="REGISTRO NO PAGAR" sheetId="5" state="visible" r:id="rId5"/>
    <sheet xmlns:r="http://schemas.openxmlformats.org/officeDocument/2006/relationships" name="ARCHIVO PLANO NO PAGAR" sheetId="6" state="visible" r:id="rId6"/>
  </sheets>
  <definedNames>
    <definedName name="PROV_AIR_E_S_A_S__E_S_P_">LISTAS!$B$3:$B$3</definedName>
    <definedName name="PROV_ASTURIAS_SOLUCIONES_DE_INGENIERIA_BUCEO_COMERCIAL_Y_DRAGADO_SAS">LISTAS!$C$3:$C$4</definedName>
    <definedName name="PROV_CASALIMPIA_SA">LISTAS!$D$3:$D$4</definedName>
    <definedName name="PROV_CLARO_S_A_">LISTAS!$E$3:$E$10</definedName>
    <definedName name="PROV_COMPANIA_PAPELERA_NACIONAL_S_A_S">LISTAS!$F$3:$F$4</definedName>
    <definedName name="PROV_COMPUASOCIADOS">LISTAS!$G$3:$G$3</definedName>
    <definedName name="PROV_CONTRATOS_Y_FIANZAS_DE_ARRENDAMIENTO_S_A_S_">LISTAS!$H$3:$H$3</definedName>
    <definedName name="PROV_COORSERPARK">LISTAS!$I$3:$I$3</definedName>
    <definedName name="PROV_EDIFICIO_CAPITAL_TOWERS_PROPIEDAD_HORIZONTAL">LISTAS!$J$3:$J$5</definedName>
    <definedName name="PROV_EDIFICIO_PORTUS_MANGA_CARTAGENA">LISTAS!$K$3:$K$5</definedName>
    <definedName name="PROV_EDIFICIO_TORRES_DEL_ATLANTICO">LISTAS!$L$3:$L$3</definedName>
    <definedName name="PROV_EMERMEDICA_S_A_">LISTAS!$M$3:$M$4</definedName>
    <definedName name="PROV_EMPRESAS_MUNICIPALES_DE_CALI">LISTAS!$N$3:$N$3</definedName>
    <definedName name="PROV_EMPRESAS_PUBLICAS_DE_MEDELLIN_E_S_P">LISTAS!$O$3:$O$3</definedName>
    <definedName name="PROV_ETB_S_A__E_S_P">LISTAS!$P$3:$P$3</definedName>
    <definedName name="PROV_FEDERACION_COLOMBIANA_AGENTES_LOGISTICOS">LISTAS!$Q$3:$Q$5</definedName>
    <definedName name="PROV_FUNDACION_UN_TECHO_PARA_MI_PAIS_COLOMBIA">LISTAS!$R$3:$R$3</definedName>
    <definedName name="PROV_HARDSOFT_SOLUTIONS_INTEGRAL_SAS">LISTAS!$S$3:$S$3</definedName>
    <definedName name="PROV_IFX_NETWORKS_COLOMBIA_S_A_S_">LISTAS!$T$3:$T$4</definedName>
    <definedName name="PROV_INTERASEO_AEROPUERTO">LISTAS!$U$3:$U$3</definedName>
    <definedName name="PROV_INVERSIONES_HOTELERAS_BUENAVENTURA_S_A_S_">LISTAS!$V$3:$V$3</definedName>
    <definedName name="PROV_JAVIER_ANTONIO_SANCHEZ_O_">LISTAS!$W$3:$W$3</definedName>
    <definedName name="PROV_JCO_INVERSIONES_S_A_S">LISTAS!$X$3:$X$3</definedName>
    <definedName name="PROV_KEY_WAY_BUSINESS_CONSULTING_SAS">LISTAS!$Y$3:$Y$3</definedName>
    <definedName name="PROV_LI_STORAGE_SAS">LISTAS!$Z$3:$Z$3</definedName>
    <definedName name="PROV_LUZ_DARY_MINA_GARCES">LISTAS!$AA$3:$AA$3</definedName>
    <definedName name="PROV_MARVAL_S_A_S_">LISTAS!$AB$3:$AB$3</definedName>
    <definedName name="PROV_MEDISANITAS_S_A_S_">LISTAS!$AC$3:$AC$3</definedName>
    <definedName name="PROV_MOVISTAR">LISTAS!$AD$3:$AD$5</definedName>
    <definedName name="PROV_MULTICOPY_JV_ZOMAC_SAS">LISTAS!$AE$3:$AE$3</definedName>
    <definedName name="PROV_OPAIN_SA_AEROPUERTO_EL_DORADO">LISTAS!$AF$3:$AF$3</definedName>
    <definedName name="PROV_PALAN_SOCIEDAD_POR_ACCIONES_SIMPLIFICADA">LISTAS!$AG$3:$AG$3</definedName>
    <definedName name="PROV_PATRIMONIOS_AUTONOMOS_FIDUCIARIA_BANCOLOMBIA_S_A">LISTAS!$AH$3:$AH$4</definedName>
    <definedName name="PROV_PORTUS_GLOBAL_SAS">LISTAS!$AI$3:$AI$3</definedName>
    <definedName name="PROV_PRUEBA">LISTAS!$AQ$3:$AQ$4</definedName>
    <definedName name="PROV_SERVIDOMESTICAS_SAS">LISTAS!$AJ$3:$AJ$3</definedName>
    <definedName name="PROV_SUMAR_INVERSIONES_Y_PROYECTOS_S_A_S_">LISTAS!$AK$3:$AK$3</definedName>
    <definedName name="PROV_TECNOLOGIA_INFORMATICA_TECINF_SAS">LISTAS!$AL$3:$AL$3</definedName>
    <definedName name="PROV_TRAIKER_GROUP_COLOMBIA_S_A_S_">LISTAS!$AM$3:$AM$3</definedName>
    <definedName name="PROV_TRANS_INTERNATIONAL_COURIER_S_A_S">LISTAS!$AN$3:$AN$3</definedName>
    <definedName name="PROV_TRIPLE_A">LISTAS!$AO$3:$AO$3</definedName>
    <definedName name="PROV_UNE_EPM_TELECOMUNICACIONES_S_A">LISTAS!$AP$3:$AP$5</definedName>
    <definedName name="PROVEEDORES">LISTAS!$A$3:$A$44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\$#,##0"/>
    <numFmt numFmtId="166" formatCode="DD/MM/YYYY"/>
    <numFmt numFmtId="167" formatCode="$#,##0"/>
  </numFmts>
  <fonts count="22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3C3C3A"/>
      <sz val="9"/>
    </font>
    <font>
      <name val="Arial"/>
      <charset val="1"/>
      <family val="2"/>
      <color rgb="FF000000"/>
      <sz val="9"/>
    </font>
    <font>
      <name val="Arial"/>
      <charset val="1"/>
      <family val="2"/>
      <i val="1"/>
      <color rgb="FF3C3C3A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FFFFFF"/>
      <sz val="8"/>
    </font>
    <font>
      <name val="Arial"/>
      <charset val="1"/>
      <family val="2"/>
      <color rgb="FF000000"/>
      <sz val="8"/>
    </font>
    <font>
      <name val="Arial"/>
      <charset val="1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charset val="1"/>
      <family val="2"/>
      <color rgb="FF0F6E56"/>
      <sz val="9"/>
    </font>
    <font>
      <name val="Arial"/>
      <charset val="1"/>
      <family val="2"/>
      <b val="1"/>
      <color rgb="FF0F6E56"/>
      <sz val="9"/>
    </font>
    <font>
      <name val="Arial"/>
      <family val="2"/>
      <color rgb="FF000000"/>
      <sz val="9"/>
    </font>
    <font>
      <name val="Arial"/>
      <charset val="1"/>
      <family val="2"/>
      <i val="1"/>
      <color rgb="FF0F6E56"/>
      <sz val="9"/>
    </font>
    <font>
      <name val="Arial"/>
      <family val="2"/>
      <b val="1"/>
      <color rgb="FFFFFFFF"/>
      <sz val="12"/>
    </font>
    <font>
      <name val="Arial"/>
      <family val="2"/>
      <color rgb="FF3C3C3A"/>
      <sz val="9"/>
    </font>
    <font>
      <name val="Arial"/>
      <family val="2"/>
      <color rgb="FF0F6E56"/>
      <sz val="9"/>
    </font>
    <font>
      <name val="Arial"/>
      <family val="2"/>
      <b val="1"/>
      <color rgb="FFFFFFFF"/>
      <sz val="13"/>
    </font>
    <font>
      <name val="Arial"/>
      <color rgb="FF3C3C3A"/>
      <sz val="9"/>
    </font>
    <font>
      <name val="Arial"/>
      <color rgb="FF000000"/>
      <sz val="9"/>
    </font>
    <font>
      <name val="Arial"/>
      <color rgb="FF0F6E56"/>
      <sz val="9"/>
    </font>
  </fonts>
  <fills count="16">
    <fill>
      <patternFill/>
    </fill>
    <fill>
      <patternFill patternType="gray125"/>
    </fill>
    <fill>
      <patternFill patternType="solid">
        <fgColor rgb="FF3C3489"/>
        <bgColor rgb="FF3C3C3A"/>
      </patternFill>
    </fill>
    <fill>
      <patternFill patternType="solid">
        <fgColor rgb="FF3C3C3A"/>
        <bgColor rgb="FF333300"/>
      </patternFill>
    </fill>
    <fill>
      <patternFill patternType="solid">
        <fgColor rgb="FF6B5CE7"/>
        <bgColor rgb="FF3366FF"/>
      </patternFill>
    </fill>
    <fill>
      <patternFill patternType="solid">
        <fgColor rgb="FFF4F3EF"/>
        <bgColor rgb="FFEEEDFE"/>
      </patternFill>
    </fill>
    <fill>
      <patternFill patternType="solid">
        <fgColor rgb="FFFFFFFF"/>
        <bgColor rgb="FFFFFDE7"/>
      </patternFill>
    </fill>
    <fill>
      <patternFill patternType="solid">
        <fgColor rgb="FFEEEDFE"/>
        <bgColor rgb="FFF4F3EF"/>
      </patternFill>
    </fill>
    <fill>
      <patternFill patternType="solid">
        <fgColor rgb="FF0F6E56"/>
        <bgColor rgb="FF008080"/>
      </patternFill>
    </fill>
    <fill>
      <patternFill patternType="solid">
        <fgColor rgb="FFBA7517"/>
        <bgColor rgb="FFFF6600"/>
      </patternFill>
    </fill>
    <fill>
      <patternFill patternType="solid">
        <fgColor rgb="FFFFFDE7"/>
        <bgColor rgb="FFFFFFFF"/>
      </patternFill>
    </fill>
    <fill>
      <patternFill patternType="solid">
        <fgColor rgb="FFFFF3CD"/>
        <bgColor rgb="FFFFFDE7"/>
      </patternFill>
    </fill>
    <fill>
      <patternFill patternType="solid">
        <fgColor rgb="FFE1F5EE"/>
        <bgColor rgb="FFF4F3EF"/>
      </patternFill>
    </fill>
    <fill>
      <patternFill patternType="solid">
        <fgColor rgb="FFF4F3EF"/>
      </patternFill>
    </fill>
    <fill>
      <patternFill patternType="solid">
        <fgColor rgb="FFFFFDE7"/>
      </patternFill>
    </fill>
    <fill>
      <patternFill patternType="solid">
        <fgColor rgb="FFE1F5E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pivotButton="0" quotePrefix="0" xfId="0"/>
    <xf numFmtId="0" fontId="8" fillId="0" borderId="2" pivotButton="0" quotePrefix="0" xfId="0"/>
    <xf numFmtId="0" fontId="4" fillId="0" borderId="2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1" borderId="1" pivotButton="0" quotePrefix="0" xfId="0"/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12" fillId="12" borderId="1" applyAlignment="1" pivotButton="0" quotePrefix="0" xfId="0">
      <alignment horizontal="center" vertical="center"/>
    </xf>
    <xf numFmtId="0" fontId="13" fillId="10" borderId="1" pivotButton="0" quotePrefix="0" xfId="0"/>
    <xf numFmtId="14" fontId="13" fillId="10" borderId="1" pivotButton="0" quotePrefix="0" xfId="0"/>
    <xf numFmtId="0" fontId="2" fillId="8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/>
    </xf>
    <xf numFmtId="0" fontId="17" fillId="12" borderId="1" pivotButton="0" quotePrefix="0" xfId="0"/>
    <xf numFmtId="165" fontId="13" fillId="1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14" fontId="13" fillId="0" borderId="1" pivotButton="0" quotePrefix="0" xfId="0"/>
    <xf numFmtId="165" fontId="13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19" fillId="13" borderId="3" applyAlignment="1" pivotButton="0" quotePrefix="0" xfId="0">
      <alignment horizontal="center" vertical="center"/>
    </xf>
    <xf numFmtId="0" fontId="20" fillId="14" borderId="3" pivotButton="0" quotePrefix="0" xfId="0"/>
    <xf numFmtId="0" fontId="21" fillId="15" borderId="3" applyAlignment="1" pivotButton="0" quotePrefix="0" xfId="0">
      <alignment horizontal="center" vertical="center"/>
    </xf>
    <xf numFmtId="0" fontId="21" fillId="15" borderId="3" applyAlignment="1" pivotButton="0" quotePrefix="0" xfId="0">
      <alignment horizontal="left" vertical="center" wrapText="1"/>
    </xf>
    <xf numFmtId="0" fontId="20" fillId="14" borderId="3" applyAlignment="1" pivotButton="0" quotePrefix="0" xfId="0">
      <alignment horizontal="center" vertical="center"/>
    </xf>
    <xf numFmtId="166" fontId="20" fillId="14" borderId="3" applyAlignment="1" pivotButton="0" quotePrefix="0" xfId="0">
      <alignment horizontal="center" vertical="center"/>
    </xf>
    <xf numFmtId="167" fontId="20" fillId="14" borderId="3" applyAlignment="1" pivotButton="0" quotePrefix="0" xfId="0">
      <alignment horizontal="center" vertical="center"/>
    </xf>
    <xf numFmtId="165" fontId="20" fillId="14" borderId="3" applyAlignment="1" pivotButton="0" quotePrefix="0" xfId="0">
      <alignment horizontal="center" vertical="center"/>
    </xf>
    <xf numFmtId="165" fontId="21" fillId="15" borderId="3" applyAlignment="1" pivotButton="0" quotePrefix="0" xfId="0">
      <alignment horizontal="center" vertical="center"/>
    </xf>
    <xf numFmtId="166" fontId="20" fillId="14" borderId="3" pivotButton="0" quotePrefix="0" xfId="0"/>
    <xf numFmtId="0" fontId="19" fillId="13" borderId="3" pivotButton="0" quotePrefix="0" xfId="0"/>
    <xf numFmtId="0" fontId="21" fillId="15" borderId="3" pivotButton="0" quotePrefix="0" xfId="0"/>
    <xf numFmtId="167" fontId="20" fillId="14" borderId="3" pivotButton="0" quotePrefix="0" xfId="0"/>
    <xf numFmtId="0" fontId="19" fillId="13" borderId="3" applyAlignment="1" pivotButton="0" quotePrefix="0" xfId="0">
      <alignment horizontal="center"/>
    </xf>
    <xf numFmtId="0" fontId="20" fillId="5" borderId="3" applyAlignment="1" pivotButton="0" quotePrefix="0" xfId="0">
      <alignment horizontal="left" vertical="center"/>
    </xf>
    <xf numFmtId="164" fontId="20" fillId="5" borderId="3" applyAlignment="1" pivotButton="0" quotePrefix="0" xfId="0">
      <alignment horizontal="left" vertical="center"/>
    </xf>
    <xf numFmtId="167" fontId="20" fillId="5" borderId="3" applyAlignment="1" pivotButton="0" quotePrefix="0" xfId="0">
      <alignment horizontal="left" vertical="center"/>
    </xf>
    <xf numFmtId="0" fontId="20" fillId="6" borderId="3" applyAlignment="1" pivotButton="0" quotePrefix="0" xfId="0">
      <alignment horizontal="left" vertical="center"/>
    </xf>
    <xf numFmtId="164" fontId="20" fillId="6" borderId="3" applyAlignment="1" pivotButton="0" quotePrefix="0" xfId="0">
      <alignment horizontal="left" vertical="center"/>
    </xf>
    <xf numFmtId="167" fontId="20" fillId="6" borderId="3" applyAlignment="1" pivotButton="0" quotePrefix="0" xfId="0">
      <alignment horizontal="left" vertical="center"/>
    </xf>
    <xf numFmtId="0" fontId="20" fillId="0" borderId="3" pivotButton="0" quotePrefix="0" xfId="0"/>
    <xf numFmtId="167" fontId="20" fillId="0" borderId="3" pivotButton="0" quotePrefix="0" xfId="0"/>
    <xf numFmtId="0" fontId="20" fillId="12" borderId="3" applyAlignment="1" pivotButton="0" quotePrefix="0" xfId="0">
      <alignment horizontal="left" vertical="center"/>
    </xf>
    <xf numFmtId="14" fontId="2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FFDE7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4F3EF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CE7"/>
      <rgbColor rgb="FF969696"/>
      <rgbColor rgb="FF003366"/>
      <rgbColor rgb="FF339966"/>
      <rgbColor rgb="FF003300"/>
      <rgbColor rgb="FF333300"/>
      <rgbColor rgb="FF993300"/>
      <rgbColor rgb="FF993366"/>
      <rgbColor rgb="FF3C3489"/>
      <rgbColor rgb="FF3C3C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zoomScaleNormal="100" workbookViewId="0">
      <pane xSplit="1" ySplit="2" topLeftCell="B62" activePane="bottomRight" state="frozen"/>
      <selection pane="topRight" activeCell="B1" sqref="B1"/>
      <selection pane="bottomLeft" activeCell="A61" sqref="A61"/>
      <selection pane="bottomRight" activeCell="B72" sqref="B72"/>
    </sheetView>
  </sheetViews>
  <sheetFormatPr baseColWidth="10" defaultColWidth="8.7109375" defaultRowHeight="15"/>
  <cols>
    <col width="48.42578125" customWidth="1" min="1" max="1"/>
    <col width="18" customWidth="1" min="2" max="2"/>
    <col width="50" customWidth="1" min="3" max="3"/>
    <col width="36" customWidth="1" min="4" max="4"/>
    <col width="8" customWidth="1" min="5" max="5"/>
    <col width="40" customWidth="1" min="6" max="7"/>
    <col width="46" customWidth="1" min="8" max="8"/>
    <col width="10" customWidth="1" min="9" max="9"/>
    <col width="14" customWidth="1" min="10" max="10"/>
  </cols>
  <sheetData>
    <row r="1" ht="30" customHeight="1">
      <c r="A1" s="46" t="inlineStr">
        <is>
          <t>BASE MAESTRA DE HOMOLOGACIÓN — CRAFT  |  No editar directamente</t>
        </is>
      </c>
    </row>
    <row r="2" ht="24" customHeight="1">
      <c r="A2" s="1" t="inlineStr">
        <is>
          <t>CLAVE (no editar)</t>
        </is>
      </c>
      <c r="B2" s="2" t="inlineStr">
        <is>
          <t>NIT</t>
        </is>
      </c>
      <c r="C2" s="2" t="inlineStr">
        <is>
          <t>PROVEEDOR</t>
        </is>
      </c>
      <c r="D2" s="2" t="inlineStr">
        <is>
          <t>SERVICIO</t>
        </is>
      </c>
      <c r="E2" s="2" t="inlineStr">
        <is>
          <t>ÁREA</t>
        </is>
      </c>
      <c r="F2" s="2" t="inlineStr">
        <is>
          <t>P&amp;L</t>
        </is>
      </c>
      <c r="G2" s="2" t="inlineStr">
        <is>
          <t>CUENTA CONTABLE</t>
        </is>
      </c>
      <c r="H2" s="2" t="inlineStr">
        <is>
          <t>GLOSA ESTÁNDAR</t>
        </is>
      </c>
      <c r="I2" s="2" t="inlineStr">
        <is>
          <t>TIPO</t>
        </is>
      </c>
      <c r="J2" s="2" t="inlineStr">
        <is>
          <t>SUCURSAL</t>
        </is>
      </c>
    </row>
    <row r="3" ht="15" customHeight="1">
      <c r="A3" s="3" t="inlineStr">
        <is>
          <t>EDIFICIO CAPITAL TOWERS PROPIEDAD HORIZONTAL|||Arriendo bodega</t>
        </is>
      </c>
      <c r="B3" s="4" t="inlineStr">
        <is>
          <t>830082820-5</t>
        </is>
      </c>
      <c r="C3" s="4" t="inlineStr">
        <is>
          <t>EDIFICIO CAPITAL TOWERS PROPIEDAD HORIZONTAL</t>
        </is>
      </c>
      <c r="D3" s="4" t="inlineStr">
        <is>
          <t>Arriendo bodega</t>
        </is>
      </c>
      <c r="E3" s="4" t="inlineStr">
        <is>
          <t>ADM</t>
        </is>
      </c>
      <c r="F3" s="5" t="inlineStr">
        <is>
          <t>CONSTRUCCIONES Y EDIFICACIONES</t>
        </is>
      </c>
      <c r="G3" s="5" t="inlineStr">
        <is>
          <t>CONSTRUCCIONES Y EDIFICACIONES</t>
        </is>
      </c>
      <c r="H3" s="5" t="inlineStr">
        <is>
          <t>ARRIENDO BODEGA OF BOG</t>
        </is>
      </c>
      <c r="I3" s="4" t="inlineStr">
        <is>
          <t>Fijo</t>
        </is>
      </c>
      <c r="J3" s="4" t="inlineStr">
        <is>
          <t>Calle 100</t>
        </is>
      </c>
    </row>
    <row r="4" ht="15" customHeight="1">
      <c r="A4" s="3" t="inlineStr">
        <is>
          <t>EDIFICIO CAPITAL TOWERS PROPIEDAD HORIZONTAL|||Administración oficina</t>
        </is>
      </c>
      <c r="B4" s="6" t="inlineStr">
        <is>
          <t>830082820-5</t>
        </is>
      </c>
      <c r="C4" s="6" t="inlineStr">
        <is>
          <t>EDIFICIO CAPITAL TOWERS PROPIEDAD HORIZONTAL</t>
        </is>
      </c>
      <c r="D4" s="6" t="inlineStr">
        <is>
          <t>Administración oficina</t>
        </is>
      </c>
      <c r="E4" s="6" t="inlineStr">
        <is>
          <t>ADM</t>
        </is>
      </c>
      <c r="F4" s="7" t="inlineStr">
        <is>
          <t>CONSTRUCCIONES Y EDIFICACIONES</t>
        </is>
      </c>
      <c r="G4" s="7" t="inlineStr">
        <is>
          <t>ADMINISTRACIÓN OFICINA</t>
        </is>
      </c>
      <c r="H4" s="7" t="inlineStr">
        <is>
          <t>/SERV ADMINISTRACIÓN OF/ BOG</t>
        </is>
      </c>
      <c r="I4" s="6" t="inlineStr">
        <is>
          <t>Fijo</t>
        </is>
      </c>
      <c r="J4" s="6" t="inlineStr">
        <is>
          <t>Calle 100</t>
        </is>
      </c>
    </row>
    <row r="5" ht="21.75" customHeight="1">
      <c r="A5" s="3" t="inlineStr">
        <is>
          <t>EDIFICIO CAPITAL TOWERS PROPIEDAD HORIZONTAL|||Servicios públicos</t>
        </is>
      </c>
      <c r="B5" s="4" t="inlineStr">
        <is>
          <t>830082820-5</t>
        </is>
      </c>
      <c r="C5" s="4" t="inlineStr">
        <is>
          <t>EDIFICIO CAPITAL TOWERS PROPIEDAD HORIZONTAL</t>
        </is>
      </c>
      <c r="D5" s="4" t="inlineStr">
        <is>
          <t>Servicios públicos</t>
        </is>
      </c>
      <c r="E5" s="4" t="inlineStr">
        <is>
          <t>ADM</t>
        </is>
      </c>
      <c r="F5" s="5" t="inlineStr">
        <is>
          <t>ENERGIA ELECTRICA - ACUEDUCTO Y ALCANTARILLADO</t>
        </is>
      </c>
      <c r="G5" s="5" t="inlineStr">
        <is>
          <t>ENERGIA ELECTRICA - ACUEDUCTO Y ALCANTARILLADO</t>
        </is>
      </c>
      <c r="H5" s="5" t="inlineStr">
        <is>
          <t>SERVICIOS PUBLICOS OF BOG</t>
        </is>
      </c>
      <c r="I5" s="4" t="inlineStr">
        <is>
          <t>Fijo</t>
        </is>
      </c>
      <c r="J5" s="4" t="inlineStr">
        <is>
          <t>Calle 100</t>
        </is>
      </c>
    </row>
    <row r="6" ht="15" customHeight="1">
      <c r="A6" s="3" t="inlineStr">
        <is>
          <t>PALAN SOCIEDAD POR ACCIONES SIMPLIFICADA|||Canon arriendo oficina</t>
        </is>
      </c>
      <c r="B6" s="6" t="inlineStr">
        <is>
          <t>830111934-1</t>
        </is>
      </c>
      <c r="C6" s="6" t="inlineStr">
        <is>
          <t>PALAN SOCIEDAD POR ACCIONES SIMPLIFICADA</t>
        </is>
      </c>
      <c r="D6" s="6" t="inlineStr">
        <is>
          <t>Canon arriendo oficina</t>
        </is>
      </c>
      <c r="E6" s="6" t="inlineStr">
        <is>
          <t>ADM</t>
        </is>
      </c>
      <c r="F6" s="7" t="inlineStr">
        <is>
          <t>CONSTRUCCIONES Y EDIFICACIONES</t>
        </is>
      </c>
      <c r="G6" s="7" t="inlineStr">
        <is>
          <t>CONSTRUCCIONES Y EDIFICACIONES</t>
        </is>
      </c>
      <c r="H6" s="7" t="inlineStr">
        <is>
          <t>CANON ARRIENDO OF BOG</t>
        </is>
      </c>
      <c r="I6" s="6" t="inlineStr">
        <is>
          <t>Fijo</t>
        </is>
      </c>
      <c r="J6" s="6" t="inlineStr">
        <is>
          <t>Calle 100</t>
        </is>
      </c>
    </row>
    <row r="7" ht="15" customHeight="1">
      <c r="A7" s="3" t="inlineStr">
        <is>
          <t>PATRIMONIOS AUTONOMOS FIDUCIARIA BANCOLOMBIA S A|||Canon arriendo aeropuerto</t>
        </is>
      </c>
      <c r="B7" s="4" t="inlineStr">
        <is>
          <t>830054539-0</t>
        </is>
      </c>
      <c r="C7" s="4" t="inlineStr">
        <is>
          <t>PATRIMONIOS AUTONOMOS FIDUCIARIA BANCOLOMBIA S A</t>
        </is>
      </c>
      <c r="D7" s="4" t="inlineStr">
        <is>
          <t>Canon arriendo aeropuerto</t>
        </is>
      </c>
      <c r="E7" s="4" t="inlineStr">
        <is>
          <t>ADM</t>
        </is>
      </c>
      <c r="F7" s="5" t="inlineStr">
        <is>
          <t>CONSTRUCCIONES Y EDIFICACIONES</t>
        </is>
      </c>
      <c r="G7" s="5" t="inlineStr">
        <is>
          <t>CONSTRUCCIONES Y EDIFICACIONES</t>
        </is>
      </c>
      <c r="H7" s="5" t="inlineStr">
        <is>
          <t>CANON ARRIENDO OF AERPTO</t>
        </is>
      </c>
      <c r="I7" s="4" t="inlineStr">
        <is>
          <t>Fijo</t>
        </is>
      </c>
      <c r="J7" s="4" t="inlineStr">
        <is>
          <t>Aeropuerto</t>
        </is>
      </c>
    </row>
    <row r="8" ht="15" customHeight="1">
      <c r="A8" s="3" t="inlineStr">
        <is>
          <t>PATRIMONIOS AUTONOMOS FIDUCIARIA BANCOLOMBIA S A|||Servicios públicos aeropuerto</t>
        </is>
      </c>
      <c r="B8" s="6" t="inlineStr">
        <is>
          <t>830054539-0</t>
        </is>
      </c>
      <c r="C8" s="6" t="inlineStr">
        <is>
          <t>PATRIMONIOS AUTONOMOS FIDUCIARIA BANCOLOMBIA S A</t>
        </is>
      </c>
      <c r="D8" s="6" t="inlineStr">
        <is>
          <t>Servicios públicos aeropuerto</t>
        </is>
      </c>
      <c r="E8" s="6" t="inlineStr">
        <is>
          <t>ADM</t>
        </is>
      </c>
      <c r="F8" s="7" t="inlineStr">
        <is>
          <t>ENERGIA ELECTRICA</t>
        </is>
      </c>
      <c r="G8" s="7" t="inlineStr">
        <is>
          <t>ENERGIA ELECTRICA</t>
        </is>
      </c>
      <c r="H8" s="7" t="inlineStr">
        <is>
          <t>SERVICIOS PUBLICOS OF AERPTO</t>
        </is>
      </c>
      <c r="I8" s="6" t="inlineStr">
        <is>
          <t>Fijo</t>
        </is>
      </c>
      <c r="J8" s="6" t="inlineStr">
        <is>
          <t>Aeropuerto</t>
        </is>
      </c>
    </row>
    <row r="9" ht="15" customHeight="1">
      <c r="A9" s="3" t="inlineStr">
        <is>
          <t>LI STORAGE SAS|||Arriendo bodega externa</t>
        </is>
      </c>
      <c r="B9" s="4" t="inlineStr">
        <is>
          <t>900705369-3</t>
        </is>
      </c>
      <c r="C9" s="4" t="inlineStr">
        <is>
          <t>LI STORAGE SAS</t>
        </is>
      </c>
      <c r="D9" s="4" t="inlineStr">
        <is>
          <t>Arriendo bodega externa</t>
        </is>
      </c>
      <c r="E9" s="4" t="inlineStr">
        <is>
          <t>ADM</t>
        </is>
      </c>
      <c r="F9" s="5" t="inlineStr">
        <is>
          <t>CONSTRUCCIONES Y EDIFICACIONES</t>
        </is>
      </c>
      <c r="G9" s="5" t="inlineStr">
        <is>
          <t>CONSTRUCCIONES Y EDIFICACIONES</t>
        </is>
      </c>
      <c r="H9" s="5" t="inlineStr">
        <is>
          <t>ARRIENDO BODEGA EXTERNA OF BOG</t>
        </is>
      </c>
      <c r="I9" s="4" t="inlineStr">
        <is>
          <t>Fijo</t>
        </is>
      </c>
      <c r="J9" s="4" t="inlineStr">
        <is>
          <t>Calle 100</t>
        </is>
      </c>
    </row>
    <row r="10" ht="15" customHeight="1">
      <c r="A10" s="3" t="inlineStr">
        <is>
          <t>ASTURIAS SOLUCIONES DE INGENIERIA BUCEO COMERCIAL Y DRAGADO SAS|||Canon arriendo oficina BUN</t>
        </is>
      </c>
      <c r="B10" s="6" t="inlineStr">
        <is>
          <t>900081790-1</t>
        </is>
      </c>
      <c r="C10" s="6" t="inlineStr">
        <is>
          <t>ASTURIAS SOLUCIONES DE INGENIERIA BUCEO COMERCIAL Y DRAGADO SAS</t>
        </is>
      </c>
      <c r="D10" s="6" t="inlineStr">
        <is>
          <t>Canon arriendo oficina BUN</t>
        </is>
      </c>
      <c r="E10" s="6" t="inlineStr">
        <is>
          <t>ADM</t>
        </is>
      </c>
      <c r="F10" s="7" t="inlineStr">
        <is>
          <t>CONSTRUCCIONES Y EDIFICACIONES</t>
        </is>
      </c>
      <c r="G10" s="7" t="inlineStr">
        <is>
          <t>CONSTRUCCIONES Y EDIFICACIONES</t>
        </is>
      </c>
      <c r="H10" s="7" t="inlineStr">
        <is>
          <t>CANON ARRIENDO OF BUN</t>
        </is>
      </c>
      <c r="I10" s="6" t="inlineStr">
        <is>
          <t>Fijo</t>
        </is>
      </c>
      <c r="J10" s="6" t="inlineStr">
        <is>
          <t>Buenaventura</t>
        </is>
      </c>
    </row>
    <row r="11" ht="15" customHeight="1">
      <c r="A11" s="3" t="inlineStr">
        <is>
          <t>ASTURIAS SOLUCIONES DE INGENIERIA BUCEO COMERCIAL Y DRAGADO SAS|||Administración oficina BUN</t>
        </is>
      </c>
      <c r="B11" s="4" t="inlineStr">
        <is>
          <t>900081790-1</t>
        </is>
      </c>
      <c r="C11" s="4" t="inlineStr">
        <is>
          <t>ASTURIAS SOLUCIONES DE INGENIERIA BUCEO COMERCIAL Y DRAGADO SAS</t>
        </is>
      </c>
      <c r="D11" s="4" t="inlineStr">
        <is>
          <t>Administración oficina BUN</t>
        </is>
      </c>
      <c r="E11" s="4" t="inlineStr">
        <is>
          <t>ADM</t>
        </is>
      </c>
      <c r="F11" s="5" t="inlineStr">
        <is>
          <t>CONSTRUCCIONES Y EDIFICACIONES</t>
        </is>
      </c>
      <c r="G11" s="5" t="inlineStr">
        <is>
          <t>ADMINISTRACIÓN OFICINA</t>
        </is>
      </c>
      <c r="H11" s="5" t="inlineStr">
        <is>
          <t>/SERV ADMINISTRACIÓN OFC/ BUN</t>
        </is>
      </c>
      <c r="I11" s="4" t="inlineStr">
        <is>
          <t>Fijo</t>
        </is>
      </c>
      <c r="J11" s="4" t="inlineStr">
        <is>
          <t>Buenaventura</t>
        </is>
      </c>
    </row>
    <row r="12" ht="15" customHeight="1">
      <c r="A12" s="3" t="inlineStr">
        <is>
          <t>JAVIER ANTONIO SANCHEZ O.|||Arriendo bodega BUN</t>
        </is>
      </c>
      <c r="B12" s="6" t="inlineStr">
        <is>
          <t>1111750598-3</t>
        </is>
      </c>
      <c r="C12" s="6" t="inlineStr">
        <is>
          <t>JAVIER ANTONIO SANCHEZ O.</t>
        </is>
      </c>
      <c r="D12" s="6" t="inlineStr">
        <is>
          <t>Arriendo bodega BUN</t>
        </is>
      </c>
      <c r="E12" s="6" t="inlineStr">
        <is>
          <t>ADM</t>
        </is>
      </c>
      <c r="F12" s="7" t="inlineStr">
        <is>
          <t>CONSTRUCCIONES Y EDIFICACIONES</t>
        </is>
      </c>
      <c r="G12" s="7" t="inlineStr">
        <is>
          <t>CONSTRUCCIONES Y EDIFICACIONES</t>
        </is>
      </c>
      <c r="H12" s="7" t="inlineStr">
        <is>
          <t>ARRIENDO BODEGA OF BUN</t>
        </is>
      </c>
      <c r="I12" s="6" t="inlineStr">
        <is>
          <t>Fijo</t>
        </is>
      </c>
      <c r="J12" s="6" t="inlineStr">
        <is>
          <t>Buenaventura</t>
        </is>
      </c>
    </row>
    <row r="13" ht="15" customHeight="1">
      <c r="A13" s="3" t="inlineStr">
        <is>
          <t>PORTUS GLOBAL SAS|||Canon arriendo oficina CTG</t>
        </is>
      </c>
      <c r="B13" s="4" t="inlineStr">
        <is>
          <t>900918697-9</t>
        </is>
      </c>
      <c r="C13" s="4" t="inlineStr">
        <is>
          <t>PORTUS GLOBAL SAS</t>
        </is>
      </c>
      <c r="D13" s="4" t="inlineStr">
        <is>
          <t>Canon arriendo oficina CTG</t>
        </is>
      </c>
      <c r="E13" s="4" t="inlineStr">
        <is>
          <t>ADM</t>
        </is>
      </c>
      <c r="F13" s="5" t="inlineStr">
        <is>
          <t>CONSTRUCCIONES Y EDIFICACIONES</t>
        </is>
      </c>
      <c r="G13" s="5" t="inlineStr">
        <is>
          <t>CONSTRUCCIONES Y EDIFICACIONES</t>
        </is>
      </c>
      <c r="H13" s="5" t="inlineStr">
        <is>
          <t>CANON ARRIENDO OF CTG</t>
        </is>
      </c>
      <c r="I13" s="4" t="inlineStr">
        <is>
          <t>Fijo</t>
        </is>
      </c>
      <c r="J13" s="4" t="inlineStr">
        <is>
          <t>Cartagena</t>
        </is>
      </c>
    </row>
    <row r="14" ht="15" customHeight="1">
      <c r="A14" s="3" t="inlineStr">
        <is>
          <t>EDIFICIO PORTUS MANGA CARTAGENA|||Administración oficina CTG</t>
        </is>
      </c>
      <c r="B14" s="6" t="inlineStr">
        <is>
          <t>901258598-9</t>
        </is>
      </c>
      <c r="C14" s="6" t="inlineStr">
        <is>
          <t>EDIFICIO PORTUS MANGA CARTAGENA</t>
        </is>
      </c>
      <c r="D14" s="6" t="inlineStr">
        <is>
          <t>Administración oficina CTG</t>
        </is>
      </c>
      <c r="E14" s="6" t="inlineStr">
        <is>
          <t>ADM</t>
        </is>
      </c>
      <c r="F14" s="7" t="inlineStr">
        <is>
          <t>CONSTRUCCIONES Y EDIFICACIONES</t>
        </is>
      </c>
      <c r="G14" s="7" t="inlineStr">
        <is>
          <t>ADMINISTRACIÓN OFICINA</t>
        </is>
      </c>
      <c r="H14" s="7" t="inlineStr">
        <is>
          <t>/SERV ADMINISTRACIÓN OFC/ CTG</t>
        </is>
      </c>
      <c r="I14" s="6" t="inlineStr">
        <is>
          <t>Fijo</t>
        </is>
      </c>
      <c r="J14" s="6" t="inlineStr">
        <is>
          <t>Cartagena</t>
        </is>
      </c>
    </row>
    <row r="15" ht="15" customHeight="1">
      <c r="A15" s="3" t="inlineStr">
        <is>
          <t>EDIFICIO PORTUS MANGA CARTAGENA|||Servicios públicos CTG</t>
        </is>
      </c>
      <c r="B15" s="4" t="inlineStr">
        <is>
          <t>901258598-9</t>
        </is>
      </c>
      <c r="C15" s="4" t="inlineStr">
        <is>
          <t>EDIFICIO PORTUS MANGA CARTAGENA</t>
        </is>
      </c>
      <c r="D15" s="4" t="inlineStr">
        <is>
          <t>Servicios públicos CTG</t>
        </is>
      </c>
      <c r="E15" s="4" t="inlineStr">
        <is>
          <t>ADM</t>
        </is>
      </c>
      <c r="F15" s="5" t="inlineStr">
        <is>
          <t>ENERGIA ELECTRICA</t>
        </is>
      </c>
      <c r="G15" s="5" t="inlineStr">
        <is>
          <t>ENERGIA ELECTRICA</t>
        </is>
      </c>
      <c r="H15" s="5" t="inlineStr">
        <is>
          <t>SERVICIOS PUBLICOS OF CTG</t>
        </is>
      </c>
      <c r="I15" s="4" t="inlineStr">
        <is>
          <t>Fijo</t>
        </is>
      </c>
      <c r="J15" s="4" t="inlineStr">
        <is>
          <t>Cartagena</t>
        </is>
      </c>
    </row>
    <row r="16" ht="15" customHeight="1">
      <c r="A16" s="3" t="inlineStr">
        <is>
          <t>EDIFICIO PORTUS MANGA CARTAGENA|||Parqueadero CTG</t>
        </is>
      </c>
      <c r="B16" s="6" t="inlineStr">
        <is>
          <t>901258598-9</t>
        </is>
      </c>
      <c r="C16" s="6" t="inlineStr">
        <is>
          <t>EDIFICIO PORTUS MANGA CARTAGENA</t>
        </is>
      </c>
      <c r="D16" s="6" t="inlineStr">
        <is>
          <t>Parqueadero CTG</t>
        </is>
      </c>
      <c r="E16" s="6" t="inlineStr">
        <is>
          <t>ADM</t>
        </is>
      </c>
      <c r="F16" s="7" t="inlineStr">
        <is>
          <t>PARQUEADEROS</t>
        </is>
      </c>
      <c r="G16" s="7" t="inlineStr">
        <is>
          <t>PARQUEADEROS</t>
        </is>
      </c>
      <c r="H16" s="7" t="inlineStr">
        <is>
          <t>PARQUEADERO OF CTG</t>
        </is>
      </c>
      <c r="I16" s="6" t="inlineStr">
        <is>
          <t>Fijo</t>
        </is>
      </c>
      <c r="J16" s="6" t="inlineStr">
        <is>
          <t>Cartagena</t>
        </is>
      </c>
    </row>
    <row r="17" ht="15" customHeight="1">
      <c r="A17" s="3" t="inlineStr">
        <is>
          <t>TRAIKER GROUP COLOMBIA S.A.S.|||Arriendo bodega CTG</t>
        </is>
      </c>
      <c r="B17" s="4" t="inlineStr">
        <is>
          <t>900446992-0</t>
        </is>
      </c>
      <c r="C17" s="4" t="inlineStr">
        <is>
          <t>TRAIKER GROUP COLOMBIA S.A.S.</t>
        </is>
      </c>
      <c r="D17" s="4" t="inlineStr">
        <is>
          <t>Arriendo bodega CTG</t>
        </is>
      </c>
      <c r="E17" s="4" t="inlineStr">
        <is>
          <t>ADM</t>
        </is>
      </c>
      <c r="F17" s="5" t="inlineStr">
        <is>
          <t>CONSTRUCCIONES Y EDIFICACIONES</t>
        </is>
      </c>
      <c r="G17" s="5" t="inlineStr">
        <is>
          <t>CONSTRUCCIONES Y EDIFICACIONES</t>
        </is>
      </c>
      <c r="H17" s="5" t="inlineStr">
        <is>
          <t>ARRIENDO BODEGA OF CTG</t>
        </is>
      </c>
      <c r="I17" s="4" t="inlineStr">
        <is>
          <t>Fijo</t>
        </is>
      </c>
      <c r="J17" s="4" t="inlineStr">
        <is>
          <t>Cartagena</t>
        </is>
      </c>
    </row>
    <row r="18" ht="15" customHeight="1">
      <c r="A18" s="3" t="inlineStr">
        <is>
          <t>MARVAL S.A.S.|||Canon arriendo oficina BRQ</t>
        </is>
      </c>
      <c r="B18" s="6" t="inlineStr">
        <is>
          <t>900685028-1</t>
        </is>
      </c>
      <c r="C18" s="6" t="inlineStr">
        <is>
          <t>MARVAL S.A.S.</t>
        </is>
      </c>
      <c r="D18" s="6" t="inlineStr">
        <is>
          <t>Canon arriendo oficina BRQ</t>
        </is>
      </c>
      <c r="E18" s="6" t="inlineStr">
        <is>
          <t>ADM</t>
        </is>
      </c>
      <c r="F18" s="7" t="inlineStr">
        <is>
          <t>CONSTRUCCIONES Y EDIFICACIONES</t>
        </is>
      </c>
      <c r="G18" s="7" t="inlineStr">
        <is>
          <t>CONSTRUCCIONES Y EDIFICACIONES</t>
        </is>
      </c>
      <c r="H18" s="7" t="inlineStr">
        <is>
          <t>CANON ARRIENDO OF BRQ</t>
        </is>
      </c>
      <c r="I18" s="6" t="inlineStr">
        <is>
          <t>Fijo</t>
        </is>
      </c>
      <c r="J18" s="6" t="inlineStr">
        <is>
          <t>Barranquilla</t>
        </is>
      </c>
    </row>
    <row r="19" ht="15" customHeight="1">
      <c r="A19" s="3" t="inlineStr">
        <is>
          <t>EDIFICIO TORRES DEL ATLANTICO|||Administración oficina BRQ</t>
        </is>
      </c>
      <c r="B19" s="4" t="inlineStr">
        <is>
          <t>900685028-1</t>
        </is>
      </c>
      <c r="C19" s="4" t="inlineStr">
        <is>
          <t>EDIFICIO TORRES DEL ATLANTICO</t>
        </is>
      </c>
      <c r="D19" s="4" t="inlineStr">
        <is>
          <t>Administración oficina BRQ</t>
        </is>
      </c>
      <c r="E19" s="4" t="inlineStr">
        <is>
          <t>ADM</t>
        </is>
      </c>
      <c r="F19" s="5" t="inlineStr">
        <is>
          <t>CONSTRUCCIONES Y EDIFICACIONES</t>
        </is>
      </c>
      <c r="G19" s="5" t="inlineStr">
        <is>
          <t>ADMINISTRACIÓN OFICINA</t>
        </is>
      </c>
      <c r="H19" s="5" t="inlineStr">
        <is>
          <t>/SERV ADMINISTRACIÓN OFC/ BRQ</t>
        </is>
      </c>
      <c r="I19" s="4" t="inlineStr">
        <is>
          <t>Fijo</t>
        </is>
      </c>
      <c r="J19" s="4" t="inlineStr">
        <is>
          <t>Barranquilla</t>
        </is>
      </c>
    </row>
    <row r="20" ht="15" customHeight="1">
      <c r="A20" s="3" t="inlineStr">
        <is>
          <t>CONTRATOS Y FIANZAS DE ARRENDAMIENTO S.A.S.|||Canon arriendo oficina MED</t>
        </is>
      </c>
      <c r="B20" s="6" t="inlineStr">
        <is>
          <t>1037583187-5</t>
        </is>
      </c>
      <c r="C20" s="6" t="inlineStr">
        <is>
          <t>CONTRATOS Y FIANZAS DE ARRENDAMIENTO S.A.S.</t>
        </is>
      </c>
      <c r="D20" s="6" t="inlineStr">
        <is>
          <t>Canon arriendo oficina MED</t>
        </is>
      </c>
      <c r="E20" s="6" t="inlineStr">
        <is>
          <t>ADM</t>
        </is>
      </c>
      <c r="F20" s="7" t="inlineStr">
        <is>
          <t>CONSTRUCCIONES Y EDIFICACIONES</t>
        </is>
      </c>
      <c r="G20" s="7" t="inlineStr">
        <is>
          <t>CONSTRUCCIONES Y EDIFICACIONES</t>
        </is>
      </c>
      <c r="H20" s="7" t="inlineStr">
        <is>
          <t>CANON ARRIENDO OF MED</t>
        </is>
      </c>
      <c r="I20" s="6" t="inlineStr">
        <is>
          <t>Fijo</t>
        </is>
      </c>
      <c r="J20" s="6" t="inlineStr">
        <is>
          <t>Medellín</t>
        </is>
      </c>
    </row>
    <row r="21" ht="15" customHeight="1">
      <c r="A21" s="3" t="inlineStr">
        <is>
          <t>SUMAR INVERSIONES Y PROYECTOS S.A.S.|||Canon arriendo oficina CALI</t>
        </is>
      </c>
      <c r="B21" s="4" t="inlineStr">
        <is>
          <t>900538994-0</t>
        </is>
      </c>
      <c r="C21" s="4" t="inlineStr">
        <is>
          <t>SUMAR INVERSIONES Y PROYECTOS S.A.S.</t>
        </is>
      </c>
      <c r="D21" s="4" t="inlineStr">
        <is>
          <t>Canon arriendo oficina CALI</t>
        </is>
      </c>
      <c r="E21" s="4" t="inlineStr">
        <is>
          <t>ADM</t>
        </is>
      </c>
      <c r="F21" s="5" t="inlineStr">
        <is>
          <t>CONSTRUCCIONES Y EDIFICACIONES</t>
        </is>
      </c>
      <c r="G21" s="5" t="inlineStr">
        <is>
          <t>CONSTRUCCIONES Y EDIFICACIONES</t>
        </is>
      </c>
      <c r="H21" s="5" t="inlineStr">
        <is>
          <t>CANON ARRIENDO OF CALI</t>
        </is>
      </c>
      <c r="I21" s="4" t="inlineStr">
        <is>
          <t>Fijo</t>
        </is>
      </c>
      <c r="J21" s="4" t="inlineStr">
        <is>
          <t>Cali</t>
        </is>
      </c>
    </row>
    <row r="22" ht="15" customHeight="1">
      <c r="A22" s="3" t="inlineStr">
        <is>
          <t>JCO INVERSIONES S.A.S|||Parqueadero BOG</t>
        </is>
      </c>
      <c r="B22" s="6" t="inlineStr">
        <is>
          <t>860000500-0</t>
        </is>
      </c>
      <c r="C22" s="6" t="inlineStr">
        <is>
          <t>JCO INVERSIONES S.A.S</t>
        </is>
      </c>
      <c r="D22" s="6" t="inlineStr">
        <is>
          <t>Parqueadero BOG</t>
        </is>
      </c>
      <c r="E22" s="6" t="inlineStr">
        <is>
          <t>ADM</t>
        </is>
      </c>
      <c r="F22" s="7" t="inlineStr">
        <is>
          <t>PARQUEADEROS</t>
        </is>
      </c>
      <c r="G22" s="7" t="inlineStr">
        <is>
          <t>PARQUEADEROS</t>
        </is>
      </c>
      <c r="H22" s="7" t="inlineStr">
        <is>
          <t>PARQUEADERO OF BOG</t>
        </is>
      </c>
      <c r="I22" s="6" t="inlineStr">
        <is>
          <t>Fijo</t>
        </is>
      </c>
      <c r="J22" s="6" t="inlineStr">
        <is>
          <t>Calle 100</t>
        </is>
      </c>
    </row>
    <row r="23" ht="15" customHeight="1">
      <c r="A23" s="3" t="inlineStr">
        <is>
          <t>TRIPLE A|||Acueducto BRQ</t>
        </is>
      </c>
      <c r="B23" s="4" t="inlineStr">
        <is>
          <t>800135913-1</t>
        </is>
      </c>
      <c r="C23" s="4" t="inlineStr">
        <is>
          <t>TRIPLE A</t>
        </is>
      </c>
      <c r="D23" s="4" t="inlineStr">
        <is>
          <t>Acueducto BRQ</t>
        </is>
      </c>
      <c r="E23" s="4" t="inlineStr">
        <is>
          <t>ADM</t>
        </is>
      </c>
      <c r="F23" s="5" t="inlineStr">
        <is>
          <t>ACUEDUCTO Y ALCANTARILLADO</t>
        </is>
      </c>
      <c r="G23" s="5" t="inlineStr">
        <is>
          <t>ACUEDUCTO Y ALCANTARILLADO</t>
        </is>
      </c>
      <c r="H23" s="5" t="inlineStr">
        <is>
          <t>SERVICIOS PUBLICOS OF BRQ</t>
        </is>
      </c>
      <c r="I23" s="4" t="inlineStr">
        <is>
          <t>Fijo</t>
        </is>
      </c>
      <c r="J23" s="4" t="inlineStr">
        <is>
          <t>Barranquilla</t>
        </is>
      </c>
    </row>
    <row r="24" ht="15" customHeight="1">
      <c r="A24" s="3" t="inlineStr">
        <is>
          <t>AIR-E S.A.S. E.S.P.|||Energía BRQ</t>
        </is>
      </c>
      <c r="B24" s="6" t="inlineStr">
        <is>
          <t>901380930-2</t>
        </is>
      </c>
      <c r="C24" s="6" t="inlineStr">
        <is>
          <t>AIR-E S.A.S. E.S.P.</t>
        </is>
      </c>
      <c r="D24" s="6" t="inlineStr">
        <is>
          <t>Energía BRQ</t>
        </is>
      </c>
      <c r="E24" s="6" t="inlineStr">
        <is>
          <t>ADM</t>
        </is>
      </c>
      <c r="F24" s="7" t="inlineStr">
        <is>
          <t>ENERGIA ELECTRICA</t>
        </is>
      </c>
      <c r="G24" s="7" t="inlineStr">
        <is>
          <t>ENERGIA ELECTRICA</t>
        </is>
      </c>
      <c r="H24" s="7" t="inlineStr">
        <is>
          <t>SERVICIOS PUBLICOS OF BRQ</t>
        </is>
      </c>
      <c r="I24" s="6" t="inlineStr">
        <is>
          <t>Fijo</t>
        </is>
      </c>
      <c r="J24" s="6" t="inlineStr">
        <is>
          <t>Barranquilla</t>
        </is>
      </c>
    </row>
    <row r="25" ht="15" customHeight="1">
      <c r="A25" s="3" t="inlineStr">
        <is>
          <t>INVERSIONES HOTELERAS BUENAVENTURA S.A.S.|||Servicios públicos BUN</t>
        </is>
      </c>
      <c r="B25" s="4" t="inlineStr">
        <is>
          <t>900478368-1</t>
        </is>
      </c>
      <c r="C25" s="4" t="inlineStr">
        <is>
          <t>INVERSIONES HOTELERAS BUENAVENTURA S.A.S.</t>
        </is>
      </c>
      <c r="D25" s="4" t="inlineStr">
        <is>
          <t>Servicios públicos BUN</t>
        </is>
      </c>
      <c r="E25" s="4" t="inlineStr">
        <is>
          <t>ADM</t>
        </is>
      </c>
      <c r="F25" s="5" t="inlineStr">
        <is>
          <t>ENERGIA ELECTRICA</t>
        </is>
      </c>
      <c r="G25" s="5" t="inlineStr">
        <is>
          <t>ENERGIA ELECTRICA</t>
        </is>
      </c>
      <c r="H25" s="5" t="inlineStr">
        <is>
          <t>SERVICIOS PUBLICOS OF BUN</t>
        </is>
      </c>
      <c r="I25" s="4" t="inlineStr">
        <is>
          <t>Fijo</t>
        </is>
      </c>
      <c r="J25" s="4" t="inlineStr">
        <is>
          <t>Buenaventura</t>
        </is>
      </c>
    </row>
    <row r="26" ht="21.75" customHeight="1">
      <c r="A26" s="3" t="inlineStr">
        <is>
          <t>EMPRESAS PÚBLICAS DE MEDELLÍN E.S.P|||Servicios públicos MED</t>
        </is>
      </c>
      <c r="B26" s="6" t="inlineStr">
        <is>
          <t>890904996-1</t>
        </is>
      </c>
      <c r="C26" s="6" t="inlineStr">
        <is>
          <t>EMPRESAS PÚBLICAS DE MEDELLÍN E.S.P</t>
        </is>
      </c>
      <c r="D26" s="6" t="inlineStr">
        <is>
          <t>Servicios públicos MED</t>
        </is>
      </c>
      <c r="E26" s="6" t="inlineStr">
        <is>
          <t>ADM</t>
        </is>
      </c>
      <c r="F26" s="7" t="inlineStr">
        <is>
          <t>ENERGIA ELECTRICA - ACUEDUCTO Y ALCANTARILLADO</t>
        </is>
      </c>
      <c r="G26" s="7" t="inlineStr">
        <is>
          <t>ENERGIA ELECTRICA - ACUEDUCTO Y ALCANTARILLADO</t>
        </is>
      </c>
      <c r="H26" s="7" t="inlineStr">
        <is>
          <t>SERVICIOS PUBLICOS OF MED</t>
        </is>
      </c>
      <c r="I26" s="6" t="inlineStr">
        <is>
          <t>Fijo</t>
        </is>
      </c>
      <c r="J26" s="6" t="inlineStr">
        <is>
          <t>Medellín</t>
        </is>
      </c>
    </row>
    <row r="27" ht="21.75" customHeight="1">
      <c r="A27" s="3" t="inlineStr">
        <is>
          <t>EMPRESAS MUNICIPALES DE CALI|||Servicios públicos CALI</t>
        </is>
      </c>
      <c r="B27" s="4" t="inlineStr">
        <is>
          <t>890399003-4</t>
        </is>
      </c>
      <c r="C27" s="4" t="inlineStr">
        <is>
          <t>EMPRESAS MUNICIPALES DE CALI</t>
        </is>
      </c>
      <c r="D27" s="4" t="inlineStr">
        <is>
          <t>Servicios públicos CALI</t>
        </is>
      </c>
      <c r="E27" s="4" t="inlineStr">
        <is>
          <t>ADM</t>
        </is>
      </c>
      <c r="F27" s="5" t="inlineStr">
        <is>
          <t>ENERGIA ELECTRICA - ACUEDUCTO Y ALCANTARILLADO</t>
        </is>
      </c>
      <c r="G27" s="5" t="inlineStr">
        <is>
          <t>ENERGIA ELECTRICA - ACUEDUCTO Y ALCANTARILLADO</t>
        </is>
      </c>
      <c r="H27" s="5" t="inlineStr">
        <is>
          <t>SERVICIOS PÚBLICOS OF CALI</t>
        </is>
      </c>
      <c r="I27" s="4" t="inlineStr">
        <is>
          <t>Fijo</t>
        </is>
      </c>
      <c r="J27" s="4" t="inlineStr">
        <is>
          <t>Cali</t>
        </is>
      </c>
    </row>
    <row r="28" ht="21.75" customHeight="1">
      <c r="A28" s="3" t="inlineStr">
        <is>
          <t>CASALIMPIA SA|||Aseo oficina CTG</t>
        </is>
      </c>
      <c r="B28" s="6" t="inlineStr">
        <is>
          <t>860010451-1</t>
        </is>
      </c>
      <c r="C28" s="6" t="inlineStr">
        <is>
          <t>CASALIMPIA SA</t>
        </is>
      </c>
      <c r="D28" s="6" t="inlineStr">
        <is>
          <t>Aseo oficina CTG</t>
        </is>
      </c>
      <c r="E28" s="6" t="inlineStr">
        <is>
          <t>ADM</t>
        </is>
      </c>
      <c r="F28" s="7" t="inlineStr">
        <is>
          <t>SERVICIOS GENERALES DE ASEO OFCS - PLANILLA DE SS AC - OTROS (2MM)</t>
        </is>
      </c>
      <c r="G28" s="7" t="inlineStr">
        <is>
          <t>ASEO Y VIGILANCIA</t>
        </is>
      </c>
      <c r="H28" s="7" t="inlineStr">
        <is>
          <t>/SERV ASÉO OFC/ CTG</t>
        </is>
      </c>
      <c r="I28" s="6" t="inlineStr">
        <is>
          <t>Fijo</t>
        </is>
      </c>
      <c r="J28" s="6" t="inlineStr">
        <is>
          <t>Cartagena</t>
        </is>
      </c>
    </row>
    <row r="29" ht="21.75" customHeight="1">
      <c r="A29" s="3" t="inlineStr">
        <is>
          <t>CASALIMPIA SA|||Aseo oficina CALI</t>
        </is>
      </c>
      <c r="B29" s="4" t="inlineStr">
        <is>
          <t>860010451-1</t>
        </is>
      </c>
      <c r="C29" s="4" t="inlineStr">
        <is>
          <t>CASALIMPIA SA</t>
        </is>
      </c>
      <c r="D29" s="4" t="inlineStr">
        <is>
          <t>Aseo oficina CALI</t>
        </is>
      </c>
      <c r="E29" s="4" t="inlineStr">
        <is>
          <t>ADM</t>
        </is>
      </c>
      <c r="F29" s="5" t="inlineStr">
        <is>
          <t>SERVICIOS GENERALES DE ASEO OFCS - PLANILLA DE SS AC - OTROS (2MM)</t>
        </is>
      </c>
      <c r="G29" s="5" t="inlineStr">
        <is>
          <t>ASEO Y VIGILANCIA</t>
        </is>
      </c>
      <c r="H29" s="5" t="inlineStr">
        <is>
          <t>/SERV ASÉO OFC/ CALI</t>
        </is>
      </c>
      <c r="I29" s="4" t="inlineStr">
        <is>
          <t>Fijo</t>
        </is>
      </c>
      <c r="J29" s="4" t="inlineStr">
        <is>
          <t>Cali</t>
        </is>
      </c>
    </row>
    <row r="30" ht="21.75" customHeight="1">
      <c r="A30" s="3" t="inlineStr">
        <is>
          <t>SERVIDOMESTICAS SAS|||Aseo oficina MED</t>
        </is>
      </c>
      <c r="B30" s="6" t="inlineStr">
        <is>
          <t>900533052-5</t>
        </is>
      </c>
      <c r="C30" s="6" t="inlineStr">
        <is>
          <t>SERVIDOMESTICAS SAS</t>
        </is>
      </c>
      <c r="D30" s="6" t="inlineStr">
        <is>
          <t>Aseo oficina MED</t>
        </is>
      </c>
      <c r="E30" s="6" t="inlineStr">
        <is>
          <t>ADM</t>
        </is>
      </c>
      <c r="F30" s="7" t="inlineStr">
        <is>
          <t>SERVICIOS GENERALES DE ASEO OFCS - PLANILLA DE SS AC - OTROS (2MM)</t>
        </is>
      </c>
      <c r="G30" s="7" t="inlineStr">
        <is>
          <t>ASEO Y VIGILANCIA</t>
        </is>
      </c>
      <c r="H30" s="7" t="inlineStr">
        <is>
          <t>/SERV ASÉO OFC/ MED</t>
        </is>
      </c>
      <c r="I30" s="6" t="inlineStr">
        <is>
          <t>Fijo</t>
        </is>
      </c>
      <c r="J30" s="6" t="inlineStr">
        <is>
          <t>Medellín</t>
        </is>
      </c>
    </row>
    <row r="31" ht="15" customHeight="1">
      <c r="A31" s="3" t="inlineStr">
        <is>
          <t>INTERASEO AEROPUERTO|||Recolección basura AERPTO</t>
        </is>
      </c>
      <c r="B31" s="4" t="inlineStr">
        <is>
          <t>901054551-7</t>
        </is>
      </c>
      <c r="C31" s="4" t="inlineStr">
        <is>
          <t>INTERASEO AEROPUERTO</t>
        </is>
      </c>
      <c r="D31" s="4" t="inlineStr">
        <is>
          <t>Recolección basura AERPTO</t>
        </is>
      </c>
      <c r="E31" s="4" t="inlineStr">
        <is>
          <t>ADM</t>
        </is>
      </c>
      <c r="F31" s="5" t="inlineStr">
        <is>
          <t>ACUEDUCTO Y ALCANTARILLADO</t>
        </is>
      </c>
      <c r="G31" s="5" t="inlineStr">
        <is>
          <t>ACUEDUCTO Y ALCANTARILLADO</t>
        </is>
      </c>
      <c r="H31" s="5" t="inlineStr">
        <is>
          <t>RECOLECCION BASURA AERPTO</t>
        </is>
      </c>
      <c r="I31" s="4" t="inlineStr">
        <is>
          <t>Fijo</t>
        </is>
      </c>
      <c r="J31" s="4" t="inlineStr">
        <is>
          <t>Aeropuerto</t>
        </is>
      </c>
    </row>
    <row r="32" ht="15" customHeight="1">
      <c r="A32" s="3" t="inlineStr">
        <is>
          <t>MOVISTAR|||Datos celulares BOG</t>
        </is>
      </c>
      <c r="B32" s="6" t="inlineStr">
        <is>
          <t>830122566-1</t>
        </is>
      </c>
      <c r="C32" s="6" t="inlineStr">
        <is>
          <t>MOVISTAR</t>
        </is>
      </c>
      <c r="D32" s="6" t="inlineStr">
        <is>
          <t>Datos celulares BOG</t>
        </is>
      </c>
      <c r="E32" s="6" t="inlineStr">
        <is>
          <t>ADM</t>
        </is>
      </c>
      <c r="F32" s="7" t="inlineStr">
        <is>
          <t>INTERNET</t>
        </is>
      </c>
      <c r="G32" s="7" t="inlineStr">
        <is>
          <t>TELEFONO</t>
        </is>
      </c>
      <c r="H32" s="7" t="inlineStr">
        <is>
          <t>DATOS CELULARES OF BOG</t>
        </is>
      </c>
      <c r="I32" s="6" t="inlineStr">
        <is>
          <t>Fijo</t>
        </is>
      </c>
      <c r="J32" s="6" t="inlineStr">
        <is>
          <t>Calle 100</t>
        </is>
      </c>
    </row>
    <row r="33" ht="15" customHeight="1">
      <c r="A33" s="3" t="inlineStr">
        <is>
          <t>MOVISTAR|||Datos celulares CTG</t>
        </is>
      </c>
      <c r="B33" s="4" t="inlineStr">
        <is>
          <t>830122566-1</t>
        </is>
      </c>
      <c r="C33" s="4" t="inlineStr">
        <is>
          <t>MOVISTAR</t>
        </is>
      </c>
      <c r="D33" s="4" t="inlineStr">
        <is>
          <t>Datos celulares CTG</t>
        </is>
      </c>
      <c r="E33" s="4" t="inlineStr">
        <is>
          <t>ADM</t>
        </is>
      </c>
      <c r="F33" s="5" t="inlineStr">
        <is>
          <t>INTERNET</t>
        </is>
      </c>
      <c r="G33" s="5" t="inlineStr">
        <is>
          <t>TELEFONO</t>
        </is>
      </c>
      <c r="H33" s="5" t="inlineStr">
        <is>
          <t>DATOS CELULARES OF CTG</t>
        </is>
      </c>
      <c r="I33" s="4" t="inlineStr">
        <is>
          <t>Fijo</t>
        </is>
      </c>
      <c r="J33" s="4" t="inlineStr">
        <is>
          <t>Cartagena</t>
        </is>
      </c>
    </row>
    <row r="34" ht="15" customHeight="1">
      <c r="A34" s="3" t="inlineStr">
        <is>
          <t>MOVISTAR|||Datos celulares BUN</t>
        </is>
      </c>
      <c r="B34" s="6" t="inlineStr">
        <is>
          <t>830122566-1</t>
        </is>
      </c>
      <c r="C34" s="6" t="inlineStr">
        <is>
          <t>MOVISTAR</t>
        </is>
      </c>
      <c r="D34" s="6" t="inlineStr">
        <is>
          <t>Datos celulares BUN</t>
        </is>
      </c>
      <c r="E34" s="6" t="inlineStr">
        <is>
          <t>ADM</t>
        </is>
      </c>
      <c r="F34" s="7" t="inlineStr">
        <is>
          <t>INTERNET</t>
        </is>
      </c>
      <c r="G34" s="7" t="inlineStr">
        <is>
          <t>TELEFONO</t>
        </is>
      </c>
      <c r="H34" s="7" t="inlineStr">
        <is>
          <t>DATOS CELULARES OF BUN</t>
        </is>
      </c>
      <c r="I34" s="6" t="inlineStr">
        <is>
          <t>Fijo</t>
        </is>
      </c>
      <c r="J34" s="6" t="inlineStr">
        <is>
          <t>Buenaventura</t>
        </is>
      </c>
    </row>
    <row r="35" ht="15" customHeight="1">
      <c r="A35" s="3" t="inlineStr">
        <is>
          <t>CLARO S.A.|||SIM tablet BUN y aeropuerto</t>
        </is>
      </c>
      <c r="B35" s="4" t="inlineStr">
        <is>
          <t>800153993-7</t>
        </is>
      </c>
      <c r="C35" s="4" t="inlineStr">
        <is>
          <t>CLARO S.A.</t>
        </is>
      </c>
      <c r="D35" s="4" t="inlineStr">
        <is>
          <t>SIM tablet BUN y aeropuerto</t>
        </is>
      </c>
      <c r="E35" s="4" t="inlineStr">
        <is>
          <t>ADM</t>
        </is>
      </c>
      <c r="F35" s="5" t="inlineStr">
        <is>
          <t>INTERNET</t>
        </is>
      </c>
      <c r="G35" s="5" t="inlineStr">
        <is>
          <t>TELEFONO</t>
        </is>
      </c>
      <c r="H35" s="5" t="inlineStr">
        <is>
          <t>/SIM TABLET OFC/ BUN Y AERPTO</t>
        </is>
      </c>
      <c r="I35" s="4" t="inlineStr">
        <is>
          <t>Fijo</t>
        </is>
      </c>
      <c r="J35" s="4" t="inlineStr">
        <is>
          <t>Puertos</t>
        </is>
      </c>
    </row>
    <row r="36" ht="15" customHeight="1">
      <c r="A36" s="3" t="inlineStr">
        <is>
          <t>CLARO S.A.|||SIM tablet CTG</t>
        </is>
      </c>
      <c r="B36" s="6" t="inlineStr">
        <is>
          <t>800153993-7</t>
        </is>
      </c>
      <c r="C36" s="6" t="inlineStr">
        <is>
          <t>CLARO S.A.</t>
        </is>
      </c>
      <c r="D36" s="6" t="inlineStr">
        <is>
          <t>SIM tablet CTG</t>
        </is>
      </c>
      <c r="E36" s="6" t="inlineStr">
        <is>
          <t>ADM</t>
        </is>
      </c>
      <c r="F36" s="7" t="inlineStr">
        <is>
          <t>INTERNET</t>
        </is>
      </c>
      <c r="G36" s="7" t="inlineStr">
        <is>
          <t>TELEFONO</t>
        </is>
      </c>
      <c r="H36" s="7" t="inlineStr">
        <is>
          <t>/SIM TABLET OFC/ CTG</t>
        </is>
      </c>
      <c r="I36" s="6" t="inlineStr">
        <is>
          <t>Fijo</t>
        </is>
      </c>
      <c r="J36" s="6" t="inlineStr">
        <is>
          <t>Cartagena</t>
        </is>
      </c>
    </row>
    <row r="37" ht="15" customHeight="1">
      <c r="A37" s="3" t="inlineStr">
        <is>
          <t>CLARO S.A.|||Datos móviles BOG</t>
        </is>
      </c>
      <c r="B37" s="4" t="inlineStr">
        <is>
          <t>800153993-7</t>
        </is>
      </c>
      <c r="C37" s="4" t="inlineStr">
        <is>
          <t>CLARO S.A.</t>
        </is>
      </c>
      <c r="D37" s="4" t="inlineStr">
        <is>
          <t>Datos móviles BOG</t>
        </is>
      </c>
      <c r="E37" s="4" t="inlineStr">
        <is>
          <t>ADM</t>
        </is>
      </c>
      <c r="F37" s="5" t="inlineStr">
        <is>
          <t>INTERNET</t>
        </is>
      </c>
      <c r="G37" s="5" t="inlineStr">
        <is>
          <t>TELEFONO</t>
        </is>
      </c>
      <c r="H37" s="5" t="inlineStr">
        <is>
          <t>/DATOS MOVILES/ BOG</t>
        </is>
      </c>
      <c r="I37" s="4" t="inlineStr">
        <is>
          <t>Fijo</t>
        </is>
      </c>
      <c r="J37" s="4" t="inlineStr">
        <is>
          <t>Calle 100</t>
        </is>
      </c>
    </row>
    <row r="38" ht="15" customHeight="1">
      <c r="A38" s="3" t="inlineStr">
        <is>
          <t>CLARO S.A.|||Internet oficinas CTG y BUN</t>
        </is>
      </c>
      <c r="B38" s="6" t="inlineStr">
        <is>
          <t>800153993-7</t>
        </is>
      </c>
      <c r="C38" s="6" t="inlineStr">
        <is>
          <t>CLARO S.A.</t>
        </is>
      </c>
      <c r="D38" s="6" t="inlineStr">
        <is>
          <t>Internet oficinas CTG y BUN</t>
        </is>
      </c>
      <c r="E38" s="6" t="inlineStr">
        <is>
          <t>IT</t>
        </is>
      </c>
      <c r="F38" s="7" t="inlineStr">
        <is>
          <t>INTERNET</t>
        </is>
      </c>
      <c r="G38" s="7" t="inlineStr">
        <is>
          <t>INTERNET</t>
        </is>
      </c>
      <c r="H38" s="7" t="inlineStr">
        <is>
          <t>/INTERNET OFC/ CTG Y BUN</t>
        </is>
      </c>
      <c r="I38" s="6" t="inlineStr">
        <is>
          <t>Fijo</t>
        </is>
      </c>
      <c r="J38" s="6" t="inlineStr">
        <is>
          <t>Puertos</t>
        </is>
      </c>
    </row>
    <row r="39" ht="15" customHeight="1">
      <c r="A39" s="3" t="inlineStr">
        <is>
          <t>CLARO S.A.|||Internet oficinas BRQ</t>
        </is>
      </c>
      <c r="B39" s="4" t="inlineStr">
        <is>
          <t>800153993-7</t>
        </is>
      </c>
      <c r="C39" s="4" t="inlineStr">
        <is>
          <t>CLARO S.A.</t>
        </is>
      </c>
      <c r="D39" s="4" t="inlineStr">
        <is>
          <t>Internet oficinas BRQ</t>
        </is>
      </c>
      <c r="E39" s="4" t="inlineStr">
        <is>
          <t>IT</t>
        </is>
      </c>
      <c r="F39" s="5" t="inlineStr">
        <is>
          <t>INTERNET</t>
        </is>
      </c>
      <c r="G39" s="5" t="inlineStr">
        <is>
          <t>INTERNET</t>
        </is>
      </c>
      <c r="H39" s="5" t="inlineStr">
        <is>
          <t>/INTERNET OFC/ BRQ</t>
        </is>
      </c>
      <c r="I39" s="4" t="inlineStr">
        <is>
          <t>Fijo</t>
        </is>
      </c>
      <c r="J39" s="4" t="inlineStr">
        <is>
          <t>Barranquilla</t>
        </is>
      </c>
    </row>
    <row r="40" ht="15" customHeight="1">
      <c r="A40" s="3" t="inlineStr">
        <is>
          <t>CLARO S.A.|||Internet y telefonía CALI</t>
        </is>
      </c>
      <c r="B40" s="6" t="inlineStr">
        <is>
          <t>800153993-7</t>
        </is>
      </c>
      <c r="C40" s="6" t="inlineStr">
        <is>
          <t>CLARO S.A.</t>
        </is>
      </c>
      <c r="D40" s="6" t="inlineStr">
        <is>
          <t>Internet y telefonía CALI</t>
        </is>
      </c>
      <c r="E40" s="6" t="inlineStr">
        <is>
          <t>IT</t>
        </is>
      </c>
      <c r="F40" s="7" t="inlineStr">
        <is>
          <t>INTERNET</t>
        </is>
      </c>
      <c r="G40" s="7" t="inlineStr">
        <is>
          <t>INTERNET</t>
        </is>
      </c>
      <c r="H40" s="7" t="inlineStr">
        <is>
          <t>/INTERNET OFC/ CALI</t>
        </is>
      </c>
      <c r="I40" s="6" t="inlineStr">
        <is>
          <t>Fijo</t>
        </is>
      </c>
      <c r="J40" s="6" t="inlineStr">
        <is>
          <t>Cali</t>
        </is>
      </c>
    </row>
    <row r="41" ht="15" customHeight="1">
      <c r="A41" s="3" t="inlineStr">
        <is>
          <t>CLARO S.A.|||Telefonía fija BUN y CTG</t>
        </is>
      </c>
      <c r="B41" s="4" t="inlineStr">
        <is>
          <t>800153993-7</t>
        </is>
      </c>
      <c r="C41" s="4" t="inlineStr">
        <is>
          <t>CLARO S.A.</t>
        </is>
      </c>
      <c r="D41" s="4" t="inlineStr">
        <is>
          <t>Telefonía fija BUN y CTG</t>
        </is>
      </c>
      <c r="E41" s="4" t="inlineStr">
        <is>
          <t>ADM</t>
        </is>
      </c>
      <c r="F41" s="5" t="inlineStr">
        <is>
          <t>TELEFONO (TELEFONO FIJO)</t>
        </is>
      </c>
      <c r="G41" s="5" t="inlineStr">
        <is>
          <t>TELEFONO</t>
        </is>
      </c>
      <c r="H41" s="5" t="inlineStr">
        <is>
          <t>/TEL. FIJO OFC/ CTG y BUN</t>
        </is>
      </c>
      <c r="I41" s="4" t="inlineStr">
        <is>
          <t>Fijo</t>
        </is>
      </c>
      <c r="J41" s="4" t="inlineStr">
        <is>
          <t>Puertos</t>
        </is>
      </c>
    </row>
    <row r="42" ht="21.75" customHeight="1">
      <c r="A42" s="3" t="inlineStr">
        <is>
          <t>CLARO S.A.|||Celulares colaboradores</t>
        </is>
      </c>
      <c r="B42" s="6" t="inlineStr">
        <is>
          <t>800153993-7</t>
        </is>
      </c>
      <c r="C42" s="6" t="inlineStr">
        <is>
          <t>CLARO S.A.</t>
        </is>
      </c>
      <c r="D42" s="6" t="inlineStr">
        <is>
          <t>Celulares colaboradores</t>
        </is>
      </c>
      <c r="E42" s="6" t="inlineStr">
        <is>
          <t>ADM</t>
        </is>
      </c>
      <c r="F42" s="7" t="inlineStr">
        <is>
          <t>CELULARES</t>
        </is>
      </c>
      <c r="G42" s="7" t="inlineStr">
        <is>
          <t>CELULARES</t>
        </is>
      </c>
      <c r="H42" s="7" t="inlineStr">
        <is>
          <t>SERVICIO TELEFONIA CELULAR COLABORADORES CRAFT</t>
        </is>
      </c>
      <c r="I42" s="6" t="inlineStr">
        <is>
          <t>Fijo</t>
        </is>
      </c>
      <c r="J42" s="6" t="inlineStr">
        <is>
          <t>Transversal</t>
        </is>
      </c>
    </row>
    <row r="43" ht="15" customHeight="1">
      <c r="A43" s="3" t="inlineStr">
        <is>
          <t>IFX NETWORKS COLOMBIA S.A.S.|||SD WAN</t>
        </is>
      </c>
      <c r="B43" s="4" t="inlineStr">
        <is>
          <t>830058677-7</t>
        </is>
      </c>
      <c r="C43" s="4" t="inlineStr">
        <is>
          <t>IFX NETWORKS COLOMBIA S.A.S.</t>
        </is>
      </c>
      <c r="D43" s="4" t="inlineStr">
        <is>
          <t>SD WAN</t>
        </is>
      </c>
      <c r="E43" s="4" t="inlineStr">
        <is>
          <t>IT</t>
        </is>
      </c>
      <c r="F43" s="5" t="inlineStr">
        <is>
          <t>INTERNET</t>
        </is>
      </c>
      <c r="G43" s="5" t="inlineStr">
        <is>
          <t>INTERNET</t>
        </is>
      </c>
      <c r="H43" s="5" t="inlineStr">
        <is>
          <t>/SD WAN/</t>
        </is>
      </c>
      <c r="I43" s="4" t="inlineStr">
        <is>
          <t>Fijo</t>
        </is>
      </c>
      <c r="J43" s="4" t="inlineStr">
        <is>
          <t>Transversal</t>
        </is>
      </c>
    </row>
    <row r="44" ht="15" customHeight="1">
      <c r="A44" s="3" t="inlineStr">
        <is>
          <t>IFX NETWORKS COLOMBIA S.A.S.|||Internet todas las sucursales</t>
        </is>
      </c>
      <c r="B44" s="6" t="inlineStr">
        <is>
          <t>830058677-7</t>
        </is>
      </c>
      <c r="C44" s="6" t="inlineStr">
        <is>
          <t>IFX NETWORKS COLOMBIA S.A.S.</t>
        </is>
      </c>
      <c r="D44" s="6" t="inlineStr">
        <is>
          <t>Internet todas las sucursales</t>
        </is>
      </c>
      <c r="E44" s="6" t="inlineStr">
        <is>
          <t>IT</t>
        </is>
      </c>
      <c r="F44" s="7" t="inlineStr">
        <is>
          <t>INTERNET</t>
        </is>
      </c>
      <c r="G44" s="7" t="inlineStr">
        <is>
          <t>INTERNET</t>
        </is>
      </c>
      <c r="H44" s="7" t="inlineStr">
        <is>
          <t>/INTERNET OFC/</t>
        </is>
      </c>
      <c r="I44" s="6" t="inlineStr">
        <is>
          <t>Fijo</t>
        </is>
      </c>
      <c r="J44" s="6" t="inlineStr">
        <is>
          <t>Transversal</t>
        </is>
      </c>
    </row>
    <row r="45" ht="15" customHeight="1">
      <c r="A45" s="3" t="inlineStr">
        <is>
          <t>UNE EPM TELECOMUNICACIONES S-A|||Internet MED</t>
        </is>
      </c>
      <c r="B45" s="4" t="inlineStr">
        <is>
          <t>900092385-9</t>
        </is>
      </c>
      <c r="C45" s="4" t="inlineStr">
        <is>
          <t>UNE EPM TELECOMUNICACIONES S-A</t>
        </is>
      </c>
      <c r="D45" s="4" t="inlineStr">
        <is>
          <t>Internet MED</t>
        </is>
      </c>
      <c r="E45" s="4" t="inlineStr">
        <is>
          <t>ADM</t>
        </is>
      </c>
      <c r="F45" s="5" t="inlineStr">
        <is>
          <t>INTERNET</t>
        </is>
      </c>
      <c r="G45" s="5" t="inlineStr">
        <is>
          <t>INTERNET</t>
        </is>
      </c>
      <c r="H45" s="5" t="inlineStr">
        <is>
          <t>/INTERNET OFC/ MED</t>
        </is>
      </c>
      <c r="I45" s="4" t="inlineStr">
        <is>
          <t>Fijo</t>
        </is>
      </c>
      <c r="J45" s="4" t="inlineStr">
        <is>
          <t>Medellín</t>
        </is>
      </c>
    </row>
    <row r="46" ht="15" customHeight="1">
      <c r="A46" s="3" t="inlineStr">
        <is>
          <t>UNE EPM TELECOMUNICACIONES S-A|||Teléfono fijo MED</t>
        </is>
      </c>
      <c r="B46" s="6" t="inlineStr">
        <is>
          <t>900092385-9</t>
        </is>
      </c>
      <c r="C46" s="6" t="inlineStr">
        <is>
          <t>UNE EPM TELECOMUNICACIONES S-A</t>
        </is>
      </c>
      <c r="D46" s="6" t="inlineStr">
        <is>
          <t>Teléfono fijo MED</t>
        </is>
      </c>
      <c r="E46" s="6" t="inlineStr">
        <is>
          <t>ADM</t>
        </is>
      </c>
      <c r="F46" s="7" t="inlineStr">
        <is>
          <t>TELEFONO (TELEFONO FIJO)</t>
        </is>
      </c>
      <c r="G46" s="7" t="inlineStr">
        <is>
          <t>TELEFONO</t>
        </is>
      </c>
      <c r="H46" s="7" t="inlineStr">
        <is>
          <t>/TEL. FIJO OFC/ MED</t>
        </is>
      </c>
      <c r="I46" s="6" t="inlineStr">
        <is>
          <t>Fijo</t>
        </is>
      </c>
      <c r="J46" s="6" t="inlineStr">
        <is>
          <t>Medellín</t>
        </is>
      </c>
    </row>
    <row r="47" ht="15" customHeight="1">
      <c r="A47" s="3" t="inlineStr">
        <is>
          <t>UNE EPM TELECOMUNICACIONES S-A|||Número único MED</t>
        </is>
      </c>
      <c r="B47" s="4" t="inlineStr">
        <is>
          <t>900092385-9</t>
        </is>
      </c>
      <c r="C47" s="4" t="inlineStr">
        <is>
          <t>UNE EPM TELECOMUNICACIONES S-A</t>
        </is>
      </c>
      <c r="D47" s="4" t="inlineStr">
        <is>
          <t>Número único MED</t>
        </is>
      </c>
      <c r="E47" s="4" t="inlineStr">
        <is>
          <t>ADM</t>
        </is>
      </c>
      <c r="F47" s="5" t="inlineStr">
        <is>
          <t>TELEFONO (TELEFONO FIJO)</t>
        </is>
      </c>
      <c r="G47" s="5" t="inlineStr">
        <is>
          <t>TELEFONO</t>
        </is>
      </c>
      <c r="H47" s="5" t="inlineStr">
        <is>
          <t>/NUMERO UNICO OFC/ MED</t>
        </is>
      </c>
      <c r="I47" s="4" t="inlineStr">
        <is>
          <t>Fijo</t>
        </is>
      </c>
      <c r="J47" s="4" t="inlineStr">
        <is>
          <t>Medellín</t>
        </is>
      </c>
    </row>
    <row r="48" ht="15" customHeight="1">
      <c r="A48" s="3" t="inlineStr">
        <is>
          <t>ETB S.A. E.S.P|||Teléfono fijo BOG</t>
        </is>
      </c>
      <c r="B48" s="6" t="inlineStr">
        <is>
          <t>899999115-8</t>
        </is>
      </c>
      <c r="C48" s="6" t="inlineStr">
        <is>
          <t>ETB S.A. E.S.P</t>
        </is>
      </c>
      <c r="D48" s="6" t="inlineStr">
        <is>
          <t>Teléfono fijo BOG</t>
        </is>
      </c>
      <c r="E48" s="6" t="inlineStr">
        <is>
          <t>ADM</t>
        </is>
      </c>
      <c r="F48" s="7" t="inlineStr">
        <is>
          <t>TELEFONO (TELEFONO FIJO)</t>
        </is>
      </c>
      <c r="G48" s="7" t="inlineStr">
        <is>
          <t>TELEFONO</t>
        </is>
      </c>
      <c r="H48" s="7" t="inlineStr">
        <is>
          <t>/TEL. FIJO OFC/ BOG</t>
        </is>
      </c>
      <c r="I48" s="6" t="inlineStr">
        <is>
          <t>Fijo</t>
        </is>
      </c>
      <c r="J48" s="6" t="inlineStr">
        <is>
          <t>Calle 100</t>
        </is>
      </c>
    </row>
    <row r="49" ht="15" customHeight="1">
      <c r="A49" s="3" t="inlineStr">
        <is>
          <t>HARDSOFT SOLUTIONS INTEGRAL SAS|||Soporte IT CTG</t>
        </is>
      </c>
      <c r="B49" s="4" t="inlineStr">
        <is>
          <t>900533968-6</t>
        </is>
      </c>
      <c r="C49" s="4" t="inlineStr">
        <is>
          <t>HARDSOFT SOLUTIONS INTEGRAL SAS</t>
        </is>
      </c>
      <c r="D49" s="4" t="inlineStr">
        <is>
          <t>Soporte IT CTG</t>
        </is>
      </c>
      <c r="E49" s="4" t="inlineStr">
        <is>
          <t>IT</t>
        </is>
      </c>
      <c r="F49" s="5" t="inlineStr">
        <is>
          <t>MANTENIMIENTO EQUIPO DE OFICINA</t>
        </is>
      </c>
      <c r="G49" s="5" t="inlineStr">
        <is>
          <t>ASISTENCIA TECNICA</t>
        </is>
      </c>
      <c r="H49" s="5" t="inlineStr">
        <is>
          <t>/SOPORTE IT OFC/ CTG</t>
        </is>
      </c>
      <c r="I49" s="4" t="inlineStr">
        <is>
          <t>Fijo</t>
        </is>
      </c>
      <c r="J49" s="4" t="inlineStr">
        <is>
          <t>Cartagena</t>
        </is>
      </c>
    </row>
    <row r="50" ht="15" customHeight="1">
      <c r="A50" s="3" t="inlineStr">
        <is>
          <t>TECNOLOGIA INFORMATICA TECINF SAS|||Soporte VeamBackup</t>
        </is>
      </c>
      <c r="B50" s="6" t="inlineStr">
        <is>
          <t>800098622-4</t>
        </is>
      </c>
      <c r="C50" s="6" t="inlineStr">
        <is>
          <t>TECNOLOGIA INFORMATICA TECINF SAS</t>
        </is>
      </c>
      <c r="D50" s="6" t="inlineStr">
        <is>
          <t>Soporte VeamBackup</t>
        </is>
      </c>
      <c r="E50" s="6" t="inlineStr">
        <is>
          <t>IT</t>
        </is>
      </c>
      <c r="F50" s="7" t="inlineStr">
        <is>
          <t>INTERNET</t>
        </is>
      </c>
      <c r="G50" s="7" t="inlineStr">
        <is>
          <t>ASISTENCIA TECNICA</t>
        </is>
      </c>
      <c r="H50" s="7" t="inlineStr">
        <is>
          <t>/SOPORTE VEAMBACKUP/</t>
        </is>
      </c>
      <c r="I50" s="6" t="inlineStr">
        <is>
          <t>Fijo</t>
        </is>
      </c>
      <c r="J50" s="6" t="inlineStr">
        <is>
          <t>Transversal</t>
        </is>
      </c>
    </row>
    <row r="51" ht="21.75" customHeight="1">
      <c r="A51" s="3" t="inlineStr">
        <is>
          <t>MULTICOPY JV ZOMAC SAS|||Arriendo fotocopiadora BUN</t>
        </is>
      </c>
      <c r="B51" s="4" t="inlineStr">
        <is>
          <t>901556475-1</t>
        </is>
      </c>
      <c r="C51" s="4" t="inlineStr">
        <is>
          <t>MULTICOPY JV ZOMAC SAS</t>
        </is>
      </c>
      <c r="D51" s="4" t="inlineStr">
        <is>
          <t>Arriendo fotocopiadora BUN</t>
        </is>
      </c>
      <c r="E51" s="4" t="inlineStr">
        <is>
          <t>IT</t>
        </is>
      </c>
      <c r="F51" s="5" t="inlineStr">
        <is>
          <t>NUEVO FIREWALL- PROGRAMA DESASTER RECOVERY</t>
        </is>
      </c>
      <c r="G51" s="5" t="inlineStr">
        <is>
          <t>EQUIPO DE OFICINA</t>
        </is>
      </c>
      <c r="H51" s="5" t="inlineStr">
        <is>
          <t>/ARRENDAMIENTO FOTOCOPIADORA/ OF BUN</t>
        </is>
      </c>
      <c r="I51" s="4" t="inlineStr">
        <is>
          <t>Fijo</t>
        </is>
      </c>
      <c r="J51" s="4" t="inlineStr">
        <is>
          <t>Buenaventura</t>
        </is>
      </c>
    </row>
    <row r="52" ht="15" customHeight="1">
      <c r="A52" s="3" t="inlineStr">
        <is>
          <t>COMPUASOCIADOS|||Soporte IT BUN</t>
        </is>
      </c>
      <c r="B52" s="6" t="inlineStr">
        <is>
          <t>16506338-5</t>
        </is>
      </c>
      <c r="C52" s="6" t="inlineStr">
        <is>
          <t>COMPUASOCIADOS</t>
        </is>
      </c>
      <c r="D52" s="6" t="inlineStr">
        <is>
          <t>Soporte IT BUN</t>
        </is>
      </c>
      <c r="E52" s="6" t="inlineStr">
        <is>
          <t>IT</t>
        </is>
      </c>
      <c r="F52" s="7" t="inlineStr">
        <is>
          <t>MANTENIMIENTO EQUIPO DE OFICINA</t>
        </is>
      </c>
      <c r="G52" s="7" t="inlineStr">
        <is>
          <t>ASISTENCIA TECNICA</t>
        </is>
      </c>
      <c r="H52" s="7" t="inlineStr">
        <is>
          <t>/SOPORTE IT OFC/ BUN</t>
        </is>
      </c>
      <c r="I52" s="6" t="inlineStr">
        <is>
          <t>Fijo</t>
        </is>
      </c>
      <c r="J52" s="6" t="inlineStr">
        <is>
          <t>Buenaventura</t>
        </is>
      </c>
    </row>
    <row r="53" ht="15" customHeight="1">
      <c r="A53" s="3" t="inlineStr">
        <is>
          <t>TRANS INTERNATIONAL COURIER S.A.S|||Mensajería nacional</t>
        </is>
      </c>
      <c r="B53" s="4" t="inlineStr">
        <is>
          <t>830033294-1</t>
        </is>
      </c>
      <c r="C53" s="4" t="inlineStr">
        <is>
          <t>TRANS INTERNATIONAL COURIER S.A.S</t>
        </is>
      </c>
      <c r="D53" s="4" t="inlineStr">
        <is>
          <t>Mensajería nacional</t>
        </is>
      </c>
      <c r="E53" s="4" t="inlineStr">
        <is>
          <t>ADM</t>
        </is>
      </c>
      <c r="F53" s="5" t="inlineStr">
        <is>
          <t>CORREOS Y TELEGRAMAS</t>
        </is>
      </c>
      <c r="G53" s="5" t="inlineStr">
        <is>
          <t>CORREO, PORTES Y TELEGRAMAS</t>
        </is>
      </c>
      <c r="H53" s="5" t="inlineStr">
        <is>
          <t>SERVICIO MENSAJERIA NACIONAL Y URBANA</t>
        </is>
      </c>
      <c r="I53" s="4" t="inlineStr">
        <is>
          <t>Variable</t>
        </is>
      </c>
      <c r="J53" s="4" t="inlineStr">
        <is>
          <t>Transversal</t>
        </is>
      </c>
    </row>
    <row r="54" ht="15" customHeight="1">
      <c r="A54" s="3" t="inlineStr">
        <is>
          <t>FUNDACION UN TECHO PARA MI PAIS COLOMBIA|||Donación fundación techo</t>
        </is>
      </c>
      <c r="B54" s="6" t="inlineStr">
        <is>
          <t>900117515-1</t>
        </is>
      </c>
      <c r="C54" s="6" t="inlineStr">
        <is>
          <t>FUNDACION UN TECHO PARA MI PAIS COLOMBIA</t>
        </is>
      </c>
      <c r="D54" s="6" t="inlineStr">
        <is>
          <t>Donación fundación techo</t>
        </is>
      </c>
      <c r="E54" s="6" t="inlineStr">
        <is>
          <t>ADM</t>
        </is>
      </c>
      <c r="F54" s="7" t="inlineStr">
        <is>
          <t>DONACION</t>
        </is>
      </c>
      <c r="G54" s="7" t="inlineStr">
        <is>
          <t>DONACION</t>
        </is>
      </c>
      <c r="H54" s="7" t="inlineStr">
        <is>
          <t>DONACIÓN FUNDACIÓN TECHO</t>
        </is>
      </c>
      <c r="I54" s="6" t="inlineStr">
        <is>
          <t>Fijo</t>
        </is>
      </c>
      <c r="J54" s="6" t="inlineStr">
        <is>
          <t>Transversal</t>
        </is>
      </c>
    </row>
    <row r="55" ht="15" customHeight="1">
      <c r="A55" s="3" t="inlineStr">
        <is>
          <t>COORSERPARK|||Plan exequial colaboradores</t>
        </is>
      </c>
      <c r="B55" s="4" t="inlineStr">
        <is>
          <t>800215065-4</t>
        </is>
      </c>
      <c r="C55" s="4" t="inlineStr">
        <is>
          <t>COORSERPARK</t>
        </is>
      </c>
      <c r="D55" s="4" t="inlineStr">
        <is>
          <t>Plan exequial colaboradores</t>
        </is>
      </c>
      <c r="E55" s="4" t="inlineStr">
        <is>
          <t>GH</t>
        </is>
      </c>
      <c r="F55" s="5" t="inlineStr">
        <is>
          <t>OUTSOURCING DE NOMINA</t>
        </is>
      </c>
      <c r="G55" s="5" t="inlineStr">
        <is>
          <t>PRESTAMO A EMPLEADOS</t>
        </is>
      </c>
      <c r="H55" s="5" t="inlineStr">
        <is>
          <t>PLAN EXEQUIAL COLABORADORES</t>
        </is>
      </c>
      <c r="I55" s="4" t="inlineStr">
        <is>
          <t>Fijo</t>
        </is>
      </c>
      <c r="J55" s="4" t="inlineStr">
        <is>
          <t>Transversal</t>
        </is>
      </c>
    </row>
    <row r="56" ht="15" customHeight="1">
      <c r="A56" s="3" t="inlineStr">
        <is>
          <t>MEDISANITAS S.A.S.|||Medicina prepagada</t>
        </is>
      </c>
      <c r="B56" s="6" t="inlineStr">
        <is>
          <t>800153424-8</t>
        </is>
      </c>
      <c r="C56" s="6" t="inlineStr">
        <is>
          <t>MEDISANITAS S.A.S.</t>
        </is>
      </c>
      <c r="D56" s="6" t="inlineStr">
        <is>
          <t>Medicina prepagada</t>
        </is>
      </c>
      <c r="E56" s="6" t="inlineStr">
        <is>
          <t>GH</t>
        </is>
      </c>
      <c r="F56" s="7" t="inlineStr">
        <is>
          <t>OUTSOURCING DE NOMINA</t>
        </is>
      </c>
      <c r="G56" s="7" t="inlineStr">
        <is>
          <t>PRESTAMO A EMPLEADOS</t>
        </is>
      </c>
      <c r="H56" s="7" t="inlineStr">
        <is>
          <t>MEDICINA PREPAGADA EMPLEADOS</t>
        </is>
      </c>
      <c r="I56" s="6" t="inlineStr">
        <is>
          <t>Fijo</t>
        </is>
      </c>
      <c r="J56" s="6" t="inlineStr">
        <is>
          <t>Transversal</t>
        </is>
      </c>
    </row>
    <row r="57" ht="15" customHeight="1">
      <c r="A57" s="3" t="inlineStr">
        <is>
          <t>EMERMEDICA S.A.|||Plan preferencial</t>
        </is>
      </c>
      <c r="B57" s="4" t="inlineStr">
        <is>
          <t>800126785-7</t>
        </is>
      </c>
      <c r="C57" s="4" t="inlineStr">
        <is>
          <t>EMERMEDICA S.A.</t>
        </is>
      </c>
      <c r="D57" s="4" t="inlineStr">
        <is>
          <t>Plan preferencial</t>
        </is>
      </c>
      <c r="E57" s="4" t="inlineStr">
        <is>
          <t>GH</t>
        </is>
      </c>
      <c r="F57" s="5" t="inlineStr">
        <is>
          <t>OUTSOURCING DE NOMINA</t>
        </is>
      </c>
      <c r="G57" s="5" t="inlineStr">
        <is>
          <t>PRESTAMO A EMPLEADOS</t>
        </is>
      </c>
      <c r="H57" s="5" t="inlineStr">
        <is>
          <t>PLAN PREFERENCIAL EMERMEDICA</t>
        </is>
      </c>
      <c r="I57" s="4" t="inlineStr">
        <is>
          <t>Fijo</t>
        </is>
      </c>
      <c r="J57" s="4" t="inlineStr">
        <is>
          <t>Transversal</t>
        </is>
      </c>
    </row>
    <row r="58" ht="15" customHeight="1">
      <c r="A58" s="3" t="inlineStr">
        <is>
          <t>EMERMEDICA S.A.|||Áreas protegidas</t>
        </is>
      </c>
      <c r="B58" s="6" t="inlineStr">
        <is>
          <t>800126785-7</t>
        </is>
      </c>
      <c r="C58" s="6" t="inlineStr">
        <is>
          <t>EMERMEDICA S.A.</t>
        </is>
      </c>
      <c r="D58" s="6" t="inlineStr">
        <is>
          <t>Áreas protegidas</t>
        </is>
      </c>
      <c r="E58" s="6" t="inlineStr">
        <is>
          <t>GH</t>
        </is>
      </c>
      <c r="F58" s="7" t="inlineStr">
        <is>
          <t>DOTACION Y SUMINISTRO A TRABAJADORES</t>
        </is>
      </c>
      <c r="G58" s="7" t="inlineStr">
        <is>
          <t>SERVICIOS EMERMÉDICA-SALUD</t>
        </is>
      </c>
      <c r="H58" s="7" t="inlineStr">
        <is>
          <t>/AREAS PROTEGIDAS EMERMEDICA/</t>
        </is>
      </c>
      <c r="I58" s="6" t="inlineStr">
        <is>
          <t>Fijo</t>
        </is>
      </c>
      <c r="J58" s="6" t="inlineStr">
        <is>
          <t>Transversal</t>
        </is>
      </c>
    </row>
    <row r="59" ht="15" customHeight="1">
      <c r="A59" s="3" t="inlineStr">
        <is>
          <t>KEY WAY BUSINESS CONSULTING SAS|||Sistema nómina y SS</t>
        </is>
      </c>
      <c r="B59" s="4" t="inlineStr">
        <is>
          <t>901214788-2</t>
        </is>
      </c>
      <c r="C59" s="4" t="inlineStr">
        <is>
          <t>KEY WAY BUSINESS CONSULTING SAS</t>
        </is>
      </c>
      <c r="D59" s="4" t="inlineStr">
        <is>
          <t>Sistema nómina y SS</t>
        </is>
      </c>
      <c r="E59" s="4" t="inlineStr">
        <is>
          <t>GH</t>
        </is>
      </c>
      <c r="F59" s="5" t="inlineStr">
        <is>
          <t>OUTSOURCING DE NOMINA</t>
        </is>
      </c>
      <c r="G59" s="5" t="inlineStr">
        <is>
          <t>ASESORIA TECNICA</t>
        </is>
      </c>
      <c r="H59" s="5" t="inlineStr">
        <is>
          <t>/SISTEMA DE NOMINA Y SS/</t>
        </is>
      </c>
      <c r="I59" s="4" t="inlineStr">
        <is>
          <t>Fijo</t>
        </is>
      </c>
      <c r="J59" s="4" t="inlineStr">
        <is>
          <t>Transversal</t>
        </is>
      </c>
    </row>
    <row r="60" ht="15" customHeight="1">
      <c r="A60" s="3" t="inlineStr">
        <is>
          <t>FEDERACION COLOMBIANA AGENTES LOGISTICOS|||Cuota FITAC BOG</t>
        </is>
      </c>
      <c r="B60" s="6" t="inlineStr">
        <is>
          <t>900533968-6</t>
        </is>
      </c>
      <c r="C60" s="6" t="inlineStr">
        <is>
          <t>FEDERACION COLOMBIANA AGENTES LOGISTICOS</t>
        </is>
      </c>
      <c r="D60" s="6" t="inlineStr">
        <is>
          <t>Cuota FITAC BOG</t>
        </is>
      </c>
      <c r="E60" s="6" t="inlineStr">
        <is>
          <t>ADM</t>
        </is>
      </c>
      <c r="F60" s="7" t="inlineStr">
        <is>
          <t>FITAC CUOTA DE SOSTENIMIENTO</t>
        </is>
      </c>
      <c r="G60" s="7" t="inlineStr">
        <is>
          <t>FITAC CUOTA DE SOSTENIMIENTO</t>
        </is>
      </c>
      <c r="H60" s="7" t="inlineStr">
        <is>
          <t>CUOTA SOSTENIMIENTO ANUAL FITAC BOG</t>
        </is>
      </c>
      <c r="I60" s="6" t="inlineStr">
        <is>
          <t>Fijo</t>
        </is>
      </c>
      <c r="J60" s="6" t="inlineStr">
        <is>
          <t>Aeropuerto</t>
        </is>
      </c>
    </row>
    <row r="61" ht="15" customHeight="1">
      <c r="A61" s="3" t="inlineStr">
        <is>
          <t>FEDERACION COLOMBIANA AGENTES LOGISTICOS|||Cuota FITAC CTG</t>
        </is>
      </c>
      <c r="B61" s="4" t="inlineStr">
        <is>
          <t>900533968-6</t>
        </is>
      </c>
      <c r="C61" s="4" t="inlineStr">
        <is>
          <t>FEDERACION COLOMBIANA AGENTES LOGISTICOS</t>
        </is>
      </c>
      <c r="D61" s="4" t="inlineStr">
        <is>
          <t>Cuota FITAC CTG</t>
        </is>
      </c>
      <c r="E61" s="4" t="inlineStr">
        <is>
          <t>ADM</t>
        </is>
      </c>
      <c r="F61" s="5" t="inlineStr">
        <is>
          <t>FITAC CUOTA DE SOSTENIMIENTO</t>
        </is>
      </c>
      <c r="G61" s="5" t="inlineStr">
        <is>
          <t>FITAC CUOTA DE SOSTENIMIENTO</t>
        </is>
      </c>
      <c r="H61" s="5" t="inlineStr">
        <is>
          <t>CUOTA SOSTENIMIENTO ANUAL FITAC CTG</t>
        </is>
      </c>
      <c r="I61" s="4" t="inlineStr">
        <is>
          <t>Fijo</t>
        </is>
      </c>
      <c r="J61" s="4" t="inlineStr">
        <is>
          <t>Cartagena</t>
        </is>
      </c>
    </row>
    <row r="62" ht="15" customHeight="1">
      <c r="A62" s="3" t="inlineStr">
        <is>
          <t>FEDERACION COLOMBIANA AGENTES LOGISTICOS|||Cuota FITAC BUN</t>
        </is>
      </c>
      <c r="B62" s="6" t="inlineStr">
        <is>
          <t>900533968-6</t>
        </is>
      </c>
      <c r="C62" s="6" t="inlineStr">
        <is>
          <t>FEDERACION COLOMBIANA AGENTES LOGISTICOS</t>
        </is>
      </c>
      <c r="D62" s="6" t="inlineStr">
        <is>
          <t>Cuota FITAC BUN</t>
        </is>
      </c>
      <c r="E62" s="6" t="inlineStr">
        <is>
          <t>ADM</t>
        </is>
      </c>
      <c r="F62" s="7" t="inlineStr">
        <is>
          <t>FITAC CUOTA DE SOSTENIMIENTO</t>
        </is>
      </c>
      <c r="G62" s="7" t="inlineStr">
        <is>
          <t>FITAC CUOTA DE SOSTENIMIENTO</t>
        </is>
      </c>
      <c r="H62" s="7" t="inlineStr">
        <is>
          <t>CUOTA SOSTENIMIENO ANUAL CRAFT BUN</t>
        </is>
      </c>
      <c r="I62" s="6" t="inlineStr">
        <is>
          <t>Fijo</t>
        </is>
      </c>
      <c r="J62" s="6" t="inlineStr">
        <is>
          <t>Buenaventura</t>
        </is>
      </c>
    </row>
    <row r="63" ht="15" customHeight="1">
      <c r="A63" s="3" t="inlineStr">
        <is>
          <t>OPAIN SA AEROPUERTO EL DORADO|||Gastos reembolsables aeropuerto</t>
        </is>
      </c>
      <c r="B63" s="4" t="inlineStr">
        <is>
          <t>800153993-7</t>
        </is>
      </c>
      <c r="C63" s="4" t="inlineStr">
        <is>
          <t>OPAIN SA AEROPUERTO EL DORADO</t>
        </is>
      </c>
      <c r="D63" s="4" t="inlineStr">
        <is>
          <t>Gastos reembolsables aeropuerto</t>
        </is>
      </c>
      <c r="E63" s="4" t="inlineStr">
        <is>
          <t>ADM</t>
        </is>
      </c>
      <c r="F63" s="5" t="inlineStr">
        <is>
          <t>ENERGIA ELECTRICA</t>
        </is>
      </c>
      <c r="G63" s="5" t="inlineStr">
        <is>
          <t>ADMINISTRACIÓN OFICINA</t>
        </is>
      </c>
      <c r="H63" s="5" t="inlineStr">
        <is>
          <t>GASTOS REEMBOLSABLES CRAFT AEROPUERTO</t>
        </is>
      </c>
      <c r="I63" s="4" t="inlineStr">
        <is>
          <t>Fijo</t>
        </is>
      </c>
      <c r="J63" s="4" t="inlineStr">
        <is>
          <t>Aeropuerto</t>
        </is>
      </c>
    </row>
    <row r="64" ht="21.75" customHeight="1">
      <c r="A64" s="3" t="inlineStr">
        <is>
          <t>LUZ DARY MINA GARCES|||Aseo oficina BUN</t>
        </is>
      </c>
      <c r="B64" s="6" t="inlineStr">
        <is>
          <t>900533052-5</t>
        </is>
      </c>
      <c r="C64" s="6" t="inlineStr">
        <is>
          <t>LUZ DARY MINA GARCES</t>
        </is>
      </c>
      <c r="D64" s="6" t="inlineStr">
        <is>
          <t>Aseo oficina BUN</t>
        </is>
      </c>
      <c r="E64" s="6" t="inlineStr">
        <is>
          <t>ADM</t>
        </is>
      </c>
      <c r="F64" s="7" t="inlineStr">
        <is>
          <t>SERVICIOS GENERALES DE ASEO OFCS - PLANILLA DE SS AC - OTROS (2MM)</t>
        </is>
      </c>
      <c r="G64" s="7" t="inlineStr">
        <is>
          <t>ASEO Y VIGILANCIA</t>
        </is>
      </c>
      <c r="H64" s="7" t="inlineStr">
        <is>
          <t>/SERV ASÉO OFC/ BUN</t>
        </is>
      </c>
      <c r="I64" s="6" t="inlineStr">
        <is>
          <t>Fijo</t>
        </is>
      </c>
      <c r="J64" s="6" t="inlineStr">
        <is>
          <t>Buenaventura</t>
        </is>
      </c>
    </row>
    <row r="65" ht="15" customHeight="1">
      <c r="A65" s="3" t="inlineStr">
        <is>
          <t>COMPAÑIA PAPELERA NACIONAL S.A.S|||Aseo y cafetería</t>
        </is>
      </c>
      <c r="B65" s="4" t="inlineStr">
        <is>
          <t>800098622-4</t>
        </is>
      </c>
      <c r="C65" s="4" t="inlineStr">
        <is>
          <t>COMPAÑIA PAPELERA NACIONAL S.A.S</t>
        </is>
      </c>
      <c r="D65" s="4" t="inlineStr">
        <is>
          <t>Aseo y cafetería</t>
        </is>
      </c>
      <c r="E65" s="4" t="inlineStr">
        <is>
          <t>ADM</t>
        </is>
      </c>
      <c r="F65" s="5" t="inlineStr">
        <is>
          <t>MATERIAL COPA/COZINHA</t>
        </is>
      </c>
      <c r="G65" s="5" t="inlineStr">
        <is>
          <t>MATERIAL COPA/COZINHA</t>
        </is>
      </c>
      <c r="H65" s="5" t="inlineStr">
        <is>
          <t>PEDIDO ASEO Y CAFETERIA</t>
        </is>
      </c>
      <c r="I65" s="4" t="inlineStr">
        <is>
          <t>Variable</t>
        </is>
      </c>
      <c r="J65" s="4" t="inlineStr">
        <is>
          <t>Transversal</t>
        </is>
      </c>
    </row>
    <row r="66" ht="15" customHeight="1">
      <c r="A66" s="3" t="inlineStr">
        <is>
          <t>COMPAÑIA PAPELERA NACIONAL S.A.S|||Papelería</t>
        </is>
      </c>
      <c r="B66" s="6" t="inlineStr">
        <is>
          <t>800098622-4</t>
        </is>
      </c>
      <c r="C66" s="6" t="inlineStr">
        <is>
          <t>COMPAÑIA PAPELERA NACIONAL S.A.S</t>
        </is>
      </c>
      <c r="D66" s="6" t="inlineStr">
        <is>
          <t>Papelería</t>
        </is>
      </c>
      <c r="E66" s="6" t="inlineStr">
        <is>
          <t>ADM</t>
        </is>
      </c>
      <c r="F66" s="7" t="inlineStr">
        <is>
          <t>MATERIAL DE ESCRITORIO</t>
        </is>
      </c>
      <c r="G66" s="7" t="inlineStr">
        <is>
          <t>MATERIAL DE ESCRITORIO</t>
        </is>
      </c>
      <c r="H66" s="7" t="inlineStr">
        <is>
          <t>PEDIDO PAPELERIA</t>
        </is>
      </c>
      <c r="I66" s="6" t="inlineStr">
        <is>
          <t>Variable</t>
        </is>
      </c>
      <c r="J66" s="6" t="inlineStr">
        <is>
          <t>Transversal</t>
        </is>
      </c>
    </row>
    <row r="67" ht="15" customHeight="1">
      <c r="A67" t="inlineStr">
        <is>
          <t>PRUEBA|||SERV1</t>
        </is>
      </c>
      <c r="B67" s="8" t="inlineStr">
        <is>
          <t>001</t>
        </is>
      </c>
      <c r="C67" s="8" t="inlineStr">
        <is>
          <t>PRUEBA</t>
        </is>
      </c>
      <c r="D67" s="8" t="inlineStr">
        <is>
          <t>SERV1</t>
        </is>
      </c>
      <c r="E67" s="6" t="inlineStr">
        <is>
          <t>amd</t>
        </is>
      </c>
      <c r="F67" s="9" t="inlineStr">
        <is>
          <t>cuota</t>
        </is>
      </c>
      <c r="G67" s="9" t="inlineStr">
        <is>
          <t>cuota</t>
        </is>
      </c>
      <c r="H67" s="9" t="inlineStr">
        <is>
          <t>cuota</t>
        </is>
      </c>
      <c r="I67" s="8" t="inlineStr">
        <is>
          <t>cuota</t>
        </is>
      </c>
      <c r="J67" s="8" t="inlineStr">
        <is>
          <t>cuota</t>
        </is>
      </c>
    </row>
    <row r="68" ht="15" customHeight="1">
      <c r="A68" t="inlineStr">
        <is>
          <t>PRUEBA|||SERV2</t>
        </is>
      </c>
      <c r="B68" s="10" t="inlineStr">
        <is>
          <t>002</t>
        </is>
      </c>
      <c r="C68" s="10" t="inlineStr">
        <is>
          <t>PRUEBA</t>
        </is>
      </c>
      <c r="D68" s="10" t="inlineStr">
        <is>
          <t xml:space="preserve">SERV2 </t>
        </is>
      </c>
      <c r="E68" s="6" t="inlineStr">
        <is>
          <t>adm</t>
        </is>
      </c>
      <c r="F68" s="11" t="inlineStr">
        <is>
          <t>cuota</t>
        </is>
      </c>
      <c r="G68" s="9" t="inlineStr">
        <is>
          <t>cuota</t>
        </is>
      </c>
      <c r="H68" s="9" t="inlineStr">
        <is>
          <t>cuota</t>
        </is>
      </c>
      <c r="I68" s="10" t="inlineStr">
        <is>
          <t>cuota</t>
        </is>
      </c>
      <c r="J68" t="inlineStr">
        <is>
          <t>cuota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4"/>
  <sheetViews>
    <sheetView topLeftCell="AO1" zoomScaleNormal="100" workbookViewId="0">
      <selection activeCell="AP18" sqref="AP18"/>
    </sheetView>
  </sheetViews>
  <sheetFormatPr baseColWidth="10" defaultColWidth="8.7109375" defaultRowHeight="15"/>
  <cols>
    <col width="67" customWidth="1" min="1" max="1"/>
    <col width="28" customWidth="1" min="2" max="42"/>
  </cols>
  <sheetData>
    <row r="1" ht="15" customHeight="1">
      <c r="A1" s="12" t="inlineStr">
        <is>
          <t>Hoja técnica — rangos para listas desplegables encadenadas</t>
        </is>
      </c>
    </row>
    <row r="2" ht="27.75" customHeight="1">
      <c r="A2" s="13" t="inlineStr">
        <is>
          <t>PROVEEDORES</t>
        </is>
      </c>
      <c r="B2" s="14" t="inlineStr">
        <is>
          <t>AIR-E S.A.S. E.S.P.</t>
        </is>
      </c>
      <c r="C2" s="14" t="inlineStr">
        <is>
          <t>ASTURIAS SOLUCIONES DE INGENIERIA BUCEO COMERCIAL Y DRAGADO SAS</t>
        </is>
      </c>
      <c r="D2" s="14" t="inlineStr">
        <is>
          <t>CASALIMPIA SA</t>
        </is>
      </c>
      <c r="E2" s="14" t="inlineStr">
        <is>
          <t>CLARO S.A.</t>
        </is>
      </c>
      <c r="F2" s="14" t="inlineStr">
        <is>
          <t>COMPAÑIA PAPELERA NACIONAL S.A.S</t>
        </is>
      </c>
      <c r="G2" s="14" t="inlineStr">
        <is>
          <t>COMPUASOCIADOS</t>
        </is>
      </c>
      <c r="H2" s="14" t="inlineStr">
        <is>
          <t>CONTRATOS Y FIANZAS DE ARRENDAMIENTO S.A.S.</t>
        </is>
      </c>
      <c r="I2" s="14" t="inlineStr">
        <is>
          <t>COORSERPARK</t>
        </is>
      </c>
      <c r="J2" s="14" t="inlineStr">
        <is>
          <t>EDIFICIO CAPITAL TOWERS PROPIEDAD HORIZONTAL</t>
        </is>
      </c>
      <c r="K2" s="14" t="inlineStr">
        <is>
          <t>EDIFICIO PORTUS MANGA CARTAGENA</t>
        </is>
      </c>
      <c r="L2" s="14" t="inlineStr">
        <is>
          <t>EDIFICIO TORRES DEL ATLANTICO</t>
        </is>
      </c>
      <c r="M2" s="14" t="inlineStr">
        <is>
          <t>EMERMEDICA S.A.</t>
        </is>
      </c>
      <c r="N2" s="14" t="inlineStr">
        <is>
          <t>EMPRESAS MUNICIPALES DE CALI</t>
        </is>
      </c>
      <c r="O2" s="14" t="inlineStr">
        <is>
          <t>EMPRESAS PÚBLICAS DE MEDELLÍN E.S.P</t>
        </is>
      </c>
      <c r="P2" s="14" t="inlineStr">
        <is>
          <t>ETB S.A. E.S.P</t>
        </is>
      </c>
      <c r="Q2" s="14" t="inlineStr">
        <is>
          <t>FEDERACION COLOMBIANA AGENTES LOGISTICOS</t>
        </is>
      </c>
      <c r="R2" s="14" t="inlineStr">
        <is>
          <t>FUNDACION UN TECHO PARA MI PAIS COLOMBIA</t>
        </is>
      </c>
      <c r="S2" s="14" t="inlineStr">
        <is>
          <t>HARDSOFT SOLUTIONS INTEGRAL SAS</t>
        </is>
      </c>
      <c r="T2" s="14" t="inlineStr">
        <is>
          <t>IFX NETWORKS COLOMBIA S.A.S.</t>
        </is>
      </c>
      <c r="U2" s="14" t="inlineStr">
        <is>
          <t>INTERASEO AEROPUERTO</t>
        </is>
      </c>
      <c r="V2" s="14" t="inlineStr">
        <is>
          <t>INVERSIONES HOTELERAS BUENAVENTURA S.A.S.</t>
        </is>
      </c>
      <c r="W2" s="14" t="inlineStr">
        <is>
          <t>JAVIER ANTONIO SANCHEZ O.</t>
        </is>
      </c>
      <c r="X2" s="14" t="inlineStr">
        <is>
          <t>JCO INVERSIONES S.A.S</t>
        </is>
      </c>
      <c r="Y2" s="14" t="inlineStr">
        <is>
          <t>KEY WAY BUSINESS CONSULTING SAS</t>
        </is>
      </c>
      <c r="Z2" s="14" t="inlineStr">
        <is>
          <t>LI STORAGE SAS</t>
        </is>
      </c>
      <c r="AA2" s="14" t="inlineStr">
        <is>
          <t>LUZ DARY MINA GARCES</t>
        </is>
      </c>
      <c r="AB2" s="14" t="inlineStr">
        <is>
          <t>MARVAL S.A.S.</t>
        </is>
      </c>
      <c r="AC2" s="14" t="inlineStr">
        <is>
          <t>MEDISANITAS S.A.S.</t>
        </is>
      </c>
      <c r="AD2" s="14" t="inlineStr">
        <is>
          <t>MOVISTAR</t>
        </is>
      </c>
      <c r="AE2" s="14" t="inlineStr">
        <is>
          <t>MULTICOPY JV ZOMAC SAS</t>
        </is>
      </c>
      <c r="AF2" s="14" t="inlineStr">
        <is>
          <t>OPAIN SA AEROPUERTO EL DORADO</t>
        </is>
      </c>
      <c r="AG2" s="14" t="inlineStr">
        <is>
          <t>PALAN SOCIEDAD POR ACCIONES SIMPLIFICADA</t>
        </is>
      </c>
      <c r="AH2" s="14" t="inlineStr">
        <is>
          <t>PATRIMONIOS AUTONOMOS FIDUCIARIA BANCOLOMBIA S A</t>
        </is>
      </c>
      <c r="AI2" s="14" t="inlineStr">
        <is>
          <t>PORTUS GLOBAL SAS</t>
        </is>
      </c>
      <c r="AJ2" s="14" t="inlineStr">
        <is>
          <t>SERVIDOMESTICAS SAS</t>
        </is>
      </c>
      <c r="AK2" s="14" t="inlineStr">
        <is>
          <t>SUMAR INVERSIONES Y PROYECTOS S.A.S.</t>
        </is>
      </c>
      <c r="AL2" s="14" t="inlineStr">
        <is>
          <t>TECNOLOGIA INFORMATICA TECINF SAS</t>
        </is>
      </c>
      <c r="AM2" s="14" t="inlineStr">
        <is>
          <t>TRAIKER GROUP COLOMBIA S.A.S.</t>
        </is>
      </c>
      <c r="AN2" s="14" t="inlineStr">
        <is>
          <t>TRANS INTERNATIONAL COURIER S.A.S</t>
        </is>
      </c>
      <c r="AO2" s="14" t="inlineStr">
        <is>
          <t>TRIPLE A</t>
        </is>
      </c>
      <c r="AP2" s="14" t="inlineStr">
        <is>
          <t>UNE EPM TELECOMUNICACIONES S-A</t>
        </is>
      </c>
      <c r="AQ2" s="15" t="inlineStr">
        <is>
          <t>PRUEBA</t>
        </is>
      </c>
    </row>
    <row r="3" ht="15" customHeight="1">
      <c r="A3" s="16" t="inlineStr">
        <is>
          <t>AIR-E S.A.S. E.S.P.</t>
        </is>
      </c>
      <c r="B3" s="17" t="inlineStr">
        <is>
          <t>Energía BRQ</t>
        </is>
      </c>
      <c r="C3" s="17" t="inlineStr">
        <is>
          <t>Canon arriendo oficina BUN</t>
        </is>
      </c>
      <c r="D3" s="17" t="inlineStr">
        <is>
          <t>Aseo oficina CTG</t>
        </is>
      </c>
      <c r="E3" s="17" t="inlineStr">
        <is>
          <t>SIM tablet BUN y aeropuerto</t>
        </is>
      </c>
      <c r="F3" s="17" t="inlineStr">
        <is>
          <t>Aseo y cafetería</t>
        </is>
      </c>
      <c r="G3" s="17" t="inlineStr">
        <is>
          <t>Soporte IT BUN</t>
        </is>
      </c>
      <c r="H3" s="17" t="inlineStr">
        <is>
          <t>Canon arriendo oficina MED</t>
        </is>
      </c>
      <c r="I3" s="17" t="inlineStr">
        <is>
          <t>Plan exequial colaboradores</t>
        </is>
      </c>
      <c r="J3" s="17" t="inlineStr">
        <is>
          <t>Arriendo bodega</t>
        </is>
      </c>
      <c r="K3" s="17" t="inlineStr">
        <is>
          <t>Administración oficina CTG</t>
        </is>
      </c>
      <c r="L3" s="17" t="inlineStr">
        <is>
          <t>Administración oficina BRQ</t>
        </is>
      </c>
      <c r="M3" s="17" t="inlineStr">
        <is>
          <t>Plan preferencial</t>
        </is>
      </c>
      <c r="N3" s="17" t="inlineStr">
        <is>
          <t>Servicios públicos CALI</t>
        </is>
      </c>
      <c r="O3" s="17" t="inlineStr">
        <is>
          <t>Servicios públicos MED</t>
        </is>
      </c>
      <c r="P3" s="17" t="inlineStr">
        <is>
          <t>Teléfono fijo BOG</t>
        </is>
      </c>
      <c r="Q3" s="17" t="inlineStr">
        <is>
          <t>Cuota FITAC BOG</t>
        </is>
      </c>
      <c r="R3" s="17" t="inlineStr">
        <is>
          <t>Donación fundación techo</t>
        </is>
      </c>
      <c r="S3" s="17" t="inlineStr">
        <is>
          <t>Soporte IT CTG</t>
        </is>
      </c>
      <c r="T3" s="17" t="inlineStr">
        <is>
          <t>SD WAN</t>
        </is>
      </c>
      <c r="U3" s="17" t="inlineStr">
        <is>
          <t>Recolección basura AERPTO</t>
        </is>
      </c>
      <c r="V3" s="17" t="inlineStr">
        <is>
          <t>Servicios públicos BUN</t>
        </is>
      </c>
      <c r="W3" s="17" t="inlineStr">
        <is>
          <t>Arriendo bodega BUN</t>
        </is>
      </c>
      <c r="X3" s="17" t="inlineStr">
        <is>
          <t>Parqueadero BOG</t>
        </is>
      </c>
      <c r="Y3" s="17" t="inlineStr">
        <is>
          <t>Sistema nómina y SS</t>
        </is>
      </c>
      <c r="Z3" s="17" t="inlineStr">
        <is>
          <t>Arriendo bodega externa</t>
        </is>
      </c>
      <c r="AA3" s="17" t="inlineStr">
        <is>
          <t>Aseo oficina BUN</t>
        </is>
      </c>
      <c r="AB3" s="17" t="inlineStr">
        <is>
          <t>Canon arriendo oficina BRQ</t>
        </is>
      </c>
      <c r="AC3" s="17" t="inlineStr">
        <is>
          <t>Medicina prepagada</t>
        </is>
      </c>
      <c r="AD3" s="17" t="inlineStr">
        <is>
          <t>Datos celulares BOG</t>
        </is>
      </c>
      <c r="AE3" s="17" t="inlineStr">
        <is>
          <t>Arriendo fotocopiadora BUN</t>
        </is>
      </c>
      <c r="AF3" s="17" t="inlineStr">
        <is>
          <t>Gastos reembolsables aeropuerto</t>
        </is>
      </c>
      <c r="AG3" s="17" t="inlineStr">
        <is>
          <t>Canon arriendo oficina</t>
        </is>
      </c>
      <c r="AH3" s="17" t="inlineStr">
        <is>
          <t>Canon arriendo aeropuerto</t>
        </is>
      </c>
      <c r="AI3" s="17" t="inlineStr">
        <is>
          <t>Canon arriendo oficina CTG</t>
        </is>
      </c>
      <c r="AJ3" s="17" t="inlineStr">
        <is>
          <t>Aseo oficina MED</t>
        </is>
      </c>
      <c r="AK3" s="17" t="inlineStr">
        <is>
          <t>Canon arriendo oficina CALI</t>
        </is>
      </c>
      <c r="AL3" s="17" t="inlineStr">
        <is>
          <t>Soporte VeamBackup</t>
        </is>
      </c>
      <c r="AM3" s="17" t="inlineStr">
        <is>
          <t>Arriendo bodega CTG</t>
        </is>
      </c>
      <c r="AN3" s="17" t="inlineStr">
        <is>
          <t>Mensajería nacional</t>
        </is>
      </c>
      <c r="AO3" s="17" t="inlineStr">
        <is>
          <t>Acueducto BRQ</t>
        </is>
      </c>
      <c r="AP3" s="17" t="inlineStr">
        <is>
          <t>Internet MED</t>
        </is>
      </c>
      <c r="AQ3" s="18" t="inlineStr">
        <is>
          <t>SERV1</t>
        </is>
      </c>
    </row>
    <row r="4" ht="15" customHeight="1">
      <c r="A4" s="16" t="inlineStr">
        <is>
          <t>ASTURIAS SOLUCIONES DE INGENIERIA BUCEO COMERCIAL Y DRAGADO SAS</t>
        </is>
      </c>
      <c r="C4" s="17" t="inlineStr">
        <is>
          <t>Administración oficina BUN</t>
        </is>
      </c>
      <c r="D4" s="17" t="inlineStr">
        <is>
          <t>Aseo oficina CALI</t>
        </is>
      </c>
      <c r="E4" s="17" t="inlineStr">
        <is>
          <t>SIM tablet CTG</t>
        </is>
      </c>
      <c r="F4" s="17" t="inlineStr">
        <is>
          <t>Papelería</t>
        </is>
      </c>
      <c r="J4" s="17" t="inlineStr">
        <is>
          <t>Administración oficina</t>
        </is>
      </c>
      <c r="K4" s="17" t="inlineStr">
        <is>
          <t>Servicios públicos CTG</t>
        </is>
      </c>
      <c r="M4" s="17" t="inlineStr">
        <is>
          <t>Áreas protegidas</t>
        </is>
      </c>
      <c r="Q4" s="17" t="inlineStr">
        <is>
          <t>Cuota FITAC CTG</t>
        </is>
      </c>
      <c r="T4" s="17" t="inlineStr">
        <is>
          <t>Internet todas las sucursales</t>
        </is>
      </c>
      <c r="AD4" s="17" t="inlineStr">
        <is>
          <t>Datos celulares CTG</t>
        </is>
      </c>
      <c r="AH4" s="17" t="inlineStr">
        <is>
          <t>Servicios públicos aeropuerto</t>
        </is>
      </c>
      <c r="AP4" s="17" t="inlineStr">
        <is>
          <t>Teléfono fijo MED</t>
        </is>
      </c>
      <c r="AQ4" t="inlineStr">
        <is>
          <t>SERV2</t>
        </is>
      </c>
    </row>
    <row r="5" ht="15" customHeight="1">
      <c r="A5" s="16" t="inlineStr">
        <is>
          <t>CASALIMPIA SA</t>
        </is>
      </c>
      <c r="E5" s="17" t="inlineStr">
        <is>
          <t>Datos móviles BOG</t>
        </is>
      </c>
      <c r="J5" s="17" t="inlineStr">
        <is>
          <t>Servicios públicos</t>
        </is>
      </c>
      <c r="K5" s="17" t="inlineStr">
        <is>
          <t>Parqueadero CTG</t>
        </is>
      </c>
      <c r="Q5" s="17" t="inlineStr">
        <is>
          <t>Cuota FITAC BUN</t>
        </is>
      </c>
      <c r="AD5" s="17" t="inlineStr">
        <is>
          <t>Datos celulares BUN</t>
        </is>
      </c>
      <c r="AP5" s="17" t="inlineStr">
        <is>
          <t>Número único MED</t>
        </is>
      </c>
    </row>
    <row r="6" ht="15" customHeight="1">
      <c r="A6" s="16" t="inlineStr">
        <is>
          <t>CLARO S.A.</t>
        </is>
      </c>
      <c r="E6" s="17" t="inlineStr">
        <is>
          <t>Internet oficinas CTG y BUN</t>
        </is>
      </c>
    </row>
    <row r="7" ht="15" customHeight="1">
      <c r="A7" s="16" t="inlineStr">
        <is>
          <t>COMPAÑIA PAPELERA NACIONAL S.A.S</t>
        </is>
      </c>
      <c r="E7" s="17" t="inlineStr">
        <is>
          <t>Internet oficinas BRQ</t>
        </is>
      </c>
    </row>
    <row r="8" ht="15" customHeight="1">
      <c r="A8" s="16" t="inlineStr">
        <is>
          <t>COMPUASOCIADOS</t>
        </is>
      </c>
      <c r="E8" s="17" t="inlineStr">
        <is>
          <t>Internet y telefonía CALI</t>
        </is>
      </c>
    </row>
    <row r="9" ht="15" customHeight="1">
      <c r="A9" s="16" t="inlineStr">
        <is>
          <t>CONTRATOS Y FIANZAS DE ARRENDAMIENTO S.A.S.</t>
        </is>
      </c>
      <c r="E9" s="17" t="inlineStr">
        <is>
          <t>Telefonía fija BUN y CTG</t>
        </is>
      </c>
    </row>
    <row r="10" ht="15" customHeight="1">
      <c r="A10" s="16" t="inlineStr">
        <is>
          <t>COORSERPARK</t>
        </is>
      </c>
      <c r="E10" s="17" t="inlineStr">
        <is>
          <t>Celulares colaboradores</t>
        </is>
      </c>
    </row>
    <row r="11" ht="15" customHeight="1">
      <c r="A11" s="16" t="inlineStr">
        <is>
          <t>EDIFICIO CAPITAL TOWERS PROPIEDAD HORIZONTAL</t>
        </is>
      </c>
    </row>
    <row r="12" ht="15" customHeight="1">
      <c r="A12" s="16" t="inlineStr">
        <is>
          <t>EDIFICIO PORTUS MANGA CARTAGENA</t>
        </is>
      </c>
    </row>
    <row r="13" ht="15" customHeight="1">
      <c r="A13" s="16" t="inlineStr">
        <is>
          <t>EDIFICIO TORRES DEL ATLANTICO</t>
        </is>
      </c>
    </row>
    <row r="14" ht="15" customHeight="1">
      <c r="A14" s="16" t="inlineStr">
        <is>
          <t>EMERMEDICA S.A.</t>
        </is>
      </c>
    </row>
    <row r="15" ht="15" customHeight="1">
      <c r="A15" s="16" t="inlineStr">
        <is>
          <t>EMPRESAS MUNICIPALES DE CALI</t>
        </is>
      </c>
    </row>
    <row r="16" ht="15" customHeight="1">
      <c r="A16" s="16" t="inlineStr">
        <is>
          <t>EMPRESAS PÚBLICAS DE MEDELLÍN E.S.P</t>
        </is>
      </c>
    </row>
    <row r="17" ht="15" customHeight="1">
      <c r="A17" s="16" t="inlineStr">
        <is>
          <t>ETB S.A. E.S.P</t>
        </is>
      </c>
    </row>
    <row r="18" ht="15" customHeight="1">
      <c r="A18" s="16" t="inlineStr">
        <is>
          <t>FEDERACION COLOMBIANA AGENTES LOGISTICOS</t>
        </is>
      </c>
    </row>
    <row r="19" ht="15" customHeight="1">
      <c r="A19" s="16" t="inlineStr">
        <is>
          <t>FUNDACION UN TECHO PARA MI PAIS COLOMBIA</t>
        </is>
      </c>
    </row>
    <row r="20" ht="15" customHeight="1">
      <c r="A20" s="16" t="inlineStr">
        <is>
          <t>HARDSOFT SOLUTIONS INTEGRAL SAS</t>
        </is>
      </c>
    </row>
    <row r="21" ht="15" customHeight="1">
      <c r="A21" s="16" t="inlineStr">
        <is>
          <t>IFX NETWORKS COLOMBIA S.A.S.</t>
        </is>
      </c>
    </row>
    <row r="22" ht="15" customHeight="1">
      <c r="A22" s="16" t="inlineStr">
        <is>
          <t>INTERASEO AEROPUERTO</t>
        </is>
      </c>
    </row>
    <row r="23" ht="15" customHeight="1">
      <c r="A23" s="16" t="inlineStr">
        <is>
          <t>INVERSIONES HOTELERAS BUENAVENTURA S.A.S.</t>
        </is>
      </c>
    </row>
    <row r="24" ht="15" customHeight="1">
      <c r="A24" s="16" t="inlineStr">
        <is>
          <t>JAVIER ANTONIO SANCHEZ O.</t>
        </is>
      </c>
    </row>
    <row r="25" ht="15" customHeight="1">
      <c r="A25" s="16" t="inlineStr">
        <is>
          <t>JCO INVERSIONES S.A.S</t>
        </is>
      </c>
    </row>
    <row r="26" ht="15" customHeight="1">
      <c r="A26" s="16" t="inlineStr">
        <is>
          <t>KEY WAY BUSINESS CONSULTING SAS</t>
        </is>
      </c>
    </row>
    <row r="27" ht="15" customHeight="1">
      <c r="A27" s="16" t="inlineStr">
        <is>
          <t>LI STORAGE SAS</t>
        </is>
      </c>
    </row>
    <row r="28" ht="15" customHeight="1">
      <c r="A28" s="16" t="inlineStr">
        <is>
          <t>LUZ DARY MINA GARCES</t>
        </is>
      </c>
    </row>
    <row r="29" ht="15" customHeight="1">
      <c r="A29" s="16" t="inlineStr">
        <is>
          <t>MARVAL S.A.S.</t>
        </is>
      </c>
    </row>
    <row r="30" ht="15" customHeight="1">
      <c r="A30" s="16" t="inlineStr">
        <is>
          <t>MEDISANITAS S.A.S.</t>
        </is>
      </c>
    </row>
    <row r="31" ht="15" customHeight="1">
      <c r="A31" s="16" t="inlineStr">
        <is>
          <t>MOVISTAR</t>
        </is>
      </c>
    </row>
    <row r="32" ht="15" customHeight="1">
      <c r="A32" s="16" t="inlineStr">
        <is>
          <t>MULTICOPY JV ZOMAC SAS</t>
        </is>
      </c>
    </row>
    <row r="33" ht="15" customHeight="1">
      <c r="A33" s="16" t="inlineStr">
        <is>
          <t>OPAIN SA AEROPUERTO EL DORADO</t>
        </is>
      </c>
    </row>
    <row r="34" ht="15" customHeight="1">
      <c r="A34" s="16" t="inlineStr">
        <is>
          <t>PALAN SOCIEDAD POR ACCIONES SIMPLIFICADA</t>
        </is>
      </c>
    </row>
    <row r="35" ht="15" customHeight="1">
      <c r="A35" s="16" t="inlineStr">
        <is>
          <t>PATRIMONIOS AUTONOMOS FIDUCIARIA BANCOLOMBIA S A</t>
        </is>
      </c>
    </row>
    <row r="36" ht="15" customHeight="1">
      <c r="A36" s="16" t="inlineStr">
        <is>
          <t>PORTUS GLOBAL SAS</t>
        </is>
      </c>
    </row>
    <row r="37" ht="15" customHeight="1">
      <c r="A37" s="16" t="inlineStr">
        <is>
          <t>SERVIDOMESTICAS SAS</t>
        </is>
      </c>
    </row>
    <row r="38" ht="15" customHeight="1">
      <c r="A38" s="16" t="inlineStr">
        <is>
          <t>SUMAR INVERSIONES Y PROYECTOS S.A.S.</t>
        </is>
      </c>
    </row>
    <row r="39" ht="15" customHeight="1">
      <c r="A39" s="16" t="inlineStr">
        <is>
          <t>TECNOLOGIA INFORMATICA TECINF SAS</t>
        </is>
      </c>
    </row>
    <row r="40" ht="15" customHeight="1">
      <c r="A40" s="16" t="inlineStr">
        <is>
          <t>TRAIKER GROUP COLOMBIA S.A.S.</t>
        </is>
      </c>
    </row>
    <row r="41" ht="15" customHeight="1">
      <c r="A41" s="16" t="inlineStr">
        <is>
          <t>TRANS INTERNATIONAL COURIER S.A.S</t>
        </is>
      </c>
    </row>
    <row r="42" ht="15" customHeight="1">
      <c r="A42" s="16" t="inlineStr">
        <is>
          <t>TRIPLE A</t>
        </is>
      </c>
    </row>
    <row r="43" ht="15" customHeight="1">
      <c r="A43" s="16" t="inlineStr">
        <is>
          <t>UNE EPM TELECOMUNICACIONES S-A</t>
        </is>
      </c>
    </row>
    <row r="44" ht="15" customHeight="1">
      <c r="A44" s="19" t="inlineStr">
        <is>
          <t>PRUEBA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1"/>
  <sheetViews>
    <sheetView topLeftCell="B1" zoomScaleNormal="100" workbookViewId="0">
      <pane ySplit="3" topLeftCell="A4" activePane="bottomLeft" state="frozen"/>
      <selection pane="bottomLeft" activeCell="C14" sqref="C14"/>
    </sheetView>
  </sheetViews>
  <sheetFormatPr baseColWidth="10" defaultColWidth="8.7109375" defaultRowHeight="15"/>
  <cols>
    <col width="5" customWidth="1" min="1" max="1"/>
    <col width="42" customWidth="1" min="2" max="2"/>
    <col width="32" customWidth="1" min="3" max="3"/>
    <col width="8" customWidth="1" min="4" max="4"/>
    <col width="32" customWidth="1" min="5" max="6"/>
    <col width="36" customWidth="1" min="7" max="7"/>
    <col width="8" customWidth="1" min="8" max="8"/>
    <col width="40" customWidth="1" min="9" max="9"/>
    <col width="14" customWidth="1" min="10" max="11"/>
    <col width="13" customWidth="1" min="12" max="13"/>
    <col width="15" customWidth="1" min="14" max="14"/>
    <col width="13" customWidth="1" min="15" max="15"/>
    <col width="10" customWidth="1" min="16" max="16"/>
    <col width="11" customWidth="1" min="17" max="17"/>
    <col width="13" customWidth="1" min="18" max="18"/>
    <col width="14" customWidth="1" min="19" max="19"/>
    <col width="10" customWidth="1" min="20" max="20"/>
    <col width="14" customWidth="1" min="21" max="21"/>
    <col width="13" customWidth="1" min="22" max="22"/>
    <col width="18" customWidth="1" min="23" max="23"/>
    <col width="26" customWidth="1" min="24" max="24"/>
    <col width="16" customWidth="1" min="25" max="25"/>
    <col width="13" customWidth="1" min="26" max="26"/>
  </cols>
  <sheetData>
    <row r="1" ht="30" customHeight="1">
      <c r="A1" s="47" t="inlineStr">
        <is>
          <t>REGISTRO DE FACTURAS — CRAFT  |  Paso 1: elige PROVEEDOR → Paso 2: elige SERVICIO → completa los campos amarillos</t>
        </is>
      </c>
    </row>
    <row r="2" ht="15.75" customHeight="1">
      <c r="A2" s="48" t="inlineStr">
        <is>
          <t>🟨 Campos amarillos = ingreso manual   |   🟩 Campos verdes = automáticos (no editar)   |   El SERVICIO depende del PROVEEDOR elegido</t>
        </is>
      </c>
    </row>
    <row r="3" ht="30" customHeight="1">
      <c r="A3" s="20" t="inlineStr">
        <is>
          <t>N°</t>
        </is>
      </c>
      <c r="B3" s="21" t="inlineStr">
        <is>
          <t>PROVEEDOR</t>
        </is>
      </c>
      <c r="C3" s="21" t="inlineStr">
        <is>
          <t>SERVICIO</t>
        </is>
      </c>
      <c r="D3" s="20" t="inlineStr">
        <is>
          <t>ÁREA</t>
        </is>
      </c>
      <c r="E3" s="20" t="inlineStr">
        <is>
          <t>P&amp;L</t>
        </is>
      </c>
      <c r="F3" s="20" t="inlineStr">
        <is>
          <t>CUENTA CONTABLE</t>
        </is>
      </c>
      <c r="G3" s="20" t="inlineStr">
        <is>
          <t>GLOSA</t>
        </is>
      </c>
      <c r="H3" s="20" t="inlineStr">
        <is>
          <t>TIPO</t>
        </is>
      </c>
      <c r="I3" s="21" t="inlineStr">
        <is>
          <t>DETALLE DEL GASTO</t>
        </is>
      </c>
      <c r="J3" s="21" t="inlineStr">
        <is>
          <t>SUCURSAL</t>
        </is>
      </c>
      <c r="K3" s="21" t="inlineStr">
        <is>
          <t>N° FACTURA</t>
        </is>
      </c>
      <c r="L3" s="21" t="inlineStr">
        <is>
          <t>FECHA INGRESO</t>
        </is>
      </c>
      <c r="M3" s="21" t="inlineStr">
        <is>
          <t>FECHA REALIZACIÓN</t>
        </is>
      </c>
      <c r="N3" s="21" t="inlineStr">
        <is>
          <t>FECHA VENCIMIENTO</t>
        </is>
      </c>
      <c r="O3" s="21" t="inlineStr">
        <is>
          <t>MONTO FACTURA</t>
        </is>
      </c>
      <c r="P3" s="21" t="inlineStr">
        <is>
          <t>IVA</t>
        </is>
      </c>
      <c r="Q3" s="21" t="inlineStr">
        <is>
          <t>RETENCIÓN</t>
        </is>
      </c>
      <c r="R3" s="20" t="inlineStr">
        <is>
          <t>GASTO NETO</t>
        </is>
      </c>
      <c r="S3" s="20" t="inlineStr">
        <is>
          <t>MES EJECUCIÓN</t>
        </is>
      </c>
      <c r="T3" s="22" t="inlineStr">
        <is>
          <t>CDC</t>
        </is>
      </c>
      <c r="U3" s="22" t="inlineStr">
        <is>
          <t>FECHA PROCESADO
FINANCIERO</t>
        </is>
      </c>
      <c r="V3" s="22" t="inlineStr">
        <is>
          <t>FECHA DE PAGO</t>
        </is>
      </c>
      <c r="W3" s="22" t="inlineStr">
        <is>
          <t>SOLICITANTE</t>
        </is>
      </c>
      <c r="X3" s="22" t="inlineStr">
        <is>
          <t>OBSERVACIONES</t>
        </is>
      </c>
      <c r="Y3" s="22" t="inlineStr">
        <is>
          <t>APROBACIÓN GERENCIA
ADMINISTRATIVA</t>
        </is>
      </c>
      <c r="Z3" s="22" t="inlineStr">
        <is>
          <t>FECHA DE
APROBACIÓN</t>
        </is>
      </c>
    </row>
    <row r="4" ht="15.75" customHeight="1">
      <c r="A4" s="54" t="n">
        <v>1</v>
      </c>
      <c r="B4" s="55" t="inlineStr">
        <is>
          <t>JOSE JOAQIN ALARCON</t>
        </is>
      </c>
      <c r="C4" s="55" t="n"/>
      <c r="D4" s="56" t="n"/>
      <c r="E4" s="57" t="n"/>
      <c r="F4" s="57" t="n"/>
      <c r="G4" s="57" t="n"/>
      <c r="H4" s="56" t="n"/>
      <c r="I4" s="58" t="inlineStr">
        <is>
          <t>LAVAR CORINAS OF 802 CRAFT BOGOTA</t>
        </is>
      </c>
      <c r="J4" s="58" t="n"/>
      <c r="K4" s="58" t="inlineStr">
        <is>
          <t>23</t>
        </is>
      </c>
      <c r="L4" s="59" t="n">
        <v>45672</v>
      </c>
      <c r="M4" s="59" t="n">
        <v>45672</v>
      </c>
      <c r="N4" s="59" t="n">
        <v>45674</v>
      </c>
      <c r="O4" s="60" t="n">
        <v>950000</v>
      </c>
      <c r="P4" s="61" t="n">
        <v>0</v>
      </c>
      <c r="Q4" s="61" t="n">
        <v>0</v>
      </c>
      <c r="R4" s="62" t="n">
        <v>950000</v>
      </c>
      <c r="S4" s="56" t="inlineStr">
        <is>
          <t>enero 2025</t>
        </is>
      </c>
      <c r="T4" s="55" t="inlineStr">
        <is>
          <t>3127</t>
        </is>
      </c>
      <c r="U4" s="63" t="n"/>
      <c r="V4" s="63" t="n"/>
      <c r="W4" s="55" t="n"/>
      <c r="X4" s="55" t="inlineStr">
        <is>
          <t>aprobado por correo</t>
        </is>
      </c>
      <c r="Y4" s="55" t="inlineStr">
        <is>
          <t>Aprobado</t>
        </is>
      </c>
      <c r="Z4" s="63" t="n"/>
    </row>
    <row r="5" ht="15.75" customHeight="1">
      <c r="A5" s="54" t="n">
        <v>2</v>
      </c>
      <c r="B5" s="55" t="inlineStr">
        <is>
          <t>COMPAÑIA PAPELERA NACIONAL S.A.S</t>
        </is>
      </c>
      <c r="C5" s="55" t="n"/>
      <c r="D5" s="56" t="n"/>
      <c r="E5" s="57" t="n"/>
      <c r="F5" s="57" t="n"/>
      <c r="G5" s="57" t="n"/>
      <c r="H5" s="56" t="n"/>
      <c r="I5" s="58" t="inlineStr">
        <is>
          <t>PEDIDO ASEO CAFETERIA Y PAPELERIA SUC CRAFT MEDELLIN</t>
        </is>
      </c>
      <c r="J5" s="58" t="n"/>
      <c r="K5" s="58" t="inlineStr">
        <is>
          <t>CPFP159410</t>
        </is>
      </c>
      <c r="L5" s="59" t="n">
        <v>45672</v>
      </c>
      <c r="M5" s="59" t="n">
        <v>45672</v>
      </c>
      <c r="N5" s="59" t="n">
        <v>45702</v>
      </c>
      <c r="O5" s="60" t="n">
        <v>460019</v>
      </c>
      <c r="P5" s="61" t="n">
        <v>0</v>
      </c>
      <c r="Q5" s="61" t="n">
        <v>0</v>
      </c>
      <c r="R5" s="62" t="n">
        <v>460019</v>
      </c>
      <c r="S5" s="56" t="inlineStr">
        <is>
          <t>enero 2025</t>
        </is>
      </c>
      <c r="T5" s="55" t="inlineStr">
        <is>
          <t>41</t>
        </is>
      </c>
      <c r="U5" s="63" t="n"/>
      <c r="V5" s="63" t="n"/>
      <c r="W5" s="55" t="n"/>
      <c r="X5" s="55" t="n"/>
      <c r="Y5" s="55" t="inlineStr">
        <is>
          <t>Aprobado</t>
        </is>
      </c>
      <c r="Z5" s="63" t="n"/>
    </row>
    <row r="6" ht="15.75" customHeight="1">
      <c r="A6" s="54" t="n">
        <v>3</v>
      </c>
      <c r="B6" s="55" t="inlineStr">
        <is>
          <t>CASALIMPIA SA</t>
        </is>
      </c>
      <c r="C6" s="55" t="n"/>
      <c r="D6" s="56" t="inlineStr">
        <is>
          <t>ADM</t>
        </is>
      </c>
      <c r="E6" s="57" t="n"/>
      <c r="F6" s="57" t="inlineStr">
        <is>
          <t>Otros Gastos CASA LIMPIA PLANILLA AC OTROS</t>
        </is>
      </c>
      <c r="G6" s="57" t="n"/>
      <c r="H6" s="56" t="n"/>
      <c r="I6" s="58" t="inlineStr">
        <is>
          <t>SERVICIO DE ASEO GENERAL OFICINA CRAFT CARTAGENA</t>
        </is>
      </c>
      <c r="J6" s="58" t="inlineStr">
        <is>
          <t>Cartagena</t>
        </is>
      </c>
      <c r="K6" s="58" t="inlineStr">
        <is>
          <t>1715986</t>
        </is>
      </c>
      <c r="L6" s="59" t="n">
        <v>45672</v>
      </c>
      <c r="M6" s="59" t="n">
        <v>45672</v>
      </c>
      <c r="N6" s="59" t="n">
        <v>45702</v>
      </c>
      <c r="O6" s="60" t="n">
        <v>1695582</v>
      </c>
      <c r="P6" s="61" t="n">
        <v>0</v>
      </c>
      <c r="Q6" s="61" t="n">
        <v>0</v>
      </c>
      <c r="R6" s="62" t="n">
        <v>1695582</v>
      </c>
      <c r="S6" s="56" t="inlineStr">
        <is>
          <t>enero 2025</t>
        </is>
      </c>
      <c r="T6" s="55" t="inlineStr">
        <is>
          <t>15</t>
        </is>
      </c>
      <c r="U6" s="63" t="n"/>
      <c r="V6" s="63" t="n"/>
      <c r="W6" s="55" t="n"/>
      <c r="X6" s="55" t="n"/>
      <c r="Y6" s="55" t="inlineStr">
        <is>
          <t>Aprobado</t>
        </is>
      </c>
      <c r="Z6" s="63" t="n"/>
    </row>
    <row r="7" ht="15.75" customHeight="1">
      <c r="A7" s="54" t="n">
        <v>4</v>
      </c>
      <c r="B7" s="55" t="inlineStr">
        <is>
          <t>JAVIER ANTONIO SANCHEZ</t>
        </is>
      </c>
      <c r="C7" s="55" t="n"/>
      <c r="D7" s="56" t="n"/>
      <c r="E7" s="57" t="n"/>
      <c r="F7" s="57" t="n"/>
      <c r="G7" s="57" t="n"/>
      <c r="H7" s="56" t="n"/>
      <c r="I7" s="58" t="inlineStr">
        <is>
          <t>ARRIENDO CUARTO DE BODEGA CRAFT BUENAVENTURA</t>
        </is>
      </c>
      <c r="J7" s="58" t="n"/>
      <c r="K7" s="58" t="inlineStr">
        <is>
          <t>2025-01</t>
        </is>
      </c>
      <c r="L7" s="59" t="n">
        <v>45672</v>
      </c>
      <c r="M7" s="59" t="n">
        <v>45672</v>
      </c>
      <c r="N7" s="59" t="n">
        <v>45681</v>
      </c>
      <c r="O7" s="60" t="n">
        <v>250000</v>
      </c>
      <c r="P7" s="61" t="n">
        <v>0</v>
      </c>
      <c r="Q7" s="61" t="n">
        <v>0</v>
      </c>
      <c r="R7" s="62" t="n">
        <v>250000</v>
      </c>
      <c r="S7" s="56" t="inlineStr">
        <is>
          <t>enero 2025</t>
        </is>
      </c>
      <c r="T7" s="55" t="inlineStr">
        <is>
          <t>13</t>
        </is>
      </c>
      <c r="U7" s="63" t="n"/>
      <c r="V7" s="63" t="n"/>
      <c r="W7" s="55" t="n"/>
      <c r="X7" s="55" t="inlineStr">
        <is>
          <t>aprobado por correo</t>
        </is>
      </c>
      <c r="Y7" s="55" t="inlineStr">
        <is>
          <t>Aprobado</t>
        </is>
      </c>
      <c r="Z7" s="63" t="n"/>
    </row>
    <row r="8" ht="15.75" customHeight="1">
      <c r="A8" s="54" t="n">
        <v>5</v>
      </c>
      <c r="B8" s="55" t="inlineStr">
        <is>
          <t>MOVISTAR</t>
        </is>
      </c>
      <c r="C8" s="55" t="n"/>
      <c r="D8" s="56" t="n"/>
      <c r="E8" s="57" t="n"/>
      <c r="F8" s="57" t="n"/>
      <c r="G8" s="57" t="n"/>
      <c r="H8" s="56" t="n"/>
      <c r="I8" s="58" t="inlineStr">
        <is>
          <t>SERVICIO LINEAS CELULARES CRAFT BOGOTA</t>
        </is>
      </c>
      <c r="J8" s="58" t="n"/>
      <c r="K8" s="58" t="inlineStr">
        <is>
          <t>BEC428170024</t>
        </is>
      </c>
      <c r="L8" s="59" t="n">
        <v>45672</v>
      </c>
      <c r="M8" s="59" t="n">
        <v>45674</v>
      </c>
      <c r="N8" s="59" t="n">
        <v>45678</v>
      </c>
      <c r="O8" s="60" t="n">
        <v>1654002</v>
      </c>
      <c r="P8" s="61" t="n">
        <v>0</v>
      </c>
      <c r="Q8" s="61" t="n">
        <v>0</v>
      </c>
      <c r="R8" s="62" t="n">
        <v>1654002</v>
      </c>
      <c r="S8" s="56" t="inlineStr">
        <is>
          <t>enero 2025</t>
        </is>
      </c>
      <c r="T8" s="55" t="inlineStr">
        <is>
          <t>3587</t>
        </is>
      </c>
      <c r="U8" s="63" t="n"/>
      <c r="V8" s="63" t="n"/>
      <c r="W8" s="55" t="n"/>
      <c r="X8" s="55" t="n"/>
      <c r="Y8" s="55" t="inlineStr">
        <is>
          <t>Aprobado</t>
        </is>
      </c>
      <c r="Z8" s="63" t="n"/>
    </row>
    <row r="9" ht="15.75" customHeight="1">
      <c r="A9" s="54" t="n">
        <v>6</v>
      </c>
      <c r="B9" s="55" t="inlineStr">
        <is>
          <t>Controles Empresariales SAS</t>
        </is>
      </c>
      <c r="C9" s="55" t="n"/>
      <c r="D9" s="56" t="n"/>
      <c r="E9" s="57" t="n"/>
      <c r="F9" s="57" t="n"/>
      <c r="G9" s="57" t="n"/>
      <c r="H9" s="56" t="n"/>
      <c r="I9" s="58" t="inlineStr">
        <is>
          <t>RENOVACION DE SOPORTE DEL SERVIDOR</t>
        </is>
      </c>
      <c r="J9" s="58" t="n"/>
      <c r="K9" s="58" t="inlineStr">
        <is>
          <t>FEI0000083306</t>
        </is>
      </c>
      <c r="L9" s="59" t="n">
        <v>45674</v>
      </c>
      <c r="M9" s="59" t="n">
        <v>45674</v>
      </c>
      <c r="N9" s="59" t="n">
        <v>45674</v>
      </c>
      <c r="O9" s="60" t="n">
        <v>17314732</v>
      </c>
      <c r="P9" s="61" t="n">
        <v>0</v>
      </c>
      <c r="Q9" s="61" t="n">
        <v>0</v>
      </c>
      <c r="R9" s="62" t="n">
        <v>17314732</v>
      </c>
      <c r="S9" s="56" t="inlineStr">
        <is>
          <t>enero 2025</t>
        </is>
      </c>
      <c r="T9" s="55" t="inlineStr">
        <is>
          <t>4062</t>
        </is>
      </c>
      <c r="U9" s="63" t="n"/>
      <c r="V9" s="63" t="n"/>
      <c r="W9" s="55" t="n"/>
      <c r="X9" s="55" t="n"/>
      <c r="Y9" s="55" t="inlineStr">
        <is>
          <t>Aprobado</t>
        </is>
      </c>
      <c r="Z9" s="63" t="n"/>
    </row>
    <row r="10" ht="15.75" customHeight="1">
      <c r="A10" s="54" t="n">
        <v>7</v>
      </c>
      <c r="B10" s="55" t="inlineStr">
        <is>
          <t>COMPAÑIA PAPELERA NACIONAL S.A.S</t>
        </is>
      </c>
      <c r="C10" s="55" t="n"/>
      <c r="D10" s="56" t="n"/>
      <c r="E10" s="57" t="n"/>
      <c r="F10" s="57" t="n"/>
      <c r="G10" s="57" t="n"/>
      <c r="H10" s="56" t="n"/>
      <c r="I10" s="58" t="inlineStr">
        <is>
          <t>PEDIDO PAPELERIA CRAFT BOGOTA</t>
        </is>
      </c>
      <c r="J10" s="58" t="n"/>
      <c r="K10" s="58" t="inlineStr">
        <is>
          <t>CPFP159834</t>
        </is>
      </c>
      <c r="L10" s="59" t="n">
        <v>45674</v>
      </c>
      <c r="M10" s="59" t="n">
        <v>45674</v>
      </c>
      <c r="N10" s="59" t="n">
        <v>45704</v>
      </c>
      <c r="O10" s="60" t="n">
        <v>131711</v>
      </c>
      <c r="P10" s="61" t="n">
        <v>0</v>
      </c>
      <c r="Q10" s="61" t="n">
        <v>0</v>
      </c>
      <c r="R10" s="62" t="n">
        <v>131711</v>
      </c>
      <c r="S10" s="56" t="inlineStr">
        <is>
          <t>enero 2025</t>
        </is>
      </c>
      <c r="T10" s="55" t="inlineStr">
        <is>
          <t>3724</t>
        </is>
      </c>
      <c r="U10" s="63" t="n"/>
      <c r="V10" s="63" t="n"/>
      <c r="W10" s="55" t="n"/>
      <c r="X10" s="55" t="n"/>
      <c r="Y10" s="55" t="inlineStr">
        <is>
          <t>Aprobado</t>
        </is>
      </c>
      <c r="Z10" s="63" t="n"/>
    </row>
    <row r="11" ht="15.75" customHeight="1">
      <c r="A11" s="54" t="n">
        <v>8</v>
      </c>
      <c r="B11" s="55" t="inlineStr">
        <is>
          <t>FUNDACION UN TECHO PARA MI PAIS COLOMBIA</t>
        </is>
      </c>
      <c r="C11" s="55" t="n"/>
      <c r="D11" s="56" t="n"/>
      <c r="E11" s="57" t="n"/>
      <c r="F11" s="57" t="n"/>
      <c r="G11" s="57" t="n"/>
      <c r="H11" s="56" t="n"/>
      <c r="I11" s="58" t="inlineStr">
        <is>
          <t>DONACION CON TRABAJOS ASOCIADOS CON LA RAZON SOCIAL</t>
        </is>
      </c>
      <c r="J11" s="58" t="n"/>
      <c r="K11" s="58" t="inlineStr">
        <is>
          <t>FS74</t>
        </is>
      </c>
      <c r="L11" s="59" t="n">
        <v>45674</v>
      </c>
      <c r="M11" s="59" t="n">
        <v>45674</v>
      </c>
      <c r="N11" s="59" t="n">
        <v>45674</v>
      </c>
      <c r="O11" s="60" t="n">
        <v>100000</v>
      </c>
      <c r="P11" s="61" t="n">
        <v>0</v>
      </c>
      <c r="Q11" s="61" t="n">
        <v>0</v>
      </c>
      <c r="R11" s="62" t="n">
        <v>100000</v>
      </c>
      <c r="S11" s="56" t="inlineStr">
        <is>
          <t>enero 2025</t>
        </is>
      </c>
      <c r="T11" s="55" t="inlineStr">
        <is>
          <t>3728</t>
        </is>
      </c>
      <c r="U11" s="63" t="n"/>
      <c r="V11" s="63" t="n"/>
      <c r="W11" s="55" t="n"/>
      <c r="X11" s="55" t="n"/>
      <c r="Y11" s="55" t="inlineStr">
        <is>
          <t>Aprobado</t>
        </is>
      </c>
      <c r="Z11" s="63" t="n"/>
    </row>
    <row r="12" ht="15.75" customHeight="1">
      <c r="A12" s="54" t="n">
        <v>9</v>
      </c>
      <c r="B12" s="55" t="inlineStr">
        <is>
          <t>PC QUICK SAS</t>
        </is>
      </c>
      <c r="C12" s="55" t="n"/>
      <c r="D12" s="56" t="n"/>
      <c r="E12" s="57" t="n"/>
      <c r="F12" s="57" t="n"/>
      <c r="G12" s="57" t="n"/>
      <c r="H12" s="56" t="n"/>
      <c r="I12" s="58" t="inlineStr">
        <is>
          <t>3 PORTATIL PARA GRACE FONSECA, PAULA RODRIGUEZ, NICOLAS SALDAÑA</t>
        </is>
      </c>
      <c r="J12" s="58" t="n"/>
      <c r="K12" s="58" t="inlineStr">
        <is>
          <t>PFE8206</t>
        </is>
      </c>
      <c r="L12" s="59" t="n">
        <v>45673</v>
      </c>
      <c r="M12" s="59" t="n">
        <v>45674</v>
      </c>
      <c r="N12" s="59" t="n">
        <v>45703</v>
      </c>
      <c r="O12" s="60" t="n">
        <v>7321320</v>
      </c>
      <c r="P12" s="61" t="n">
        <v>0</v>
      </c>
      <c r="Q12" s="61" t="n">
        <v>0</v>
      </c>
      <c r="R12" s="62" t="n">
        <v>7321320</v>
      </c>
      <c r="S12" s="56" t="inlineStr">
        <is>
          <t>enero 2025</t>
        </is>
      </c>
      <c r="T12" s="55" t="inlineStr">
        <is>
          <t>3740</t>
        </is>
      </c>
      <c r="U12" s="63" t="n"/>
      <c r="V12" s="63" t="n"/>
      <c r="W12" s="55" t="n"/>
      <c r="X12" s="55" t="n"/>
      <c r="Y12" s="55" t="inlineStr">
        <is>
          <t>Aprobado</t>
        </is>
      </c>
      <c r="Z12" s="63" t="n"/>
    </row>
    <row r="13" ht="15.75" customHeight="1">
      <c r="A13" s="54" t="n">
        <v>10</v>
      </c>
      <c r="B13" s="55" t="inlineStr">
        <is>
          <t>CHATOBRAND SAS</t>
        </is>
      </c>
      <c r="C13" s="55" t="n"/>
      <c r="D13" s="56" t="n"/>
      <c r="E13" s="57" t="n"/>
      <c r="F13" s="57" t="n"/>
      <c r="G13" s="57" t="n"/>
      <c r="H13" s="56" t="n"/>
      <c r="I13" s="58" t="inlineStr">
        <is>
          <t>SELLO FECHADOR PARA CRAFT BUN // IMPRESION VINILOS ADHESIVOS</t>
        </is>
      </c>
      <c r="J13" s="58" t="n"/>
      <c r="K13" s="58" t="inlineStr">
        <is>
          <t>FEV207</t>
        </is>
      </c>
      <c r="L13" s="59" t="n">
        <v>45672</v>
      </c>
      <c r="M13" s="59" t="n">
        <v>45674</v>
      </c>
      <c r="N13" s="59" t="n">
        <v>45681</v>
      </c>
      <c r="O13" s="60" t="n">
        <v>232050</v>
      </c>
      <c r="P13" s="61" t="n">
        <v>0</v>
      </c>
      <c r="Q13" s="61" t="n">
        <v>0</v>
      </c>
      <c r="R13" s="62" t="n">
        <v>232050</v>
      </c>
      <c r="S13" s="56" t="inlineStr">
        <is>
          <t>enero 2025</t>
        </is>
      </c>
      <c r="T13" s="55" t="inlineStr">
        <is>
          <t>3773</t>
        </is>
      </c>
      <c r="U13" s="63" t="n"/>
      <c r="V13" s="63" t="n"/>
      <c r="W13" s="55" t="n"/>
      <c r="X13" s="55" t="n"/>
      <c r="Y13" s="55" t="inlineStr">
        <is>
          <t>Aprobado</t>
        </is>
      </c>
      <c r="Z13" s="63" t="n"/>
    </row>
    <row r="14" ht="15.75" customHeight="1">
      <c r="A14" s="54" t="n">
        <v>11</v>
      </c>
      <c r="B14" s="55" t="inlineStr">
        <is>
          <t>OPAIN SA AEROPUERTO EL DORADO</t>
        </is>
      </c>
      <c r="C14" s="55" t="n"/>
      <c r="D14" s="56" t="n"/>
      <c r="E14" s="57" t="n"/>
      <c r="F14" s="57" t="n"/>
      <c r="G14" s="57" t="n"/>
      <c r="H14" s="56" t="n"/>
      <c r="I14" s="58" t="inlineStr">
        <is>
          <t>GASTOS REEMBOLSABLES CRAFT AEROPUERTO</t>
        </is>
      </c>
      <c r="J14" s="58" t="n"/>
      <c r="K14" s="58" t="inlineStr">
        <is>
          <t>CCG-18598</t>
        </is>
      </c>
      <c r="L14" s="59" t="n">
        <v>45672</v>
      </c>
      <c r="M14" s="59" t="n">
        <v>45674</v>
      </c>
      <c r="N14" s="59" t="n">
        <v>45681</v>
      </c>
      <c r="O14" s="60" t="n">
        <v>568140</v>
      </c>
      <c r="P14" s="61" t="n">
        <v>0</v>
      </c>
      <c r="Q14" s="61" t="n">
        <v>0</v>
      </c>
      <c r="R14" s="62" t="n">
        <v>568140</v>
      </c>
      <c r="S14" s="56" t="inlineStr">
        <is>
          <t>enero 2025</t>
        </is>
      </c>
      <c r="T14" s="55" t="inlineStr">
        <is>
          <t>4</t>
        </is>
      </c>
      <c r="U14" s="63" t="n"/>
      <c r="V14" s="63" t="n"/>
      <c r="W14" s="55" t="n"/>
      <c r="X14" s="55" t="inlineStr">
        <is>
          <t>aprobado por correo</t>
        </is>
      </c>
      <c r="Y14" s="55" t="inlineStr">
        <is>
          <t>Aprobado</t>
        </is>
      </c>
      <c r="Z14" s="63" t="n"/>
    </row>
    <row r="15" ht="15.75" customHeight="1">
      <c r="A15" s="54" t="n">
        <v>12</v>
      </c>
      <c r="B15" s="55" t="inlineStr">
        <is>
          <t>CLARO S.A.</t>
        </is>
      </c>
      <c r="C15" s="55" t="n"/>
      <c r="D15" s="56" t="n"/>
      <c r="E15" s="57" t="n"/>
      <c r="F15" s="57" t="n"/>
      <c r="G15" s="57" t="n"/>
      <c r="H15" s="56" t="n"/>
      <c r="I15" s="58" t="inlineStr">
        <is>
          <t>SIM TABLET BUN Y AEROPUERTO</t>
        </is>
      </c>
      <c r="J15" s="58" t="n"/>
      <c r="K15" s="58" t="inlineStr">
        <is>
          <t>E5895019052</t>
        </is>
      </c>
      <c r="L15" s="59" t="n">
        <v>45676</v>
      </c>
      <c r="M15" s="59" t="n">
        <v>45677</v>
      </c>
      <c r="N15" s="59" t="n"/>
      <c r="O15" s="60" t="n">
        <v>295057</v>
      </c>
      <c r="P15" s="61" t="n">
        <v>0</v>
      </c>
      <c r="Q15" s="61" t="n">
        <v>0</v>
      </c>
      <c r="R15" s="62" t="n">
        <v>295057</v>
      </c>
      <c r="S15" s="56" t="inlineStr">
        <is>
          <t>enero 2025</t>
        </is>
      </c>
      <c r="T15" s="55" t="inlineStr">
        <is>
          <t>18</t>
        </is>
      </c>
      <c r="U15" s="63" t="n"/>
      <c r="V15" s="63" t="n"/>
      <c r="W15" s="55" t="n"/>
      <c r="X15" s="55" t="n"/>
      <c r="Y15" s="55" t="inlineStr">
        <is>
          <t>Aprobado</t>
        </is>
      </c>
      <c r="Z15" s="63" t="n"/>
    </row>
    <row r="16" ht="15.75" customHeight="1">
      <c r="A16" s="54" t="n">
        <v>13</v>
      </c>
      <c r="B16" s="55" t="inlineStr">
        <is>
          <t>CLARO S.A.</t>
        </is>
      </c>
      <c r="C16" s="55" t="n"/>
      <c r="D16" s="56" t="n"/>
      <c r="E16" s="57" t="n"/>
      <c r="F16" s="57" t="n"/>
      <c r="G16" s="57" t="n"/>
      <c r="H16" s="56" t="n"/>
      <c r="I16" s="58" t="inlineStr">
        <is>
          <t>SIM TABLET CTG</t>
        </is>
      </c>
      <c r="J16" s="58" t="n"/>
      <c r="K16" s="58" t="inlineStr">
        <is>
          <t>E5894996021</t>
        </is>
      </c>
      <c r="L16" s="59" t="n">
        <v>45676</v>
      </c>
      <c r="M16" s="59" t="n">
        <v>45677</v>
      </c>
      <c r="N16" s="59" t="n"/>
      <c r="O16" s="60" t="n">
        <v>174625</v>
      </c>
      <c r="P16" s="61" t="n">
        <v>0</v>
      </c>
      <c r="Q16" s="61" t="n">
        <v>0</v>
      </c>
      <c r="R16" s="62" t="n">
        <v>174625</v>
      </c>
      <c r="S16" s="56" t="inlineStr">
        <is>
          <t>enero 2025</t>
        </is>
      </c>
      <c r="T16" s="55" t="inlineStr">
        <is>
          <t>17</t>
        </is>
      </c>
      <c r="U16" s="63" t="n"/>
      <c r="V16" s="63" t="n"/>
      <c r="W16" s="55" t="n"/>
      <c r="X16" s="55" t="n"/>
      <c r="Y16" s="55" t="inlineStr">
        <is>
          <t>Aprobado</t>
        </is>
      </c>
      <c r="Z16" s="63" t="n"/>
    </row>
    <row r="17" ht="15.75" customHeight="1">
      <c r="A17" s="54" t="n">
        <v>14</v>
      </c>
      <c r="B17" s="55" t="inlineStr">
        <is>
          <t>COMPAÑIA ANDINA DE SEGURIDAD PRIVADA BIC LTDA. - ANDISEG BIC LTDA</t>
        </is>
      </c>
      <c r="C17" s="55" t="n"/>
      <c r="D17" s="56" t="n"/>
      <c r="E17" s="57" t="n"/>
      <c r="F17" s="57" t="n"/>
      <c r="G17" s="57" t="n"/>
      <c r="H17" s="56" t="n"/>
      <c r="I17" s="58" t="inlineStr">
        <is>
          <t>VISITAS DE SEGURIDAD ASOCIADOS DE NEGOCIO</t>
        </is>
      </c>
      <c r="J17" s="58" t="n"/>
      <c r="K17" s="58" t="inlineStr">
        <is>
          <t>ANDI20822.</t>
        </is>
      </c>
      <c r="L17" s="59" t="n">
        <v>45677</v>
      </c>
      <c r="M17" s="59" t="n">
        <v>45678</v>
      </c>
      <c r="N17" s="59" t="n">
        <v>45707</v>
      </c>
      <c r="O17" s="60" t="n">
        <v>618800</v>
      </c>
      <c r="P17" s="61" t="n">
        <v>0</v>
      </c>
      <c r="Q17" s="61" t="n">
        <v>0</v>
      </c>
      <c r="R17" s="62" t="n">
        <v>618800</v>
      </c>
      <c r="S17" s="56" t="inlineStr">
        <is>
          <t>enero 2025</t>
        </is>
      </c>
      <c r="T17" s="55" t="inlineStr">
        <is>
          <t>4342</t>
        </is>
      </c>
      <c r="U17" s="63" t="n"/>
      <c r="V17" s="63" t="n"/>
      <c r="W17" s="55" t="n"/>
      <c r="X17" s="55" t="n"/>
      <c r="Y17" s="55" t="inlineStr">
        <is>
          <t>Aprobado</t>
        </is>
      </c>
      <c r="Z17" s="63" t="n"/>
    </row>
    <row r="18" ht="15.75" customHeight="1">
      <c r="A18" s="54" t="n">
        <v>15</v>
      </c>
      <c r="B18" s="55" t="inlineStr">
        <is>
          <t>PC QUICK SAS</t>
        </is>
      </c>
      <c r="C18" s="55" t="n"/>
      <c r="D18" s="56" t="n"/>
      <c r="E18" s="57" t="n"/>
      <c r="F18" s="57" t="n"/>
      <c r="G18" s="57" t="n"/>
      <c r="H18" s="56" t="n"/>
      <c r="I18" s="58" t="inlineStr">
        <is>
          <t>PANTALLA LED PARA PC DE CAROLINA AMAYA</t>
        </is>
      </c>
      <c r="J18" s="58" t="n"/>
      <c r="K18" s="58" t="inlineStr">
        <is>
          <t>PFE8209</t>
        </is>
      </c>
      <c r="L18" s="59" t="n">
        <v>45677</v>
      </c>
      <c r="M18" s="59" t="n">
        <v>45678</v>
      </c>
      <c r="N18" s="59" t="n">
        <v>45707</v>
      </c>
      <c r="O18" s="60" t="n">
        <v>267750</v>
      </c>
      <c r="P18" s="61" t="n">
        <v>0</v>
      </c>
      <c r="Q18" s="61" t="n">
        <v>0</v>
      </c>
      <c r="R18" s="62" t="n">
        <v>267750</v>
      </c>
      <c r="S18" s="56" t="inlineStr">
        <is>
          <t>enero 2025</t>
        </is>
      </c>
      <c r="T18" s="55" t="inlineStr">
        <is>
          <t>4441</t>
        </is>
      </c>
      <c r="U18" s="63" t="n"/>
      <c r="V18" s="63" t="n"/>
      <c r="W18" s="55" t="n"/>
      <c r="X18" s="55" t="n"/>
      <c r="Y18" s="55" t="inlineStr">
        <is>
          <t>Aprobado</t>
        </is>
      </c>
      <c r="Z18" s="63" t="n"/>
    </row>
    <row r="19" ht="15.75" customHeight="1">
      <c r="A19" s="54" t="n">
        <v>16</v>
      </c>
      <c r="B19" s="55" t="inlineStr">
        <is>
          <t>AIR-E</t>
        </is>
      </c>
      <c r="C19" s="55" t="n"/>
      <c r="D19" s="56" t="n"/>
      <c r="E19" s="57" t="n"/>
      <c r="F19" s="57" t="n"/>
      <c r="G19" s="57" t="n"/>
      <c r="H19" s="56" t="n"/>
      <c r="I19" s="58" t="inlineStr">
        <is>
          <t>SERVICIO ENERGIA CRAFT BARRANQUILLA</t>
        </is>
      </c>
      <c r="J19" s="58" t="n"/>
      <c r="K19" s="58" t="inlineStr">
        <is>
          <t>91888743</t>
        </is>
      </c>
      <c r="L19" s="59" t="n">
        <v>45678</v>
      </c>
      <c r="M19" s="59" t="n">
        <v>45678</v>
      </c>
      <c r="N19" s="59" t="n">
        <v>45678</v>
      </c>
      <c r="O19" s="60" t="n">
        <v>144670</v>
      </c>
      <c r="P19" s="61" t="n">
        <v>0</v>
      </c>
      <c r="Q19" s="61" t="n">
        <v>0</v>
      </c>
      <c r="R19" s="62" t="n">
        <v>144670</v>
      </c>
      <c r="S19" s="56" t="inlineStr">
        <is>
          <t>enero 2025</t>
        </is>
      </c>
      <c r="T19" s="55" t="inlineStr">
        <is>
          <t>4</t>
        </is>
      </c>
      <c r="U19" s="63" t="n"/>
      <c r="V19" s="63" t="n"/>
      <c r="W19" s="55" t="n"/>
      <c r="X19" s="55" t="inlineStr">
        <is>
          <t>aprobado por correo</t>
        </is>
      </c>
      <c r="Y19" s="55" t="inlineStr">
        <is>
          <t>Aprobado</t>
        </is>
      </c>
      <c r="Z19" s="63" t="n"/>
    </row>
    <row r="20" ht="15.75" customHeight="1">
      <c r="A20" s="54" t="n">
        <v>17</v>
      </c>
      <c r="B20" s="55" t="inlineStr">
        <is>
          <t>ETIQUETAS COMERCIALES SAS</t>
        </is>
      </c>
      <c r="C20" s="55" t="n"/>
      <c r="D20" s="56" t="n"/>
      <c r="E20" s="57" t="n"/>
      <c r="F20" s="57" t="n"/>
      <c r="G20" s="57" t="n"/>
      <c r="H20" s="56" t="n"/>
      <c r="I20" s="58" t="inlineStr">
        <is>
          <t>ETIQUETEADORA PARA MARCAR ACTIVOS DE CRAFT</t>
        </is>
      </c>
      <c r="J20" s="58" t="n"/>
      <c r="K20" s="58" t="inlineStr">
        <is>
          <t>FE3515</t>
        </is>
      </c>
      <c r="L20" s="59" t="n">
        <v>45678</v>
      </c>
      <c r="M20" s="59" t="n">
        <v>45684</v>
      </c>
      <c r="N20" s="59" t="n">
        <v>45708</v>
      </c>
      <c r="O20" s="60" t="n">
        <v>232050</v>
      </c>
      <c r="P20" s="61" t="n">
        <v>0</v>
      </c>
      <c r="Q20" s="61" t="n">
        <v>0</v>
      </c>
      <c r="R20" s="62" t="n">
        <v>232050</v>
      </c>
      <c r="S20" s="56" t="inlineStr">
        <is>
          <t>enero 2025</t>
        </is>
      </c>
      <c r="T20" s="55" t="inlineStr">
        <is>
          <t>6325</t>
        </is>
      </c>
      <c r="U20" s="63" t="n"/>
      <c r="V20" s="63" t="n"/>
      <c r="W20" s="55" t="n"/>
      <c r="X20" s="55" t="n"/>
      <c r="Y20" s="55" t="inlineStr">
        <is>
          <t>Aprobado</t>
        </is>
      </c>
      <c r="Z20" s="63" t="n"/>
    </row>
    <row r="21" ht="15.75" customHeight="1">
      <c r="A21" s="54" t="n">
        <v>18</v>
      </c>
      <c r="B21" s="55" t="inlineStr">
        <is>
          <t>MULTICOPY JV ZOMAC SAS</t>
        </is>
      </c>
      <c r="C21" s="55" t="n"/>
      <c r="D21" s="56" t="n"/>
      <c r="E21" s="57" t="n"/>
      <c r="F21" s="57" t="n"/>
      <c r="G21" s="57" t="n"/>
      <c r="H21" s="56" t="n"/>
      <c r="I21" s="58" t="inlineStr">
        <is>
          <t>ALQUILER IMPRESORA CRAFT BUENAVENTURA</t>
        </is>
      </c>
      <c r="J21" s="58" t="n"/>
      <c r="K21" s="58" t="inlineStr">
        <is>
          <t>FEPP6183</t>
        </is>
      </c>
      <c r="L21" s="59" t="n">
        <v>45679</v>
      </c>
      <c r="M21" s="59" t="n">
        <v>45684</v>
      </c>
      <c r="N21" s="59" t="n">
        <v>45688</v>
      </c>
      <c r="O21" s="60" t="n">
        <v>196000</v>
      </c>
      <c r="P21" s="61" t="n">
        <v>0</v>
      </c>
      <c r="Q21" s="61" t="n">
        <v>0</v>
      </c>
      <c r="R21" s="62" t="n">
        <v>196000</v>
      </c>
      <c r="S21" s="56" t="inlineStr">
        <is>
          <t>enero 2025</t>
        </is>
      </c>
      <c r="T21" s="55" t="inlineStr">
        <is>
          <t>27</t>
        </is>
      </c>
      <c r="U21" s="63" t="n"/>
      <c r="V21" s="63" t="n"/>
      <c r="W21" s="55" t="n"/>
      <c r="X21" s="55" t="n"/>
      <c r="Y21" s="55" t="inlineStr">
        <is>
          <t>Aprobado</t>
        </is>
      </c>
      <c r="Z21" s="63" t="n"/>
    </row>
    <row r="22" ht="15.75" customHeight="1">
      <c r="A22" s="54" t="n">
        <v>19</v>
      </c>
      <c r="B22" s="55" t="inlineStr">
        <is>
          <t>MOVISTAR</t>
        </is>
      </c>
      <c r="C22" s="55" t="n"/>
      <c r="D22" s="56" t="n"/>
      <c r="E22" s="57" t="n"/>
      <c r="F22" s="57" t="n"/>
      <c r="G22" s="57" t="n"/>
      <c r="H22" s="56" t="n"/>
      <c r="I22" s="58" t="inlineStr">
        <is>
          <t>SERVICIO CELULARES CRAFT CARTAGENA</t>
        </is>
      </c>
      <c r="J22" s="58" t="n"/>
      <c r="K22" s="58" t="inlineStr">
        <is>
          <t>BEC429616443</t>
        </is>
      </c>
      <c r="L22" s="59" t="n">
        <v>45680</v>
      </c>
      <c r="M22" s="59" t="n">
        <v>45684</v>
      </c>
      <c r="N22" s="59" t="n">
        <v>45686</v>
      </c>
      <c r="O22" s="60" t="n">
        <v>804450</v>
      </c>
      <c r="P22" s="61" t="n">
        <v>0</v>
      </c>
      <c r="Q22" s="61" t="n">
        <v>0</v>
      </c>
      <c r="R22" s="62" t="n">
        <v>804450</v>
      </c>
      <c r="S22" s="56" t="inlineStr">
        <is>
          <t>enero 2025</t>
        </is>
      </c>
      <c r="T22" s="55" t="inlineStr">
        <is>
          <t>23</t>
        </is>
      </c>
      <c r="U22" s="63" t="n"/>
      <c r="V22" s="63" t="n"/>
      <c r="W22" s="55" t="n"/>
      <c r="X22" s="55" t="n"/>
      <c r="Y22" s="55" t="inlineStr">
        <is>
          <t>Aprobado</t>
        </is>
      </c>
      <c r="Z22" s="63" t="n"/>
    </row>
    <row r="23" ht="15.75" customHeight="1">
      <c r="A23" s="54" t="n">
        <v>20</v>
      </c>
      <c r="B23" s="55" t="inlineStr">
        <is>
          <t>HARDSOFT SOLUTIONS INTEGRAL SAS</t>
        </is>
      </c>
      <c r="C23" s="55" t="n"/>
      <c r="D23" s="56" t="n"/>
      <c r="E23" s="57" t="n"/>
      <c r="F23" s="57" t="n"/>
      <c r="G23" s="57" t="n"/>
      <c r="H23" s="56" t="n"/>
      <c r="I23" s="58" t="inlineStr">
        <is>
          <t xml:space="preserve">MANTENIMIENTO IT EN CTG </t>
        </is>
      </c>
      <c r="J23" s="58" t="n"/>
      <c r="K23" s="58" t="inlineStr">
        <is>
          <t>HS152</t>
        </is>
      </c>
      <c r="L23" s="59" t="n">
        <v>45681</v>
      </c>
      <c r="M23" s="59" t="n">
        <v>45684</v>
      </c>
      <c r="N23" s="59" t="n">
        <v>45688</v>
      </c>
      <c r="O23" s="60" t="n">
        <v>525980</v>
      </c>
      <c r="P23" s="61" t="n">
        <v>0</v>
      </c>
      <c r="Q23" s="61" t="n">
        <v>0</v>
      </c>
      <c r="R23" s="62" t="n">
        <v>525980</v>
      </c>
      <c r="S23" s="56" t="inlineStr">
        <is>
          <t>enero 2025</t>
        </is>
      </c>
      <c r="T23" s="55" t="inlineStr">
        <is>
          <t>24</t>
        </is>
      </c>
      <c r="U23" s="63" t="n"/>
      <c r="V23" s="63" t="n"/>
      <c r="W23" s="55" t="n"/>
      <c r="X23" s="55" t="n"/>
      <c r="Y23" s="55" t="inlineStr">
        <is>
          <t>Aprobado</t>
        </is>
      </c>
      <c r="Z23" s="63" t="n"/>
    </row>
    <row r="24" ht="15.75" customHeight="1">
      <c r="A24" s="54" t="n">
        <v>21</v>
      </c>
      <c r="B24" s="55" t="inlineStr">
        <is>
          <t>OPEN GROUP SAS</t>
        </is>
      </c>
      <c r="C24" s="55" t="n"/>
      <c r="D24" s="56" t="n"/>
      <c r="E24" s="57" t="n"/>
      <c r="F24" s="57" t="n"/>
      <c r="G24" s="57" t="n"/>
      <c r="H24" s="56" t="n"/>
      <c r="I24" s="58" t="inlineStr">
        <is>
          <t xml:space="preserve">camila.bravo, edwin ramirez, cambio de teclado de paola pulecio, uno que va hacer para carolina lopez y uno en stock para la persona de barranquilla </t>
        </is>
      </c>
      <c r="J24" s="58" t="n"/>
      <c r="K24" s="58" t="inlineStr">
        <is>
          <t>FE5664</t>
        </is>
      </c>
      <c r="L24" s="59" t="n">
        <v>45679</v>
      </c>
      <c r="M24" s="59" t="n">
        <v>45684</v>
      </c>
      <c r="N24" s="59" t="n">
        <v>45710</v>
      </c>
      <c r="O24" s="60" t="n">
        <v>574046</v>
      </c>
      <c r="P24" s="61" t="n">
        <v>0</v>
      </c>
      <c r="Q24" s="61" t="n">
        <v>0</v>
      </c>
      <c r="R24" s="62" t="n">
        <v>574046</v>
      </c>
      <c r="S24" s="56" t="inlineStr">
        <is>
          <t>enero 2025</t>
        </is>
      </c>
      <c r="T24" s="55" t="inlineStr">
        <is>
          <t>6325</t>
        </is>
      </c>
      <c r="U24" s="63" t="n"/>
      <c r="V24" s="63" t="n"/>
      <c r="W24" s="55" t="n"/>
      <c r="X24" s="55" t="n"/>
      <c r="Y24" s="55" t="inlineStr">
        <is>
          <t>Aprobado</t>
        </is>
      </c>
      <c r="Z24" s="63" t="n"/>
    </row>
    <row r="25" ht="15.75" customHeight="1">
      <c r="A25" s="54" t="n">
        <v>22</v>
      </c>
      <c r="B25" s="55" t="inlineStr">
        <is>
          <t>CASALIMPIA SA</t>
        </is>
      </c>
      <c r="C25" s="55" t="n"/>
      <c r="D25" s="56" t="inlineStr">
        <is>
          <t>ADM</t>
        </is>
      </c>
      <c r="E25" s="57" t="n"/>
      <c r="F25" s="57" t="inlineStr">
        <is>
          <t>Otros Gastos CASA LIMPIA PLANILLA AC OTROS</t>
        </is>
      </c>
      <c r="G25" s="57" t="n"/>
      <c r="H25" s="56" t="n"/>
      <c r="I25" s="58" t="inlineStr">
        <is>
          <t>SERVICIO DE ASEO GENERAL OFICINA CRAFT CARTAGENA</t>
        </is>
      </c>
      <c r="J25" s="58" t="inlineStr">
        <is>
          <t>Cartagena</t>
        </is>
      </c>
      <c r="K25" s="58" t="inlineStr">
        <is>
          <t>1717328</t>
        </is>
      </c>
      <c r="L25" s="59" t="n"/>
      <c r="M25" s="59" t="n"/>
      <c r="N25" s="59" t="n"/>
      <c r="O25" s="60" t="n">
        <v>1358298</v>
      </c>
      <c r="P25" s="61" t="n">
        <v>0</v>
      </c>
      <c r="Q25" s="61" t="n">
        <v>0</v>
      </c>
      <c r="R25" s="62" t="n">
        <v>1358298</v>
      </c>
      <c r="S25" s="56" t="inlineStr">
        <is>
          <t>enero 2025</t>
        </is>
      </c>
      <c r="T25" s="55" t="inlineStr">
        <is>
          <t>25</t>
        </is>
      </c>
      <c r="U25" s="63" t="n"/>
      <c r="V25" s="63" t="n"/>
      <c r="W25" s="55" t="n"/>
      <c r="X25" s="55" t="n"/>
      <c r="Y25" s="55" t="inlineStr">
        <is>
          <t>Aprobado</t>
        </is>
      </c>
      <c r="Z25" s="63" t="n"/>
    </row>
    <row r="26" ht="15.75" customHeight="1">
      <c r="A26" s="54" t="n">
        <v>23</v>
      </c>
      <c r="B26" s="55" t="inlineStr">
        <is>
          <t>AAA ACUEDUCTO BARRANQUILLA</t>
        </is>
      </c>
      <c r="C26" s="55" t="n"/>
      <c r="D26" s="56" t="n"/>
      <c r="E26" s="57" t="n"/>
      <c r="F26" s="57" t="n"/>
      <c r="G26" s="57" t="n"/>
      <c r="H26" s="56" t="n"/>
      <c r="I26" s="58" t="inlineStr">
        <is>
          <t>SERVICIO ACUEDUCTO BARRANQUILLA</t>
        </is>
      </c>
      <c r="J26" s="58" t="n"/>
      <c r="K26" s="58" t="inlineStr">
        <is>
          <t>59843005</t>
        </is>
      </c>
      <c r="L26" s="59" t="n"/>
      <c r="M26" s="59" t="n"/>
      <c r="N26" s="59" t="n"/>
      <c r="O26" s="60" t="n">
        <v>226591</v>
      </c>
      <c r="P26" s="61" t="n">
        <v>0</v>
      </c>
      <c r="Q26" s="61" t="n">
        <v>0</v>
      </c>
      <c r="R26" s="62" t="n">
        <v>226591</v>
      </c>
      <c r="S26" s="56" t="inlineStr">
        <is>
          <t>enero 2025</t>
        </is>
      </c>
      <c r="T26" s="55" t="inlineStr">
        <is>
          <t>5</t>
        </is>
      </c>
      <c r="U26" s="63" t="n"/>
      <c r="V26" s="63" t="n"/>
      <c r="W26" s="55" t="n"/>
      <c r="X26" s="55" t="n"/>
      <c r="Y26" s="55" t="inlineStr">
        <is>
          <t>Aprobado</t>
        </is>
      </c>
      <c r="Z26" s="63" t="n"/>
    </row>
    <row r="27" ht="15.75" customHeight="1">
      <c r="A27" s="54" t="n">
        <v>24</v>
      </c>
      <c r="B27" s="55" t="inlineStr">
        <is>
          <t>Controles Empresariales SAS</t>
        </is>
      </c>
      <c r="C27" s="55" t="n"/>
      <c r="D27" s="56" t="n"/>
      <c r="E27" s="57" t="n"/>
      <c r="F27" s="57" t="n"/>
      <c r="G27" s="57" t="n"/>
      <c r="H27" s="56" t="n"/>
      <c r="I27" s="58" t="inlineStr">
        <is>
          <t>DIADEMAS 1 CAMILA BRAVO 4 EN STOCK</t>
        </is>
      </c>
      <c r="J27" s="58" t="n"/>
      <c r="K27" s="58" t="inlineStr">
        <is>
          <t>FEI0000083772</t>
        </is>
      </c>
      <c r="L27" s="59" t="n"/>
      <c r="M27" s="59" t="n"/>
      <c r="N27" s="59" t="n"/>
      <c r="O27" s="60" t="n">
        <v>626350</v>
      </c>
      <c r="P27" s="61" t="n">
        <v>0</v>
      </c>
      <c r="Q27" s="61" t="n">
        <v>0</v>
      </c>
      <c r="R27" s="62" t="n">
        <v>626350</v>
      </c>
      <c r="S27" s="56" t="inlineStr">
        <is>
          <t>enero 2025</t>
        </is>
      </c>
      <c r="T27" s="55" t="inlineStr">
        <is>
          <t>6387</t>
        </is>
      </c>
      <c r="U27" s="63" t="n"/>
      <c r="V27" s="63" t="n"/>
      <c r="W27" s="55" t="n"/>
      <c r="X27" s="55" t="n"/>
      <c r="Y27" s="55" t="inlineStr">
        <is>
          <t>Aprobado</t>
        </is>
      </c>
      <c r="Z27" s="63" t="n"/>
    </row>
    <row r="28" ht="15.75" customHeight="1">
      <c r="A28" s="54" t="n">
        <v>25</v>
      </c>
      <c r="B28" s="55" t="inlineStr">
        <is>
          <t>JOAQUIN ALARCON</t>
        </is>
      </c>
      <c r="C28" s="55" t="n"/>
      <c r="D28" s="56" t="n"/>
      <c r="E28" s="57" t="n"/>
      <c r="F28" s="57" t="n"/>
      <c r="G28" s="57" t="n"/>
      <c r="H28" s="56" t="n"/>
      <c r="I28" s="58" t="inlineStr">
        <is>
          <t>ARREGLOS LOCATIVOS AEROPUERTO</t>
        </is>
      </c>
      <c r="J28" s="58" t="n"/>
      <c r="K28" s="58" t="inlineStr">
        <is>
          <t>24</t>
        </is>
      </c>
      <c r="L28" s="59" t="n">
        <v>45686</v>
      </c>
      <c r="M28" s="59" t="n">
        <v>45686</v>
      </c>
      <c r="N28" s="59" t="n">
        <v>45688</v>
      </c>
      <c r="O28" s="60" t="n">
        <v>800000</v>
      </c>
      <c r="P28" s="61" t="n">
        <v>0</v>
      </c>
      <c r="Q28" s="61" t="n">
        <v>0</v>
      </c>
      <c r="R28" s="62" t="n">
        <v>800000</v>
      </c>
      <c r="S28" s="56" t="inlineStr">
        <is>
          <t>enero 2025</t>
        </is>
      </c>
      <c r="T28" s="55" t="inlineStr">
        <is>
          <t>6</t>
        </is>
      </c>
      <c r="U28" s="63" t="n"/>
      <c r="V28" s="63" t="n"/>
      <c r="W28" s="55" t="n"/>
      <c r="X28" s="55" t="n"/>
      <c r="Y28" s="55" t="inlineStr">
        <is>
          <t>Aprobado</t>
        </is>
      </c>
      <c r="Z28" s="63" t="n"/>
    </row>
    <row r="29" ht="15.75" customHeight="1">
      <c r="A29" s="54" t="n">
        <v>26</v>
      </c>
      <c r="B29" s="55" t="inlineStr">
        <is>
          <t>TIGO</t>
        </is>
      </c>
      <c r="C29" s="55" t="n"/>
      <c r="D29" s="56" t="n"/>
      <c r="E29" s="57" t="n"/>
      <c r="F29" s="57" t="n"/>
      <c r="G29" s="57" t="n"/>
      <c r="H29" s="56" t="n"/>
      <c r="I29" s="58" t="inlineStr">
        <is>
          <t>SERVICIO TELEFONIA FIJA SUC CRAFT MEDELLIN</t>
        </is>
      </c>
      <c r="J29" s="58" t="n"/>
      <c r="K29" s="58" t="inlineStr">
        <is>
          <t>BOPU115668512</t>
        </is>
      </c>
      <c r="L29" s="59" t="n">
        <v>45687</v>
      </c>
      <c r="M29" s="59" t="n">
        <v>45687</v>
      </c>
      <c r="N29" s="59" t="n">
        <v>45703</v>
      </c>
      <c r="O29" s="60" t="n">
        <v>109457</v>
      </c>
      <c r="P29" s="61" t="n">
        <v>0</v>
      </c>
      <c r="Q29" s="61" t="n">
        <v>0</v>
      </c>
      <c r="R29" s="62" t="n">
        <v>109457</v>
      </c>
      <c r="S29" s="56" t="inlineStr">
        <is>
          <t>enero 2025</t>
        </is>
      </c>
      <c r="T29" s="55" t="inlineStr">
        <is>
          <t>74</t>
        </is>
      </c>
      <c r="U29" s="63" t="n"/>
      <c r="V29" s="63" t="n"/>
      <c r="W29" s="55" t="n"/>
      <c r="X29" s="55" t="n"/>
      <c r="Y29" s="55" t="inlineStr">
        <is>
          <t>Aprobado</t>
        </is>
      </c>
      <c r="Z29" s="63" t="n"/>
    </row>
    <row r="30" ht="15.75" customHeight="1">
      <c r="A30" s="54" t="n">
        <v>27</v>
      </c>
      <c r="B30" s="55" t="inlineStr">
        <is>
          <t>TIGO</t>
        </is>
      </c>
      <c r="C30" s="55" t="n"/>
      <c r="D30" s="56" t="n"/>
      <c r="E30" s="57" t="n"/>
      <c r="F30" s="57" t="n"/>
      <c r="G30" s="57" t="n"/>
      <c r="H30" s="56" t="n"/>
      <c r="I30" s="58" t="inlineStr">
        <is>
          <t>SERVICIO DE NUMERO UNICO SUC CRAFT MEDELLIN</t>
        </is>
      </c>
      <c r="J30" s="58" t="n"/>
      <c r="K30" s="58" t="inlineStr">
        <is>
          <t>BOPU115605001</t>
        </is>
      </c>
      <c r="L30" s="59" t="n">
        <v>45687</v>
      </c>
      <c r="M30" s="59" t="n">
        <v>45687</v>
      </c>
      <c r="N30" s="59" t="n">
        <v>45703</v>
      </c>
      <c r="O30" s="60" t="n">
        <v>27351</v>
      </c>
      <c r="P30" s="61" t="n">
        <v>0</v>
      </c>
      <c r="Q30" s="61" t="n">
        <v>0</v>
      </c>
      <c r="R30" s="62" t="n">
        <v>27351</v>
      </c>
      <c r="S30" s="56" t="inlineStr">
        <is>
          <t>enero 2025</t>
        </is>
      </c>
      <c r="T30" s="55" t="inlineStr">
        <is>
          <t>73</t>
        </is>
      </c>
      <c r="U30" s="63" t="n"/>
      <c r="V30" s="63" t="n"/>
      <c r="W30" s="55" t="n"/>
      <c r="X30" s="55" t="n"/>
      <c r="Y30" s="55" t="inlineStr">
        <is>
          <t>Aprobado</t>
        </is>
      </c>
      <c r="Z30" s="63" t="n"/>
    </row>
    <row r="31" ht="15.75" customHeight="1">
      <c r="A31" s="54" t="n">
        <v>28</v>
      </c>
      <c r="B31" s="55" t="inlineStr">
        <is>
          <t>TIGO</t>
        </is>
      </c>
      <c r="C31" s="55" t="n"/>
      <c r="D31" s="56" t="n"/>
      <c r="E31" s="57" t="n"/>
      <c r="F31" s="57" t="n"/>
      <c r="G31" s="57" t="n"/>
      <c r="H31" s="56" t="n"/>
      <c r="I31" s="58" t="inlineStr">
        <is>
          <t>SERVICIO INTERNET SUC CRAFT MEDELLIN</t>
        </is>
      </c>
      <c r="J31" s="58" t="n"/>
      <c r="K31" s="58" t="inlineStr">
        <is>
          <t>BOPU115616671</t>
        </is>
      </c>
      <c r="L31" s="59" t="n">
        <v>45687</v>
      </c>
      <c r="M31" s="59" t="n">
        <v>45687</v>
      </c>
      <c r="N31" s="59" t="n">
        <v>45703</v>
      </c>
      <c r="O31" s="60" t="n">
        <v>131449</v>
      </c>
      <c r="P31" s="61" t="n">
        <v>0</v>
      </c>
      <c r="Q31" s="61" t="n">
        <v>0</v>
      </c>
      <c r="R31" s="62" t="n">
        <v>131449</v>
      </c>
      <c r="S31" s="56" t="inlineStr">
        <is>
          <t>enero 2025</t>
        </is>
      </c>
      <c r="T31" s="55" t="inlineStr">
        <is>
          <t>72</t>
        </is>
      </c>
      <c r="U31" s="63" t="n"/>
      <c r="V31" s="63" t="n"/>
      <c r="W31" s="55" t="n"/>
      <c r="X31" s="55" t="n"/>
      <c r="Y31" s="55" t="inlineStr">
        <is>
          <t>Aprobado</t>
        </is>
      </c>
      <c r="Z31" s="63" t="n"/>
    </row>
    <row r="32" ht="15.75" customHeight="1">
      <c r="A32" s="54" t="n">
        <v>29</v>
      </c>
      <c r="B32" s="55" t="inlineStr">
        <is>
          <t>MOVISTAR</t>
        </is>
      </c>
      <c r="C32" s="55" t="n"/>
      <c r="D32" s="56" t="n"/>
      <c r="E32" s="57" t="n"/>
      <c r="F32" s="57" t="n"/>
      <c r="G32" s="57" t="n"/>
      <c r="H32" s="56" t="n"/>
      <c r="I32" s="58" t="inlineStr">
        <is>
          <t>REPOSICION SIMCARD 3160231961 EN STOCK</t>
        </is>
      </c>
      <c r="J32" s="58" t="n"/>
      <c r="K32" s="58" t="inlineStr">
        <is>
          <t>BEV21329050</t>
        </is>
      </c>
      <c r="L32" s="59" t="n">
        <v>45687</v>
      </c>
      <c r="M32" s="59" t="n"/>
      <c r="N32" s="59" t="n">
        <v>45702</v>
      </c>
      <c r="O32" s="60" t="n">
        <v>8000</v>
      </c>
      <c r="P32" s="61" t="n">
        <v>0</v>
      </c>
      <c r="Q32" s="61" t="n">
        <v>0</v>
      </c>
      <c r="R32" s="62" t="n">
        <v>8000</v>
      </c>
      <c r="S32" s="56" t="inlineStr">
        <is>
          <t>enero 2025</t>
        </is>
      </c>
      <c r="T32" s="55" t="inlineStr">
        <is>
          <t>7368</t>
        </is>
      </c>
      <c r="U32" s="63" t="n"/>
      <c r="V32" s="63" t="n"/>
      <c r="W32" s="55" t="n"/>
      <c r="X32" s="55" t="n"/>
      <c r="Y32" s="55" t="inlineStr">
        <is>
          <t>Aprobado</t>
        </is>
      </c>
      <c r="Z32" s="63" t="n"/>
    </row>
    <row r="33" ht="15.75" customHeight="1">
      <c r="A33" s="54" t="n">
        <v>30</v>
      </c>
      <c r="B33" s="55" t="inlineStr">
        <is>
          <t>OPERADORA HOTELERA PORTUS SAS</t>
        </is>
      </c>
      <c r="C33" s="55" t="n"/>
      <c r="D33" s="56" t="n"/>
      <c r="E33" s="57" t="n"/>
      <c r="F33" s="57" t="n"/>
      <c r="G33" s="57" t="n"/>
      <c r="H33" s="56" t="n"/>
      <c r="I33" s="58" t="inlineStr">
        <is>
          <t>ALOJAMIENTO EN CARTAGENA OLGA MONTOYA</t>
        </is>
      </c>
      <c r="J33" s="58" t="n"/>
      <c r="K33" s="58" t="inlineStr">
        <is>
          <t>FEHM43364</t>
        </is>
      </c>
      <c r="L33" s="59" t="n">
        <v>45702</v>
      </c>
      <c r="M33" s="59" t="n">
        <v>45705</v>
      </c>
      <c r="N33" s="59" t="n">
        <v>45732</v>
      </c>
      <c r="O33" s="60" t="n">
        <v>1356600</v>
      </c>
      <c r="P33" s="61" t="n">
        <v>0</v>
      </c>
      <c r="Q33" s="61" t="n">
        <v>0</v>
      </c>
      <c r="R33" s="62" t="n">
        <v>1356600</v>
      </c>
      <c r="S33" s="56" t="inlineStr">
        <is>
          <t>febrero 2025</t>
        </is>
      </c>
      <c r="T33" s="55" t="inlineStr">
        <is>
          <t>32</t>
        </is>
      </c>
      <c r="U33" s="63" t="n"/>
      <c r="V33" s="63" t="n"/>
      <c r="W33" s="55" t="n"/>
      <c r="X33" s="55" t="n"/>
      <c r="Y33" s="55" t="inlineStr">
        <is>
          <t>Aprobado</t>
        </is>
      </c>
      <c r="Z33" s="63" t="n"/>
    </row>
    <row r="34" ht="15.75" customHeight="1">
      <c r="A34" s="54" t="n">
        <v>31</v>
      </c>
      <c r="B34" s="55" t="inlineStr">
        <is>
          <t>PC QUICK SAS</t>
        </is>
      </c>
      <c r="C34" s="55" t="n"/>
      <c r="D34" s="56" t="n"/>
      <c r="E34" s="57" t="n"/>
      <c r="F34" s="57" t="n"/>
      <c r="G34" s="57" t="n"/>
      <c r="H34" s="56" t="n"/>
      <c r="I34" s="58" t="inlineStr">
        <is>
          <t xml:space="preserve">2 PC / MEMORIAS GINNA CASTRO Y SEBASTIAN PEREZ </t>
        </is>
      </c>
      <c r="J34" s="58" t="n"/>
      <c r="K34" s="58" t="inlineStr">
        <is>
          <t>PFE8349</t>
        </is>
      </c>
      <c r="L34" s="59" t="n">
        <v>45702</v>
      </c>
      <c r="M34" s="59" t="n">
        <v>45705</v>
      </c>
      <c r="N34" s="59" t="n">
        <v>45732</v>
      </c>
      <c r="O34" s="60" t="n">
        <v>4680880</v>
      </c>
      <c r="P34" s="61" t="n">
        <v>0</v>
      </c>
      <c r="Q34" s="61" t="n">
        <v>0</v>
      </c>
      <c r="R34" s="62" t="n">
        <v>4680880</v>
      </c>
      <c r="S34" s="56" t="inlineStr">
        <is>
          <t>febrero 2025</t>
        </is>
      </c>
      <c r="T34" s="55" t="inlineStr">
        <is>
          <t>5530</t>
        </is>
      </c>
      <c r="U34" s="63" t="n"/>
      <c r="V34" s="63" t="n"/>
      <c r="W34" s="55" t="n"/>
      <c r="X34" s="55" t="n"/>
      <c r="Y34" s="55" t="inlineStr">
        <is>
          <t>Aprobado</t>
        </is>
      </c>
      <c r="Z34" s="63" t="n"/>
    </row>
    <row r="35" ht="15.75" customHeight="1">
      <c r="A35" s="54" t="n">
        <v>32</v>
      </c>
      <c r="B35" s="55" t="inlineStr">
        <is>
          <t>CONTRATOS Y FIANZAS DE ARRENDAMIENTO S.A.S.</t>
        </is>
      </c>
      <c r="C35" s="55" t="n"/>
      <c r="D35" s="56" t="inlineStr">
        <is>
          <t>ADM</t>
        </is>
      </c>
      <c r="E35" s="57" t="n"/>
      <c r="F35" s="57" t="inlineStr">
        <is>
          <t>Arriendos</t>
        </is>
      </c>
      <c r="G35" s="57" t="n"/>
      <c r="H35" s="56" t="n"/>
      <c r="I35" s="58" t="inlineStr">
        <is>
          <t>SERVICIO ZONA VIRTUAL CRAFT MEDELLIN</t>
        </is>
      </c>
      <c r="J35" s="58" t="inlineStr">
        <is>
          <t>Medellín</t>
        </is>
      </c>
      <c r="K35" s="58" t="inlineStr">
        <is>
          <t>FE566213</t>
        </is>
      </c>
      <c r="L35" s="59" t="n">
        <v>45702</v>
      </c>
      <c r="M35" s="59" t="n">
        <v>45705</v>
      </c>
      <c r="N35" s="59" t="n">
        <v>45709</v>
      </c>
      <c r="O35" s="60" t="n">
        <v>5200</v>
      </c>
      <c r="P35" s="61" t="n">
        <v>0</v>
      </c>
      <c r="Q35" s="61" t="n">
        <v>0</v>
      </c>
      <c r="R35" s="62" t="n">
        <v>5200</v>
      </c>
      <c r="S35" s="56" t="inlineStr">
        <is>
          <t>febrero 2025</t>
        </is>
      </c>
      <c r="T35" s="55" t="inlineStr">
        <is>
          <t>97</t>
        </is>
      </c>
      <c r="U35" s="63" t="n"/>
      <c r="V35" s="63" t="n"/>
      <c r="W35" s="55" t="n"/>
      <c r="X35" s="55" t="n"/>
      <c r="Y35" s="55" t="inlineStr">
        <is>
          <t>Aprobado</t>
        </is>
      </c>
      <c r="Z35" s="63" t="n"/>
    </row>
    <row r="36" ht="15.75" customHeight="1">
      <c r="A36" s="54" t="n">
        <v>33</v>
      </c>
      <c r="B36" s="55" t="inlineStr">
        <is>
          <t>AIR-E</t>
        </is>
      </c>
      <c r="C36" s="55" t="n"/>
      <c r="D36" s="56" t="n"/>
      <c r="E36" s="57" t="n"/>
      <c r="F36" s="57" t="n"/>
      <c r="G36" s="57" t="n"/>
      <c r="H36" s="56" t="n"/>
      <c r="I36" s="58" t="inlineStr">
        <is>
          <t>SERVICIO ENERGIA CRAFT BARRANQUILLA</t>
        </is>
      </c>
      <c r="J36" s="58" t="n"/>
      <c r="K36" s="58" t="inlineStr">
        <is>
          <t>93439397</t>
        </is>
      </c>
      <c r="L36" s="59" t="n">
        <v>45705</v>
      </c>
      <c r="M36" s="59" t="n">
        <v>45705</v>
      </c>
      <c r="N36" s="59" t="n">
        <v>45706</v>
      </c>
      <c r="O36" s="60" t="n">
        <v>547310</v>
      </c>
      <c r="P36" s="61" t="n">
        <v>0</v>
      </c>
      <c r="Q36" s="61" t="n">
        <v>0</v>
      </c>
      <c r="R36" s="62" t="n">
        <v>547310</v>
      </c>
      <c r="S36" s="56" t="inlineStr">
        <is>
          <t>febrero 2025</t>
        </is>
      </c>
      <c r="T36" s="55" t="inlineStr">
        <is>
          <t>3</t>
        </is>
      </c>
      <c r="U36" s="63" t="n"/>
      <c r="V36" s="63" t="n"/>
      <c r="W36" s="55" t="n"/>
      <c r="X36" s="55" t="n"/>
      <c r="Y36" s="55" t="inlineStr">
        <is>
          <t>Aprobado</t>
        </is>
      </c>
      <c r="Z36" s="63" t="n"/>
    </row>
    <row r="37" ht="15.75" customHeight="1">
      <c r="A37" s="54" t="n">
        <v>34</v>
      </c>
      <c r="B37" s="55" t="inlineStr">
        <is>
          <t>EPM MEDELLIN</t>
        </is>
      </c>
      <c r="C37" s="55" t="n"/>
      <c r="D37" s="56" t="n"/>
      <c r="E37" s="57" t="n"/>
      <c r="F37" s="57" t="n"/>
      <c r="G37" s="57" t="n"/>
      <c r="H37" s="56" t="n"/>
      <c r="I37" s="58" t="inlineStr">
        <is>
          <t>SERVICIOS PUBLICOS CRAFT MEDELLIN</t>
        </is>
      </c>
      <c r="J37" s="58" t="n"/>
      <c r="K37" s="58" t="inlineStr">
        <is>
          <t>DEE9073074</t>
        </is>
      </c>
      <c r="L37" s="59" t="n">
        <v>45705</v>
      </c>
      <c r="M37" s="59" t="n">
        <v>45705</v>
      </c>
      <c r="N37" s="59" t="n">
        <v>45715</v>
      </c>
      <c r="O37" s="60" t="n">
        <v>388061</v>
      </c>
      <c r="P37" s="61" t="n">
        <v>0</v>
      </c>
      <c r="Q37" s="61" t="n">
        <v>0</v>
      </c>
      <c r="R37" s="62" t="n">
        <v>388061</v>
      </c>
      <c r="S37" s="56" t="inlineStr">
        <is>
          <t>febrero 2025</t>
        </is>
      </c>
      <c r="T37" s="55" t="inlineStr">
        <is>
          <t>100</t>
        </is>
      </c>
      <c r="U37" s="63" t="n"/>
      <c r="V37" s="63" t="n"/>
      <c r="W37" s="55" t="n"/>
      <c r="X37" s="55" t="n"/>
      <c r="Y37" s="55" t="inlineStr">
        <is>
          <t>Aprobado</t>
        </is>
      </c>
      <c r="Z37" s="63" t="n"/>
    </row>
    <row r="38" ht="15.75" customHeight="1">
      <c r="A38" s="54" t="n">
        <v>35</v>
      </c>
      <c r="B38" s="55" t="inlineStr">
        <is>
          <t>MOVISTAR</t>
        </is>
      </c>
      <c r="C38" s="55" t="n"/>
      <c r="D38" s="56" t="n"/>
      <c r="E38" s="57" t="n"/>
      <c r="F38" s="57" t="n"/>
      <c r="G38" s="57" t="n"/>
      <c r="H38" s="56" t="n"/>
      <c r="I38" s="58" t="inlineStr">
        <is>
          <t>SERVICIOS CELULARES CRAFT BOGOTA</t>
        </is>
      </c>
      <c r="J38" s="58" t="n"/>
      <c r="K38" s="58" t="inlineStr">
        <is>
          <t>BEC434656594</t>
        </is>
      </c>
      <c r="L38" s="59" t="n">
        <v>45703</v>
      </c>
      <c r="M38" s="59" t="n">
        <v>45705</v>
      </c>
      <c r="N38" s="59" t="n">
        <v>45709</v>
      </c>
      <c r="O38" s="60" t="n">
        <v>1608263</v>
      </c>
      <c r="P38" s="61" t="n">
        <v>0</v>
      </c>
      <c r="Q38" s="61" t="n">
        <v>0</v>
      </c>
      <c r="R38" s="62" t="n">
        <v>1608263</v>
      </c>
      <c r="S38" s="56" t="inlineStr">
        <is>
          <t>febrero 2025</t>
        </is>
      </c>
      <c r="T38" s="55" t="inlineStr">
        <is>
          <t>5533</t>
        </is>
      </c>
      <c r="U38" s="63" t="n"/>
      <c r="V38" s="63" t="n"/>
      <c r="W38" s="55" t="n"/>
      <c r="X38" s="55" t="n"/>
      <c r="Y38" s="55" t="inlineStr">
        <is>
          <t>Aprobado</t>
        </is>
      </c>
      <c r="Z38" s="63" t="n"/>
    </row>
    <row r="39" ht="15.75" customHeight="1">
      <c r="A39" s="54" t="n">
        <v>36</v>
      </c>
      <c r="B39" s="55" t="inlineStr">
        <is>
          <t>JAVIER ANTONIO SANCHEZ</t>
        </is>
      </c>
      <c r="C39" s="55" t="n"/>
      <c r="D39" s="56" t="n"/>
      <c r="E39" s="57" t="n"/>
      <c r="F39" s="57" t="n"/>
      <c r="G39" s="57" t="n"/>
      <c r="H39" s="56" t="n"/>
      <c r="I39" s="58" t="inlineStr">
        <is>
          <t>ARRIENDO CUARTO DE BODEGA CRAFT BUENAVENTURA</t>
        </is>
      </c>
      <c r="J39" s="58" t="n"/>
      <c r="K39" s="58" t="inlineStr">
        <is>
          <t>202502</t>
        </is>
      </c>
      <c r="L39" s="59" t="n">
        <v>45706</v>
      </c>
      <c r="M39" s="59" t="n">
        <v>45706</v>
      </c>
      <c r="N39" s="59" t="n">
        <v>45709</v>
      </c>
      <c r="O39" s="60" t="n">
        <v>250000</v>
      </c>
      <c r="P39" s="61" t="n">
        <v>0</v>
      </c>
      <c r="Q39" s="61" t="n">
        <v>0</v>
      </c>
      <c r="R39" s="62" t="n">
        <v>250000</v>
      </c>
      <c r="S39" s="56" t="inlineStr">
        <is>
          <t>febrero 2025</t>
        </is>
      </c>
      <c r="T39" s="55" t="inlineStr">
        <is>
          <t>11</t>
        </is>
      </c>
      <c r="U39" s="63" t="n"/>
      <c r="V39" s="63" t="n"/>
      <c r="W39" s="55" t="n"/>
      <c r="X39" s="55" t="n"/>
      <c r="Y39" s="55" t="inlineStr">
        <is>
          <t>Aprobado</t>
        </is>
      </c>
      <c r="Z39" s="63" t="n"/>
    </row>
    <row r="40" ht="15.75" customHeight="1">
      <c r="A40" s="54" t="n">
        <v>37</v>
      </c>
      <c r="B40" s="55" t="inlineStr">
        <is>
          <t>EDIFICIO PORTUS MANGA CARTAGENA</t>
        </is>
      </c>
      <c r="C40" s="55" t="n"/>
      <c r="D40" s="56" t="n"/>
      <c r="E40" s="57" t="n"/>
      <c r="F40" s="57" t="n"/>
      <c r="G40" s="57" t="n"/>
      <c r="H40" s="56" t="n"/>
      <c r="I40" s="58" t="inlineStr">
        <is>
          <t>PARQUEADERO EN CRAFT CARTAGENA</t>
        </is>
      </c>
      <c r="J40" s="58" t="n"/>
      <c r="K40" s="58" t="inlineStr">
        <is>
          <t>222</t>
        </is>
      </c>
      <c r="L40" s="59" t="n">
        <v>45706</v>
      </c>
      <c r="M40" s="59" t="n">
        <v>45706</v>
      </c>
      <c r="N40" s="59" t="n">
        <v>45709</v>
      </c>
      <c r="O40" s="60" t="n">
        <v>94225</v>
      </c>
      <c r="P40" s="61" t="n">
        <v>0</v>
      </c>
      <c r="Q40" s="61" t="n">
        <v>0</v>
      </c>
      <c r="R40" s="62" t="n">
        <v>94225</v>
      </c>
      <c r="S40" s="56" t="inlineStr">
        <is>
          <t>febrero 2025</t>
        </is>
      </c>
      <c r="T40" s="55" t="inlineStr">
        <is>
          <t>20</t>
        </is>
      </c>
      <c r="U40" s="63" t="n"/>
      <c r="V40" s="63" t="n"/>
      <c r="W40" s="55" t="n"/>
      <c r="X40" s="55" t="n"/>
      <c r="Y40" s="55" t="n"/>
      <c r="Z40" s="63" t="n"/>
    </row>
    <row r="41" ht="15.75" customHeight="1">
      <c r="A41" s="54" t="n">
        <v>38</v>
      </c>
      <c r="B41" s="55" t="inlineStr">
        <is>
          <t>JOAQUIN ALARCON</t>
        </is>
      </c>
      <c r="C41" s="55" t="n"/>
      <c r="D41" s="56" t="n"/>
      <c r="E41" s="57" t="n"/>
      <c r="F41" s="57" t="n"/>
      <c r="G41" s="57" t="n"/>
      <c r="H41" s="56" t="n"/>
      <c r="I41" s="58" t="inlineStr">
        <is>
          <t>ARREGLOS LOCATIVOS, SILLAS, DESTRUCICION ARVHIVO MUERTO CARPETAS</t>
        </is>
      </c>
      <c r="J41" s="58" t="n"/>
      <c r="K41" s="58" t="inlineStr">
        <is>
          <t>26</t>
        </is>
      </c>
      <c r="L41" s="59" t="n">
        <v>45707</v>
      </c>
      <c r="M41" s="59" t="n">
        <v>45707</v>
      </c>
      <c r="N41" s="59" t="n">
        <v>45709</v>
      </c>
      <c r="O41" s="60" t="n">
        <v>700000</v>
      </c>
      <c r="P41" s="61" t="n">
        <v>0</v>
      </c>
      <c r="Q41" s="61" t="n">
        <v>0</v>
      </c>
      <c r="R41" s="62" t="n">
        <v>700000</v>
      </c>
      <c r="S41" s="56" t="inlineStr">
        <is>
          <t>febrero 2025</t>
        </is>
      </c>
      <c r="T41" s="55" t="inlineStr">
        <is>
          <t>4672</t>
        </is>
      </c>
      <c r="U41" s="63" t="n"/>
      <c r="V41" s="63" t="n"/>
      <c r="W41" s="55" t="n"/>
      <c r="X41" s="55" t="n"/>
      <c r="Y41" s="55" t="inlineStr">
        <is>
          <t>Aprobado</t>
        </is>
      </c>
      <c r="Z41" s="63" t="n"/>
    </row>
    <row r="42" ht="15.75" customHeight="1">
      <c r="A42" s="54" t="n">
        <v>39</v>
      </c>
      <c r="B42" s="55" t="inlineStr">
        <is>
          <t>AAA ACUEDUCTO BARRANQUILLA</t>
        </is>
      </c>
      <c r="C42" s="55" t="n"/>
      <c r="D42" s="56" t="n"/>
      <c r="E42" s="57" t="n"/>
      <c r="F42" s="57" t="n"/>
      <c r="G42" s="57" t="n"/>
      <c r="H42" s="56" t="n"/>
      <c r="I42" s="58" t="inlineStr">
        <is>
          <t>SERVICIO ACUEDUCTO CRAFT BARRANQUILLA</t>
        </is>
      </c>
      <c r="J42" s="58" t="n"/>
      <c r="K42" s="58" t="inlineStr">
        <is>
          <t>60555943</t>
        </is>
      </c>
      <c r="L42" s="59" t="n">
        <v>45707</v>
      </c>
      <c r="M42" s="59" t="n">
        <v>45707</v>
      </c>
      <c r="N42" s="59" t="n">
        <v>45707</v>
      </c>
      <c r="O42" s="60" t="n">
        <v>221075</v>
      </c>
      <c r="P42" s="61" t="n">
        <v>0</v>
      </c>
      <c r="Q42" s="61" t="n">
        <v>0</v>
      </c>
      <c r="R42" s="62" t="n">
        <v>221075</v>
      </c>
      <c r="S42" s="56" t="inlineStr">
        <is>
          <t>febrero 2025</t>
        </is>
      </c>
      <c r="T42" s="55" t="inlineStr">
        <is>
          <t>4</t>
        </is>
      </c>
      <c r="U42" s="63" t="n"/>
      <c r="V42" s="63" t="n"/>
      <c r="W42" s="55" t="n"/>
      <c r="X42" s="55" t="n"/>
      <c r="Y42" s="55" t="inlineStr">
        <is>
          <t>Aprobado</t>
        </is>
      </c>
      <c r="Z42" s="63" t="n"/>
    </row>
    <row r="43" ht="15.75" customHeight="1">
      <c r="A43" s="54" t="n">
        <v>40</v>
      </c>
      <c r="B43" s="55" t="inlineStr">
        <is>
          <t>CLARO S.A.</t>
        </is>
      </c>
      <c r="C43" s="55" t="n"/>
      <c r="D43" s="56" t="n"/>
      <c r="E43" s="57" t="n"/>
      <c r="F43" s="57" t="n"/>
      <c r="G43" s="57" t="n"/>
      <c r="H43" s="56" t="n"/>
      <c r="I43" s="58" t="inlineStr">
        <is>
          <t>INTERNTE APTO CAROLINA TORRES EN PROCESO DE DESCONEXION</t>
        </is>
      </c>
      <c r="J43" s="58" t="n"/>
      <c r="K43" s="58" t="inlineStr">
        <is>
          <t>R 1092424009</t>
        </is>
      </c>
      <c r="L43" s="59" t="n">
        <v>45707</v>
      </c>
      <c r="M43" s="59" t="n">
        <v>45707</v>
      </c>
      <c r="N43" s="59" t="n">
        <v>45707</v>
      </c>
      <c r="O43" s="60" t="n">
        <v>155875</v>
      </c>
      <c r="P43" s="61" t="n">
        <v>0</v>
      </c>
      <c r="Q43" s="61" t="n">
        <v>0</v>
      </c>
      <c r="R43" s="62" t="n">
        <v>155875</v>
      </c>
      <c r="S43" s="56" t="inlineStr">
        <is>
          <t>febrero 2025</t>
        </is>
      </c>
      <c r="T43" s="55" t="inlineStr">
        <is>
          <t>6771</t>
        </is>
      </c>
      <c r="U43" s="63" t="n"/>
      <c r="V43" s="63" t="n"/>
      <c r="W43" s="55" t="n"/>
      <c r="X43" s="55" t="inlineStr">
        <is>
          <t>Aprobada por correo</t>
        </is>
      </c>
      <c r="Y43" s="55" t="n"/>
      <c r="Z43" s="63" t="n"/>
    </row>
    <row r="44" ht="15.75" customHeight="1">
      <c r="A44" s="54" t="n">
        <v>41</v>
      </c>
      <c r="B44" s="55" t="inlineStr">
        <is>
          <t>TECNOLOGIA INFORMATICA TECINF SAS</t>
        </is>
      </c>
      <c r="C44" s="55" t="n"/>
      <c r="D44" s="56" t="n"/>
      <c r="E44" s="57" t="n"/>
      <c r="F44" s="57" t="n"/>
      <c r="G44" s="57" t="n"/>
      <c r="H44" s="56" t="n"/>
      <c r="I44" s="58" t="inlineStr">
        <is>
          <t>5 COMBOS MOUSE NATALIA MAHECHA; GINNA CASTRO;SEBASTIAN;ISABELLAY VALENTINA</t>
        </is>
      </c>
      <c r="J44" s="58" t="n"/>
      <c r="K44" s="58" t="inlineStr">
        <is>
          <t>FEB19459</t>
        </is>
      </c>
      <c r="L44" s="59" t="n">
        <v>45705</v>
      </c>
      <c r="M44" s="59" t="n">
        <v>45707</v>
      </c>
      <c r="N44" s="59" t="n">
        <v>45735</v>
      </c>
      <c r="O44" s="60" t="n">
        <v>528734</v>
      </c>
      <c r="P44" s="61" t="n">
        <v>0</v>
      </c>
      <c r="Q44" s="61" t="n">
        <v>0</v>
      </c>
      <c r="R44" s="62" t="n">
        <v>528734</v>
      </c>
      <c r="S44" s="56" t="inlineStr">
        <is>
          <t>febrero 2025</t>
        </is>
      </c>
      <c r="T44" s="55" t="inlineStr">
        <is>
          <t>5573</t>
        </is>
      </c>
      <c r="U44" s="63" t="n"/>
      <c r="V44" s="63" t="n"/>
      <c r="W44" s="55" t="n"/>
      <c r="X44" s="55" t="n"/>
      <c r="Y44" s="55" t="inlineStr">
        <is>
          <t>Aprobado</t>
        </is>
      </c>
      <c r="Z44" s="63" t="n"/>
    </row>
    <row r="45" ht="15.75" customHeight="1">
      <c r="A45" s="54" t="n">
        <v>42</v>
      </c>
      <c r="B45" s="55" t="inlineStr">
        <is>
          <t>OPAIN SA AEROPUERTO EL DORADO</t>
        </is>
      </c>
      <c r="C45" s="55" t="n"/>
      <c r="D45" s="56" t="n"/>
      <c r="E45" s="57" t="n"/>
      <c r="F45" s="57" t="n"/>
      <c r="G45" s="57" t="n"/>
      <c r="H45" s="56" t="n"/>
      <c r="I45" s="58" t="inlineStr">
        <is>
          <t>AJUSTE GASTOS REEMBOLSABLES ENERO A MAR 2025 CRAFT AEROPUERTO</t>
        </is>
      </c>
      <c r="J45" s="58" t="n"/>
      <c r="K45" s="58" t="inlineStr">
        <is>
          <t>CCG-19440</t>
        </is>
      </c>
      <c r="L45" s="59" t="n"/>
      <c r="M45" s="59" t="n"/>
      <c r="N45" s="59" t="n"/>
      <c r="O45" s="60" t="n">
        <v>204446</v>
      </c>
      <c r="P45" s="61" t="n">
        <v>0</v>
      </c>
      <c r="Q45" s="61" t="n">
        <v>0</v>
      </c>
      <c r="R45" s="62" t="n">
        <v>204446</v>
      </c>
      <c r="S45" s="56" t="inlineStr">
        <is>
          <t>enero 2025</t>
        </is>
      </c>
      <c r="T45" s="55" t="inlineStr">
        <is>
          <t>5</t>
        </is>
      </c>
      <c r="U45" s="63" t="n"/>
      <c r="V45" s="63" t="n"/>
      <c r="W45" s="55" t="n"/>
      <c r="X45" s="55" t="n"/>
      <c r="Y45" s="55" t="n"/>
      <c r="Z45" s="63" t="n"/>
    </row>
    <row r="46" ht="15.75" customHeight="1">
      <c r="A46" s="54" t="n">
        <v>43</v>
      </c>
      <c r="B46" s="55" t="inlineStr">
        <is>
          <t>EPM MEDELLIN</t>
        </is>
      </c>
      <c r="C46" s="55" t="n"/>
      <c r="D46" s="56" t="n"/>
      <c r="E46" s="57" t="n"/>
      <c r="F46" s="57" t="n"/>
      <c r="G46" s="57" t="n"/>
      <c r="H46" s="56" t="n"/>
      <c r="I46" s="58" t="inlineStr">
        <is>
          <t>SERVICIOS PUBLICOS CRAFT MEDELLIN</t>
        </is>
      </c>
      <c r="J46" s="58" t="n"/>
      <c r="K46" s="58" t="inlineStr">
        <is>
          <t>DEE14494551</t>
        </is>
      </c>
      <c r="L46" s="59" t="n"/>
      <c r="M46" s="59" t="n"/>
      <c r="N46" s="59" t="n"/>
      <c r="O46" s="60" t="n">
        <v>387631.52</v>
      </c>
      <c r="P46" s="61" t="n">
        <v>0</v>
      </c>
      <c r="Q46" s="61" t="n">
        <v>0</v>
      </c>
      <c r="R46" s="62" t="n">
        <v>387631.52</v>
      </c>
      <c r="S46" s="56" t="inlineStr">
        <is>
          <t>enero 2025</t>
        </is>
      </c>
      <c r="T46" s="55" t="inlineStr">
        <is>
          <t>57</t>
        </is>
      </c>
      <c r="U46" s="63" t="n"/>
      <c r="V46" s="63" t="n"/>
      <c r="W46" s="55" t="n"/>
      <c r="X46" s="55" t="n"/>
      <c r="Y46" s="55" t="n"/>
      <c r="Z46" s="63" t="n"/>
    </row>
    <row r="47" ht="15.75" customHeight="1">
      <c r="A47" s="54" t="n">
        <v>44</v>
      </c>
      <c r="B47" s="55" t="inlineStr">
        <is>
          <t>Henry de jesus Sarmiento Rodriguez</t>
        </is>
      </c>
      <c r="C47" s="55" t="n"/>
      <c r="D47" s="56" t="n"/>
      <c r="E47" s="57" t="n"/>
      <c r="F47" s="57" t="n"/>
      <c r="G47" s="57" t="n"/>
      <c r="H47" s="56" t="n"/>
      <c r="I47" s="58" t="inlineStr">
        <is>
          <t xml:space="preserve">TRANSPORTE COLABORADORES CRAFT BOGOTA  </t>
        </is>
      </c>
      <c r="J47" s="58" t="n"/>
      <c r="K47" s="58" t="inlineStr">
        <is>
          <t>FE24</t>
        </is>
      </c>
      <c r="L47" s="59" t="n"/>
      <c r="M47" s="59" t="n"/>
      <c r="N47" s="59" t="n"/>
      <c r="O47" s="60" t="n">
        <v>3468500</v>
      </c>
      <c r="P47" s="61" t="n">
        <v>0</v>
      </c>
      <c r="Q47" s="61" t="n">
        <v>0</v>
      </c>
      <c r="R47" s="62" t="n">
        <v>3468500</v>
      </c>
      <c r="S47" s="56">
        <f>IF(M47="","",TEXT(M47,"mmmm yyyy"))</f>
        <v/>
      </c>
      <c r="T47" s="55" t="inlineStr">
        <is>
          <t>5575</t>
        </is>
      </c>
      <c r="U47" s="63" t="n"/>
      <c r="V47" s="63" t="n"/>
      <c r="W47" s="55" t="n"/>
      <c r="X47" s="55" t="n"/>
      <c r="Y47" s="55" t="n"/>
      <c r="Z47" s="63" t="n"/>
    </row>
    <row r="48" ht="15.75" customHeight="1">
      <c r="A48" s="54" t="n">
        <v>45</v>
      </c>
      <c r="B48" s="55" t="inlineStr">
        <is>
          <t>CLARO S.A.</t>
        </is>
      </c>
      <c r="C48" s="55" t="n"/>
      <c r="D48" s="56" t="inlineStr">
        <is>
          <t>IT</t>
        </is>
      </c>
      <c r="E48" s="57" t="n"/>
      <c r="F48" s="57" t="inlineStr">
        <is>
          <t>Internet oficinas</t>
        </is>
      </c>
      <c r="G48" s="57" t="n"/>
      <c r="H48" s="56" t="inlineStr">
        <is>
          <t>Fijo</t>
        </is>
      </c>
      <c r="I48" s="58" t="inlineStr">
        <is>
          <t>SERVICIO TV, INTERNET Y TELEFONIA CRAFT CALI</t>
        </is>
      </c>
      <c r="J48" s="58" t="inlineStr">
        <is>
          <t>Cali</t>
        </is>
      </c>
      <c r="K48" s="58" t="inlineStr">
        <is>
          <t>R1135520084</t>
        </is>
      </c>
      <c r="L48" s="59" t="n"/>
      <c r="M48" s="59" t="n"/>
      <c r="N48" s="59" t="n"/>
      <c r="O48" s="60" t="n">
        <v>170501</v>
      </c>
      <c r="P48" s="61" t="n">
        <v>0</v>
      </c>
      <c r="Q48" s="61" t="n">
        <v>0</v>
      </c>
      <c r="R48" s="62" t="n">
        <v>170501</v>
      </c>
      <c r="S48" s="56" t="inlineStr">
        <is>
          <t>enero 2025</t>
        </is>
      </c>
      <c r="T48" s="55" t="inlineStr">
        <is>
          <t>2</t>
        </is>
      </c>
      <c r="U48" s="63" t="n"/>
      <c r="V48" s="63" t="n"/>
      <c r="W48" s="55" t="n"/>
      <c r="X48" s="55" t="n"/>
      <c r="Y48" s="55" t="n"/>
      <c r="Z48" s="63" t="n"/>
    </row>
    <row r="49" ht="15.75" customHeight="1">
      <c r="A49" s="54" t="n">
        <v>46</v>
      </c>
      <c r="B49" s="55" t="inlineStr">
        <is>
          <t>EDIFICIO CAPITAL TOWERS PROPIEDAD HORIZONTAL</t>
        </is>
      </c>
      <c r="C49" s="55" t="n"/>
      <c r="D49" s="56" t="inlineStr">
        <is>
          <t>ADM</t>
        </is>
      </c>
      <c r="E49" s="57" t="n"/>
      <c r="F49" s="57" t="inlineStr">
        <is>
          <t>Bodegas</t>
        </is>
      </c>
      <c r="G49" s="57" t="n"/>
      <c r="H49" s="56" t="inlineStr">
        <is>
          <t>Fijo</t>
        </is>
      </c>
      <c r="I49" s="58" t="inlineStr">
        <is>
          <t>BODEGAS Y DEPOSITOS PISO 21 CRAFT BOGOTA</t>
        </is>
      </c>
      <c r="J49" s="58" t="inlineStr">
        <is>
          <t>Transversal</t>
        </is>
      </c>
      <c r="K49" s="58" t="inlineStr">
        <is>
          <t>FE9757</t>
        </is>
      </c>
      <c r="L49" s="59" t="n"/>
      <c r="M49" s="59" t="n"/>
      <c r="N49" s="59" t="n"/>
      <c r="O49" s="60" t="n">
        <v>1281274</v>
      </c>
      <c r="P49" s="61" t="n">
        <v>0</v>
      </c>
      <c r="Q49" s="61" t="n">
        <v>0</v>
      </c>
      <c r="R49" s="62" t="n">
        <v>1281274</v>
      </c>
      <c r="S49" s="56" t="inlineStr">
        <is>
          <t>enero 2025</t>
        </is>
      </c>
      <c r="T49" s="55" t="inlineStr">
        <is>
          <t>641</t>
        </is>
      </c>
      <c r="U49" s="63" t="n"/>
      <c r="V49" s="63" t="n"/>
      <c r="W49" s="55" t="n"/>
      <c r="X49" s="55" t="n"/>
      <c r="Y49" s="55" t="n"/>
      <c r="Z49" s="63" t="n"/>
    </row>
    <row r="50" ht="15.75" customHeight="1">
      <c r="A50" s="54" t="n">
        <v>47</v>
      </c>
      <c r="B50" s="55" t="inlineStr">
        <is>
          <t>EDIFICIO CAPITAL TOWERS PROPIEDAD HORIZONTAL</t>
        </is>
      </c>
      <c r="C50" s="55" t="n"/>
      <c r="D50" s="56" t="inlineStr">
        <is>
          <t>ADM</t>
        </is>
      </c>
      <c r="E50" s="57" t="n"/>
      <c r="F50" s="57" t="inlineStr">
        <is>
          <t>Administración</t>
        </is>
      </c>
      <c r="G50" s="57" t="n"/>
      <c r="H50" s="56" t="inlineStr">
        <is>
          <t>Fijo</t>
        </is>
      </c>
      <c r="I50" s="58" t="inlineStr">
        <is>
          <t>CUOTA DE ADMINISTRACION TORRE 1 CRAFT BOGOTA</t>
        </is>
      </c>
      <c r="J50" s="58" t="inlineStr">
        <is>
          <t>Calle 100</t>
        </is>
      </c>
      <c r="K50" s="58" t="inlineStr">
        <is>
          <t>FE9730</t>
        </is>
      </c>
      <c r="L50" s="59" t="n"/>
      <c r="M50" s="59" t="n"/>
      <c r="N50" s="59" t="n"/>
      <c r="O50" s="60" t="n">
        <v>5000363</v>
      </c>
      <c r="P50" s="61" t="n">
        <v>0</v>
      </c>
      <c r="Q50" s="61" t="n">
        <v>0</v>
      </c>
      <c r="R50" s="62" t="n">
        <v>5000363</v>
      </c>
      <c r="S50" s="56" t="inlineStr">
        <is>
          <t>enero 2025</t>
        </is>
      </c>
      <c r="T50" s="55" t="inlineStr">
        <is>
          <t>642</t>
        </is>
      </c>
      <c r="U50" s="63" t="n"/>
      <c r="V50" s="63" t="n"/>
      <c r="W50" s="55" t="n"/>
      <c r="X50" s="55" t="n"/>
      <c r="Y50" s="55" t="n"/>
      <c r="Z50" s="63" t="n"/>
    </row>
    <row r="51" ht="15.75" customHeight="1">
      <c r="A51" s="54" t="n">
        <v>48</v>
      </c>
      <c r="B51" s="55" t="inlineStr">
        <is>
          <t>JCO INVERSIONES S.A.S</t>
        </is>
      </c>
      <c r="C51" s="55" t="n"/>
      <c r="D51" s="56" t="inlineStr">
        <is>
          <t>ADM</t>
        </is>
      </c>
      <c r="E51" s="57" t="n"/>
      <c r="F51" s="57" t="inlineStr">
        <is>
          <t>Parqueaderos</t>
        </is>
      </c>
      <c r="G51" s="57" t="n"/>
      <c r="H51" s="56" t="inlineStr">
        <is>
          <t>Fijo</t>
        </is>
      </c>
      <c r="I51" s="58" t="inlineStr">
        <is>
          <t>CANON ARRENDAMIENTO 2 ESPACIOS DE PARQUEADERO CRAFT BOGOTA</t>
        </is>
      </c>
      <c r="J51" s="58" t="inlineStr">
        <is>
          <t>Calle 100</t>
        </is>
      </c>
      <c r="K51" s="58" t="inlineStr">
        <is>
          <t>691512</t>
        </is>
      </c>
      <c r="L51" s="59" t="n"/>
      <c r="M51" s="59" t="n"/>
      <c r="N51" s="59" t="n"/>
      <c r="O51" s="60" t="n">
        <v>711870</v>
      </c>
      <c r="P51" s="61" t="n">
        <v>0</v>
      </c>
      <c r="Q51" s="61" t="n">
        <v>0</v>
      </c>
      <c r="R51" s="62" t="n">
        <v>711870</v>
      </c>
      <c r="S51" s="56" t="inlineStr">
        <is>
          <t>enero 2025</t>
        </is>
      </c>
      <c r="T51" s="55" t="inlineStr">
        <is>
          <t>644</t>
        </is>
      </c>
      <c r="U51" s="63" t="n"/>
      <c r="V51" s="63" t="n"/>
      <c r="W51" s="55" t="n"/>
      <c r="X51" s="55" t="n"/>
      <c r="Y51" s="55" t="n"/>
      <c r="Z51" s="63" t="n"/>
    </row>
    <row r="52" ht="15.75" customHeight="1">
      <c r="A52" s="54" t="n">
        <v>49</v>
      </c>
      <c r="B52" s="55" t="inlineStr">
        <is>
          <t>IFX NETWORKS COLOMBIA S.A.S.</t>
        </is>
      </c>
      <c r="C52" s="55" t="n"/>
      <c r="D52" s="56" t="inlineStr">
        <is>
          <t>IT</t>
        </is>
      </c>
      <c r="E52" s="57" t="n"/>
      <c r="F52" s="57" t="inlineStr">
        <is>
          <t>Internet oficinas</t>
        </is>
      </c>
      <c r="G52" s="57" t="n"/>
      <c r="H52" s="56" t="inlineStr">
        <is>
          <t>Fijo</t>
        </is>
      </c>
      <c r="I52" s="58" t="inlineStr">
        <is>
          <t>SERVICO DE INTERNET EN TODAS LAS SUCURSALES</t>
        </is>
      </c>
      <c r="J52" s="58" t="inlineStr">
        <is>
          <t>Transversal</t>
        </is>
      </c>
      <c r="K52" s="58" t="inlineStr">
        <is>
          <t>IFXC450271</t>
        </is>
      </c>
      <c r="L52" s="59" t="n"/>
      <c r="M52" s="59" t="n"/>
      <c r="N52" s="59" t="n"/>
      <c r="O52" s="60" t="n">
        <v>11576939</v>
      </c>
      <c r="P52" s="61" t="n">
        <v>0</v>
      </c>
      <c r="Q52" s="61" t="n">
        <v>0</v>
      </c>
      <c r="R52" s="62" t="n">
        <v>11576939</v>
      </c>
      <c r="S52" s="56" t="inlineStr">
        <is>
          <t>enero 2025</t>
        </is>
      </c>
      <c r="T52" s="55" t="inlineStr">
        <is>
          <t>916</t>
        </is>
      </c>
      <c r="U52" s="63" t="n"/>
      <c r="V52" s="63" t="n"/>
      <c r="W52" s="55" t="n"/>
      <c r="X52" s="55" t="n"/>
      <c r="Y52" s="55" t="n"/>
      <c r="Z52" s="63" t="n"/>
    </row>
    <row r="53" ht="15.75" customHeight="1">
      <c r="A53" s="54" t="n">
        <v>50</v>
      </c>
      <c r="B53" s="55" t="inlineStr">
        <is>
          <t>IFX NETWORKS COLOMBIA S.A.S.</t>
        </is>
      </c>
      <c r="C53" s="55" t="n"/>
      <c r="D53" s="56" t="inlineStr">
        <is>
          <t>IT</t>
        </is>
      </c>
      <c r="E53" s="57" t="n"/>
      <c r="F53" s="57" t="inlineStr">
        <is>
          <t>Internet oficinas</t>
        </is>
      </c>
      <c r="G53" s="57" t="n"/>
      <c r="H53" s="56" t="inlineStr">
        <is>
          <t>Fijo</t>
        </is>
      </c>
      <c r="I53" s="58" t="inlineStr">
        <is>
          <t>SERVICIO SD WAN</t>
        </is>
      </c>
      <c r="J53" s="58" t="inlineStr">
        <is>
          <t>Transversal</t>
        </is>
      </c>
      <c r="K53" s="58" t="inlineStr">
        <is>
          <t>IFXC450269</t>
        </is>
      </c>
      <c r="L53" s="59" t="n"/>
      <c r="M53" s="59" t="n"/>
      <c r="N53" s="59" t="n"/>
      <c r="O53" s="60" t="n">
        <v>3488538</v>
      </c>
      <c r="P53" s="61" t="n">
        <v>0</v>
      </c>
      <c r="Q53" s="61" t="n">
        <v>0</v>
      </c>
      <c r="R53" s="62" t="n">
        <v>3488538</v>
      </c>
      <c r="S53" s="56" t="inlineStr">
        <is>
          <t>enero 2025</t>
        </is>
      </c>
      <c r="T53" s="55" t="inlineStr">
        <is>
          <t>919</t>
        </is>
      </c>
      <c r="U53" s="63" t="n"/>
      <c r="V53" s="63" t="n"/>
      <c r="W53" s="55" t="n"/>
      <c r="X53" s="55" t="n"/>
      <c r="Y53" s="55" t="n"/>
      <c r="Z53" s="63" t="n"/>
    </row>
    <row r="54">
      <c r="A54" s="64" t="n">
        <v>51</v>
      </c>
      <c r="B54" s="55" t="inlineStr">
        <is>
          <t>LI STORAGE SAS</t>
        </is>
      </c>
      <c r="C54" s="55" t="n"/>
      <c r="D54" s="65" t="inlineStr">
        <is>
          <t>ADM</t>
        </is>
      </c>
      <c r="E54" s="65" t="n"/>
      <c r="F54" s="65" t="inlineStr">
        <is>
          <t>Bodegas</t>
        </is>
      </c>
      <c r="G54" s="65" t="n"/>
      <c r="H54" s="65" t="inlineStr">
        <is>
          <t>Fijo</t>
        </is>
      </c>
      <c r="I54" s="55" t="inlineStr">
        <is>
          <t>ALMACENAMIENTO EN BODEGA  CRAFT BOGOTA</t>
        </is>
      </c>
      <c r="J54" s="55" t="inlineStr">
        <is>
          <t>Transversal</t>
        </is>
      </c>
      <c r="K54" s="55" t="inlineStr">
        <is>
          <t>FE5183</t>
        </is>
      </c>
      <c r="L54" s="63" t="n"/>
      <c r="M54" s="63" t="n"/>
      <c r="N54" s="63" t="n"/>
      <c r="O54" s="66" t="n">
        <v>654500</v>
      </c>
      <c r="P54" s="55" t="n">
        <v>0</v>
      </c>
      <c r="Q54" s="55" t="n">
        <v>0</v>
      </c>
      <c r="R54" s="65" t="n">
        <v>654500</v>
      </c>
      <c r="S54" s="65" t="inlineStr">
        <is>
          <t>enero 2025</t>
        </is>
      </c>
      <c r="T54" s="55" t="inlineStr">
        <is>
          <t>645</t>
        </is>
      </c>
      <c r="U54" s="63" t="n"/>
      <c r="V54" s="63" t="n"/>
      <c r="W54" s="55" t="n"/>
      <c r="X54" s="55" t="n"/>
      <c r="Y54" s="55" t="n"/>
      <c r="Z54" s="63" t="n"/>
    </row>
    <row r="55">
      <c r="A55" s="64" t="n">
        <v>52</v>
      </c>
      <c r="B55" s="55" t="inlineStr">
        <is>
          <t>ASTURIAS SOLUCIONES DE INGENIERIA BUCEO COMERCIAL Y DRAGADO SAS</t>
        </is>
      </c>
      <c r="C55" s="55" t="n"/>
      <c r="D55" s="65" t="inlineStr">
        <is>
          <t>ADM</t>
        </is>
      </c>
      <c r="E55" s="65" t="n"/>
      <c r="F55" s="65" t="inlineStr">
        <is>
          <t>Administración</t>
        </is>
      </c>
      <c r="G55" s="65" t="n"/>
      <c r="H55" s="65" t="inlineStr">
        <is>
          <t>Fijo</t>
        </is>
      </c>
      <c r="I55" s="55" t="inlineStr">
        <is>
          <t>CUOTA ADMINISTRCION OF 501 CRAFT BUENAVENTURA</t>
        </is>
      </c>
      <c r="J55" s="55" t="inlineStr">
        <is>
          <t>Buenaventura</t>
        </is>
      </c>
      <c r="K55" s="55" t="inlineStr">
        <is>
          <t>FVEL2687</t>
        </is>
      </c>
      <c r="L55" s="63" t="n"/>
      <c r="M55" s="63" t="n"/>
      <c r="N55" s="63" t="n"/>
      <c r="O55" s="66" t="n">
        <v>617412</v>
      </c>
      <c r="P55" s="55" t="n">
        <v>0</v>
      </c>
      <c r="Q55" s="55" t="n">
        <v>0</v>
      </c>
      <c r="R55" s="65" t="n">
        <v>617412</v>
      </c>
      <c r="S55" s="65" t="inlineStr">
        <is>
          <t>enero 2025</t>
        </is>
      </c>
      <c r="T55" s="55" t="inlineStr">
        <is>
          <t>3</t>
        </is>
      </c>
      <c r="U55" s="63" t="n"/>
      <c r="V55" s="63" t="n"/>
      <c r="W55" s="55" t="n"/>
      <c r="X55" s="55" t="n"/>
      <c r="Y55" s="55" t="n"/>
      <c r="Z55" s="63" t="n"/>
    </row>
    <row r="56">
      <c r="A56" s="64" t="n">
        <v>53</v>
      </c>
      <c r="B56" s="55" t="inlineStr">
        <is>
          <t>ASTURIAS SOLUCIONES DE INGENIERIA BUCEO COMERCIAL Y DRAGADO SAS</t>
        </is>
      </c>
      <c r="C56" s="55" t="n"/>
      <c r="D56" s="65" t="inlineStr">
        <is>
          <t>ADM</t>
        </is>
      </c>
      <c r="E56" s="65" t="n"/>
      <c r="F56" s="65" t="inlineStr">
        <is>
          <t>Arriendos</t>
        </is>
      </c>
      <c r="G56" s="65" t="n"/>
      <c r="H56" s="65" t="inlineStr">
        <is>
          <t>Fijo</t>
        </is>
      </c>
      <c r="I56" s="55" t="inlineStr">
        <is>
          <t>ALQUILER OFICINA 501 SUC CRAFT BUENAVENTURA</t>
        </is>
      </c>
      <c r="J56" s="55" t="inlineStr">
        <is>
          <t>Buenaventura</t>
        </is>
      </c>
      <c r="K56" s="55" t="inlineStr">
        <is>
          <t>FVEL2686</t>
        </is>
      </c>
      <c r="L56" s="63" t="n"/>
      <c r="M56" s="63" t="n"/>
      <c r="N56" s="63" t="n"/>
      <c r="O56" s="66" t="n">
        <v>6390966</v>
      </c>
      <c r="P56" s="55" t="n">
        <v>0</v>
      </c>
      <c r="Q56" s="55" t="n">
        <v>0</v>
      </c>
      <c r="R56" s="65" t="n">
        <v>6390966</v>
      </c>
      <c r="S56" s="65" t="inlineStr">
        <is>
          <t>enero 2025</t>
        </is>
      </c>
      <c r="T56" s="55" t="inlineStr">
        <is>
          <t>4</t>
        </is>
      </c>
      <c r="U56" s="63" t="n"/>
      <c r="V56" s="63" t="n"/>
      <c r="W56" s="55" t="n"/>
      <c r="X56" s="55" t="n"/>
      <c r="Y56" s="55" t="n"/>
      <c r="Z56" s="63" t="n"/>
    </row>
    <row r="57">
      <c r="A57" s="64" t="n">
        <v>54</v>
      </c>
      <c r="B57" s="55" t="inlineStr">
        <is>
          <t>PALAN SOCIEDAD POR ACCIONES SIMPLIFICADA</t>
        </is>
      </c>
      <c r="C57" s="55" t="n"/>
      <c r="D57" s="65" t="inlineStr">
        <is>
          <t>ADM</t>
        </is>
      </c>
      <c r="E57" s="65" t="n"/>
      <c r="F57" s="65" t="inlineStr">
        <is>
          <t>Arriendos</t>
        </is>
      </c>
      <c r="G57" s="65" t="n"/>
      <c r="H57" s="65" t="inlineStr">
        <is>
          <t>Fijo</t>
        </is>
      </c>
      <c r="I57" s="55" t="inlineStr">
        <is>
          <t>CANON ARRENDAMIENTO OF 802 SUC CRAFT BOGOTA</t>
        </is>
      </c>
      <c r="J57" s="55" t="inlineStr">
        <is>
          <t>Calle 100</t>
        </is>
      </c>
      <c r="K57" s="55" t="inlineStr">
        <is>
          <t>FE272</t>
        </is>
      </c>
      <c r="L57" s="63" t="n"/>
      <c r="M57" s="63" t="n"/>
      <c r="N57" s="63" t="n"/>
      <c r="O57" s="66" t="n">
        <v>28741955</v>
      </c>
      <c r="P57" s="55" t="n">
        <v>0</v>
      </c>
      <c r="Q57" s="55" t="n">
        <v>0</v>
      </c>
      <c r="R57" s="65" t="n">
        <v>28741955</v>
      </c>
      <c r="S57" s="65" t="inlineStr">
        <is>
          <t>enero 2025</t>
        </is>
      </c>
      <c r="T57" s="55" t="inlineStr">
        <is>
          <t>651</t>
        </is>
      </c>
      <c r="U57" s="63" t="n"/>
      <c r="V57" s="63" t="n"/>
      <c r="W57" s="55" t="n"/>
      <c r="X57" s="55" t="n"/>
      <c r="Y57" s="55" t="n"/>
      <c r="Z57" s="63" t="n"/>
    </row>
    <row r="58">
      <c r="A58" s="64" t="n">
        <v>55</v>
      </c>
      <c r="B58" s="55" t="inlineStr">
        <is>
          <t>CONTRATOS Y FIANZAS DE ARRENDAMIENTO S.A.S.</t>
        </is>
      </c>
      <c r="C58" s="55" t="n"/>
      <c r="D58" s="65" t="inlineStr">
        <is>
          <t>ADM</t>
        </is>
      </c>
      <c r="E58" s="65" t="n"/>
      <c r="F58" s="65" t="inlineStr">
        <is>
          <t>Arriendos</t>
        </is>
      </c>
      <c r="G58" s="65" t="n"/>
      <c r="H58" s="65" t="inlineStr">
        <is>
          <t>Fijo</t>
        </is>
      </c>
      <c r="I58" s="55" t="inlineStr">
        <is>
          <t>CANON DE ARRENDAMIENTO CRAFT MEDELLIN</t>
        </is>
      </c>
      <c r="J58" s="55" t="inlineStr">
        <is>
          <t>Medellín</t>
        </is>
      </c>
      <c r="K58" s="55" t="inlineStr">
        <is>
          <t>FE578658</t>
        </is>
      </c>
      <c r="L58" s="63" t="n"/>
      <c r="M58" s="63" t="n"/>
      <c r="N58" s="63" t="n"/>
      <c r="O58" s="66" t="n">
        <v>6682717</v>
      </c>
      <c r="P58" s="55" t="n">
        <v>0</v>
      </c>
      <c r="Q58" s="55" t="n">
        <v>0</v>
      </c>
      <c r="R58" s="65" t="n">
        <v>6682717</v>
      </c>
      <c r="S58" s="65" t="inlineStr">
        <is>
          <t>enero 2025</t>
        </is>
      </c>
      <c r="T58" s="55" t="inlineStr">
        <is>
          <t>14</t>
        </is>
      </c>
      <c r="U58" s="63" t="n"/>
      <c r="V58" s="63" t="n"/>
      <c r="W58" s="55" t="n"/>
      <c r="X58" s="55" t="n"/>
      <c r="Y58" s="55" t="n"/>
      <c r="Z58" s="63" t="n"/>
    </row>
    <row r="59">
      <c r="A59" s="64" t="n">
        <v>56</v>
      </c>
      <c r="B59" s="55" t="inlineStr">
        <is>
          <t>SUMAR INVERSIONES Y PROYECTOS S.A.S.</t>
        </is>
      </c>
      <c r="C59" s="55" t="n"/>
      <c r="D59" s="65" t="inlineStr">
        <is>
          <t>ADM</t>
        </is>
      </c>
      <c r="E59" s="65" t="n"/>
      <c r="F59" s="65" t="inlineStr">
        <is>
          <t>Arriendos</t>
        </is>
      </c>
      <c r="G59" s="65" t="n"/>
      <c r="H59" s="65" t="inlineStr">
        <is>
          <t>Fijo</t>
        </is>
      </c>
      <c r="I59" s="55" t="inlineStr">
        <is>
          <t>CANON DE ARRENDAMIENTO Y ADMON CRAFT CALI</t>
        </is>
      </c>
      <c r="J59" s="55" t="inlineStr">
        <is>
          <t>Cali</t>
        </is>
      </c>
      <c r="K59" s="55" t="inlineStr">
        <is>
          <t>FESU252</t>
        </is>
      </c>
      <c r="L59" s="63" t="n"/>
      <c r="M59" s="63" t="n"/>
      <c r="N59" s="63" t="n"/>
      <c r="O59" s="66" t="n">
        <v>5310474</v>
      </c>
      <c r="P59" s="55" t="n">
        <v>0</v>
      </c>
      <c r="Q59" s="55" t="n">
        <v>0</v>
      </c>
      <c r="R59" s="65" t="n">
        <v>5310474</v>
      </c>
      <c r="S59" s="65" t="inlineStr">
        <is>
          <t>enero 2025</t>
        </is>
      </c>
      <c r="T59" s="55" t="inlineStr">
        <is>
          <t>1</t>
        </is>
      </c>
      <c r="U59" s="63" t="n"/>
      <c r="V59" s="63" t="n"/>
      <c r="W59" s="55" t="n"/>
      <c r="X59" s="55" t="n"/>
      <c r="Y59" s="55" t="n"/>
      <c r="Z59" s="63" t="n"/>
    </row>
    <row r="60">
      <c r="A60" s="64" t="n">
        <v>57</v>
      </c>
      <c r="B60" s="55" t="inlineStr">
        <is>
          <t>COMPAÑIA PAPELERA NACIONAL S.A.S</t>
        </is>
      </c>
      <c r="C60" s="55" t="n"/>
      <c r="D60" s="65" t="inlineStr">
        <is>
          <t>ADM</t>
        </is>
      </c>
      <c r="E60" s="65" t="n"/>
      <c r="F60" s="65" t="inlineStr">
        <is>
          <t>Material Copa/Cozinha</t>
        </is>
      </c>
      <c r="G60" s="65" t="n"/>
      <c r="H60" s="65" t="inlineStr">
        <is>
          <t>Variable</t>
        </is>
      </c>
      <c r="I60" s="55" t="inlineStr">
        <is>
          <t xml:space="preserve">PEDIDO ASEO Y CAFETERIA CRAFT CALLE 100 </t>
        </is>
      </c>
      <c r="J60" s="55" t="inlineStr">
        <is>
          <t>Calle 100</t>
        </is>
      </c>
      <c r="K60" s="55" t="inlineStr">
        <is>
          <t>CPFP195169</t>
        </is>
      </c>
      <c r="L60" s="63" t="n"/>
      <c r="M60" s="63" t="n"/>
      <c r="N60" s="63" t="n"/>
      <c r="O60" s="66" t="n">
        <v>1688289</v>
      </c>
      <c r="P60" s="55" t="n">
        <v>0</v>
      </c>
      <c r="Q60" s="55" t="n">
        <v>0</v>
      </c>
      <c r="R60" s="65" t="n">
        <v>1688289</v>
      </c>
      <c r="S60" s="65" t="inlineStr">
        <is>
          <t>enero 2025</t>
        </is>
      </c>
      <c r="T60" s="55" t="inlineStr">
        <is>
          <t>924</t>
        </is>
      </c>
      <c r="U60" s="63" t="n"/>
      <c r="V60" s="63" t="n"/>
      <c r="W60" s="55" t="n"/>
      <c r="X60" s="55" t="n"/>
      <c r="Y60" s="55" t="n"/>
      <c r="Z60" s="63" t="n"/>
    </row>
    <row r="61">
      <c r="A61" s="64" t="n">
        <v>58</v>
      </c>
      <c r="B61" s="55" t="inlineStr">
        <is>
          <t>COMPAÑIA PAPELERA NACIONAL S.A.S</t>
        </is>
      </c>
      <c r="C61" s="55" t="n"/>
      <c r="D61" s="65" t="inlineStr">
        <is>
          <t>ADM</t>
        </is>
      </c>
      <c r="E61" s="65" t="n"/>
      <c r="F61" s="65" t="inlineStr">
        <is>
          <t>Material Copa/Cozinha</t>
        </is>
      </c>
      <c r="G61" s="65" t="n"/>
      <c r="H61" s="65" t="inlineStr">
        <is>
          <t>Variable</t>
        </is>
      </c>
      <c r="I61" s="55" t="inlineStr">
        <is>
          <t xml:space="preserve">PEDIDO ASEO Y CAFETERIA CRAFT CALLE 100 </t>
        </is>
      </c>
      <c r="J61" s="55" t="inlineStr">
        <is>
          <t>Calle 100</t>
        </is>
      </c>
      <c r="K61" s="55" t="inlineStr">
        <is>
          <t>CPFP195171</t>
        </is>
      </c>
      <c r="L61" s="63" t="n"/>
      <c r="M61" s="63" t="n"/>
      <c r="N61" s="63" t="n"/>
      <c r="O61" s="66" t="n">
        <v>139243</v>
      </c>
      <c r="P61" s="55" t="n">
        <v>0</v>
      </c>
      <c r="Q61" s="55" t="n">
        <v>0</v>
      </c>
      <c r="R61" s="65" t="n">
        <v>139243</v>
      </c>
      <c r="S61" s="65" t="inlineStr">
        <is>
          <t>enero 2025</t>
        </is>
      </c>
      <c r="T61" s="55" t="inlineStr">
        <is>
          <t>925</t>
        </is>
      </c>
      <c r="U61" s="63" t="n"/>
      <c r="V61" s="63" t="n"/>
      <c r="W61" s="55" t="n"/>
      <c r="X61" s="55" t="n"/>
      <c r="Y61" s="55" t="n"/>
      <c r="Z61" s="63" t="n"/>
    </row>
    <row r="62">
      <c r="A62" s="64" t="n">
        <v>59</v>
      </c>
      <c r="B62" s="55" t="inlineStr">
        <is>
          <t>COMPAÑIA PAPELERA NACIONAL S.A.S</t>
        </is>
      </c>
      <c r="C62" s="55" t="n"/>
      <c r="D62" s="65" t="inlineStr">
        <is>
          <t>ADM</t>
        </is>
      </c>
      <c r="E62" s="65" t="n"/>
      <c r="F62" s="65" t="inlineStr">
        <is>
          <t>Material Copa/Cozinha</t>
        </is>
      </c>
      <c r="G62" s="65" t="n"/>
      <c r="H62" s="65" t="inlineStr">
        <is>
          <t>Variable</t>
        </is>
      </c>
      <c r="I62" s="55" t="inlineStr">
        <is>
          <t>PEDIDO ASEO Y CAFETERIA CRAFT CARTAGENA</t>
        </is>
      </c>
      <c r="J62" s="55" t="inlineStr">
        <is>
          <t>Cartagena</t>
        </is>
      </c>
      <c r="K62" s="55" t="inlineStr">
        <is>
          <t>CPFP195243</t>
        </is>
      </c>
      <c r="L62" s="63" t="n"/>
      <c r="M62" s="63" t="n"/>
      <c r="N62" s="63" t="n"/>
      <c r="O62" s="66" t="n">
        <v>649130</v>
      </c>
      <c r="P62" s="55" t="n">
        <v>0</v>
      </c>
      <c r="Q62" s="55" t="n">
        <v>0</v>
      </c>
      <c r="R62" s="65" t="n">
        <v>649130</v>
      </c>
      <c r="S62" s="65" t="inlineStr">
        <is>
          <t>enero 2025</t>
        </is>
      </c>
      <c r="T62" s="55" t="inlineStr">
        <is>
          <t>6</t>
        </is>
      </c>
      <c r="U62" s="63" t="n"/>
      <c r="V62" s="63" t="n"/>
      <c r="W62" s="55" t="n"/>
      <c r="X62" s="55" t="n"/>
      <c r="Y62" s="55" t="n"/>
      <c r="Z62" s="63" t="n"/>
    </row>
    <row r="63">
      <c r="A63" s="64" t="n">
        <v>60</v>
      </c>
      <c r="B63" s="55" t="inlineStr">
        <is>
          <t>COMPAÑIA PAPELERA NACIONAL S.A.S</t>
        </is>
      </c>
      <c r="C63" s="55" t="n"/>
      <c r="D63" s="65" t="inlineStr">
        <is>
          <t>ADM</t>
        </is>
      </c>
      <c r="E63" s="65" t="n"/>
      <c r="F63" s="65" t="inlineStr">
        <is>
          <t>Material Copa/Cozinha</t>
        </is>
      </c>
      <c r="G63" s="65" t="n"/>
      <c r="H63" s="65" t="inlineStr">
        <is>
          <t>Variable</t>
        </is>
      </c>
      <c r="I63" s="55" t="inlineStr">
        <is>
          <t>PEDIDO ASEO CRAFT AEROPUERTO</t>
        </is>
      </c>
      <c r="J63" s="55" t="inlineStr">
        <is>
          <t>Aeropuerto</t>
        </is>
      </c>
      <c r="K63" s="55" t="inlineStr">
        <is>
          <t>CPFP195246</t>
        </is>
      </c>
      <c r="L63" s="63" t="n"/>
      <c r="M63" s="63" t="n"/>
      <c r="N63" s="63" t="n"/>
      <c r="O63" s="66" t="n">
        <v>137924</v>
      </c>
      <c r="P63" s="55" t="n">
        <v>0</v>
      </c>
      <c r="Q63" s="55" t="n">
        <v>0</v>
      </c>
      <c r="R63" s="65" t="n">
        <v>137924</v>
      </c>
      <c r="S63" s="65" t="inlineStr">
        <is>
          <t>enero 2025</t>
        </is>
      </c>
      <c r="T63" s="55" t="inlineStr">
        <is>
          <t>1</t>
        </is>
      </c>
      <c r="U63" s="63" t="n"/>
      <c r="V63" s="63" t="n"/>
      <c r="W63" s="55" t="n"/>
      <c r="X63" s="55" t="n"/>
      <c r="Y63" s="55" t="n"/>
      <c r="Z63" s="63" t="n"/>
    </row>
    <row r="64">
      <c r="A64" s="64" t="n">
        <v>61</v>
      </c>
      <c r="B64" s="55" t="inlineStr">
        <is>
          <t>COMPAÑIA PAPELERA NACIONAL S.A.S</t>
        </is>
      </c>
      <c r="C64" s="55" t="n"/>
      <c r="D64" s="65" t="inlineStr">
        <is>
          <t>ADM</t>
        </is>
      </c>
      <c r="E64" s="65" t="n"/>
      <c r="F64" s="65" t="inlineStr">
        <is>
          <t>Material Copa/Cozinha</t>
        </is>
      </c>
      <c r="G64" s="65" t="n"/>
      <c r="H64" s="65" t="inlineStr">
        <is>
          <t>Variable</t>
        </is>
      </c>
      <c r="I64" s="55" t="inlineStr">
        <is>
          <t>PEDIDO CAFETERIA CRAFT AEROPUERTO</t>
        </is>
      </c>
      <c r="J64" s="55" t="inlineStr">
        <is>
          <t>Aeropuerto</t>
        </is>
      </c>
      <c r="K64" s="55" t="inlineStr">
        <is>
          <t>CPFP195248</t>
        </is>
      </c>
      <c r="L64" s="63" t="n"/>
      <c r="M64" s="63" t="n"/>
      <c r="N64" s="63" t="n"/>
      <c r="O64" s="66" t="n">
        <v>465322</v>
      </c>
      <c r="P64" s="55" t="n">
        <v>0</v>
      </c>
      <c r="Q64" s="55" t="n">
        <v>0</v>
      </c>
      <c r="R64" s="65" t="n">
        <v>465322</v>
      </c>
      <c r="S64" s="65" t="inlineStr">
        <is>
          <t>enero 2025</t>
        </is>
      </c>
      <c r="T64" s="55" t="inlineStr">
        <is>
          <t>2</t>
        </is>
      </c>
      <c r="U64" s="63" t="n"/>
      <c r="V64" s="63" t="n"/>
      <c r="W64" s="55" t="n"/>
      <c r="X64" s="55" t="n"/>
      <c r="Y64" s="55" t="n"/>
      <c r="Z64" s="63" t="n"/>
    </row>
    <row r="65">
      <c r="A65" s="64" t="n">
        <v>62</v>
      </c>
      <c r="B65" s="55" t="inlineStr">
        <is>
          <t>EDIFICIO TORRES DEL ATLANTICO</t>
        </is>
      </c>
      <c r="C65" s="55" t="n"/>
      <c r="D65" s="65" t="inlineStr">
        <is>
          <t>ADM</t>
        </is>
      </c>
      <c r="E65" s="65" t="n"/>
      <c r="F65" s="65" t="inlineStr">
        <is>
          <t>Administración</t>
        </is>
      </c>
      <c r="G65" s="65" t="n"/>
      <c r="H65" s="65" t="inlineStr">
        <is>
          <t>Fijo</t>
        </is>
      </c>
      <c r="I65" s="55" t="inlineStr">
        <is>
          <t>CUOTA DE ADMINISTRACION CRAFT BARRANQUILLA</t>
        </is>
      </c>
      <c r="J65" s="55" t="inlineStr">
        <is>
          <t>Barranquilla</t>
        </is>
      </c>
      <c r="K65" s="55" t="inlineStr">
        <is>
          <t>TDA7390</t>
        </is>
      </c>
      <c r="L65" s="63" t="n"/>
      <c r="M65" s="63" t="n"/>
      <c r="N65" s="63" t="n"/>
      <c r="O65" s="66" t="n">
        <v>936661</v>
      </c>
      <c r="P65" s="55" t="n">
        <v>0</v>
      </c>
      <c r="Q65" s="55" t="n">
        <v>0</v>
      </c>
      <c r="R65" s="65" t="n">
        <v>936661</v>
      </c>
      <c r="S65" s="65" t="inlineStr">
        <is>
          <t>enero 2025</t>
        </is>
      </c>
      <c r="T65" s="55" t="inlineStr">
        <is>
          <t>1</t>
        </is>
      </c>
      <c r="U65" s="63" t="n"/>
      <c r="V65" s="63" t="n"/>
      <c r="W65" s="55" t="n"/>
      <c r="X65" s="55" t="n"/>
      <c r="Y65" s="55" t="n"/>
      <c r="Z65" s="63" t="n"/>
    </row>
    <row r="66">
      <c r="A66" s="64" t="n">
        <v>63</v>
      </c>
      <c r="B66" s="55" t="inlineStr">
        <is>
          <t>FEDERACION COLOMBIANA DE AGENTES LOGISTICOS EN COMERCIO INTERNACIONAL</t>
        </is>
      </c>
      <c r="C66" s="55" t="n"/>
      <c r="D66" s="65" t="inlineStr">
        <is>
          <t>ADM</t>
        </is>
      </c>
      <c r="E66" s="65" t="n"/>
      <c r="F66" s="65" t="inlineStr">
        <is>
          <t>FITAC Cuota de sostenimiento</t>
        </is>
      </c>
      <c r="G66" s="65" t="n"/>
      <c r="H66" s="65" t="inlineStr">
        <is>
          <t>Fijo</t>
        </is>
      </c>
      <c r="I66" s="55" t="inlineStr">
        <is>
          <t>CUOTA SOSTENIMIENTO ANUAL FITAC BOGOTA</t>
        </is>
      </c>
      <c r="J66" s="55" t="inlineStr">
        <is>
          <t>Aeropuerto</t>
        </is>
      </c>
      <c r="K66" s="55" t="inlineStr">
        <is>
          <t>45573</t>
        </is>
      </c>
      <c r="L66" s="63" t="n"/>
      <c r="M66" s="63" t="n"/>
      <c r="N66" s="63" t="n"/>
      <c r="O66" s="66" t="n">
        <v>4762800</v>
      </c>
      <c r="P66" s="55" t="n">
        <v>0</v>
      </c>
      <c r="Q66" s="55" t="n">
        <v>0</v>
      </c>
      <c r="R66" s="65" t="n">
        <v>4762800</v>
      </c>
      <c r="S66" s="65" t="inlineStr">
        <is>
          <t>enero 2025</t>
        </is>
      </c>
      <c r="T66" s="55" t="inlineStr">
        <is>
          <t>947</t>
        </is>
      </c>
      <c r="U66" s="63" t="n"/>
      <c r="V66" s="63" t="n"/>
      <c r="W66" s="55" t="n"/>
      <c r="X66" s="55" t="n"/>
      <c r="Y66" s="55" t="n"/>
      <c r="Z66" s="63" t="n"/>
    </row>
    <row r="67">
      <c r="A67" s="64" t="n">
        <v>64</v>
      </c>
      <c r="B67" s="55" t="inlineStr">
        <is>
          <t>MARVAL S.A.S.</t>
        </is>
      </c>
      <c r="C67" s="55" t="n"/>
      <c r="D67" s="65" t="inlineStr">
        <is>
          <t>ADM</t>
        </is>
      </c>
      <c r="E67" s="65" t="n"/>
      <c r="F67" s="65" t="inlineStr">
        <is>
          <t>Arriendos</t>
        </is>
      </c>
      <c r="G67" s="65" t="n"/>
      <c r="H67" s="65" t="inlineStr">
        <is>
          <t>Fijo</t>
        </is>
      </c>
      <c r="I67" s="55" t="inlineStr">
        <is>
          <t>CANON DE ARRENDAMIENTO OF CRAFT BARRANQUILLA</t>
        </is>
      </c>
      <c r="J67" s="55" t="inlineStr">
        <is>
          <t>Barranquilla</t>
        </is>
      </c>
      <c r="K67" s="55" t="inlineStr">
        <is>
          <t>MAVF507</t>
        </is>
      </c>
      <c r="L67" s="63" t="n"/>
      <c r="M67" s="63" t="n"/>
      <c r="N67" s="63" t="n"/>
      <c r="O67" s="66" t="n">
        <v>3685223</v>
      </c>
      <c r="P67" s="55" t="n">
        <v>0</v>
      </c>
      <c r="Q67" s="55" t="n">
        <v>0</v>
      </c>
      <c r="R67" s="65" t="n">
        <v>3685223</v>
      </c>
      <c r="S67" s="65" t="inlineStr">
        <is>
          <t>enero 2025</t>
        </is>
      </c>
      <c r="T67" s="55" t="inlineStr">
        <is>
          <t>2</t>
        </is>
      </c>
      <c r="U67" s="63" t="n"/>
      <c r="V67" s="63" t="n"/>
      <c r="W67" s="55" t="n"/>
      <c r="X67" s="55" t="n"/>
      <c r="Y67" s="55" t="n"/>
      <c r="Z67" s="63" t="n"/>
    </row>
    <row r="68">
      <c r="A68" s="64" t="n">
        <v>65</v>
      </c>
      <c r="B68" s="55" t="inlineStr">
        <is>
          <t>CLARO S.A.</t>
        </is>
      </c>
      <c r="C68" s="55" t="n"/>
      <c r="D68" s="65" t="inlineStr">
        <is>
          <t>IT</t>
        </is>
      </c>
      <c r="E68" s="65" t="n"/>
      <c r="F68" s="65" t="inlineStr">
        <is>
          <t>Internet oficinas</t>
        </is>
      </c>
      <c r="G68" s="65" t="n"/>
      <c r="H68" s="65" t="inlineStr">
        <is>
          <t>Fijo</t>
        </is>
      </c>
      <c r="I68" s="55" t="inlineStr">
        <is>
          <t>INTERNET EN BUN Y CTG</t>
        </is>
      </c>
      <c r="J68" s="55" t="inlineStr">
        <is>
          <t>Puertos</t>
        </is>
      </c>
      <c r="K68" s="55" t="inlineStr">
        <is>
          <t>3292473979</t>
        </is>
      </c>
      <c r="L68" s="63" t="n"/>
      <c r="M68" s="63" t="n"/>
      <c r="N68" s="63" t="n"/>
      <c r="O68" s="66" t="n">
        <v>557916</v>
      </c>
      <c r="P68" s="55" t="n">
        <v>0</v>
      </c>
      <c r="Q68" s="55" t="n">
        <v>0</v>
      </c>
      <c r="R68" s="65" t="n">
        <v>557916</v>
      </c>
      <c r="S68" s="65" t="inlineStr">
        <is>
          <t>enero 2025</t>
        </is>
      </c>
      <c r="T68" s="55" t="inlineStr">
        <is>
          <t>7</t>
        </is>
      </c>
      <c r="U68" s="63" t="n"/>
      <c r="V68" s="63" t="n"/>
      <c r="W68" s="55" t="n"/>
      <c r="X68" s="55" t="n"/>
      <c r="Y68" s="55" t="n"/>
      <c r="Z68" s="63" t="n"/>
    </row>
    <row r="69">
      <c r="A69" s="64" t="n">
        <v>66</v>
      </c>
      <c r="B69" s="55" t="inlineStr">
        <is>
          <t>TRANS INTERNATIONAL COURIER S.A.S</t>
        </is>
      </c>
      <c r="C69" s="55" t="n"/>
      <c r="D69" s="65" t="inlineStr">
        <is>
          <t>ADM</t>
        </is>
      </c>
      <c r="E69" s="65" t="n"/>
      <c r="F69" s="65" t="inlineStr">
        <is>
          <t>Malote</t>
        </is>
      </c>
      <c r="G69" s="65" t="n"/>
      <c r="H69" s="65" t="inlineStr">
        <is>
          <t>Variable</t>
        </is>
      </c>
      <c r="I69" s="55" t="inlineStr">
        <is>
          <t>SERVICIO DE MENSAJERIA NACIONAL Y URBANA CRAFT COLOMBIA</t>
        </is>
      </c>
      <c r="J69" s="55" t="inlineStr">
        <is>
          <t>Transversal</t>
        </is>
      </c>
      <c r="K69" s="55" t="inlineStr">
        <is>
          <t>TIC11237</t>
        </is>
      </c>
      <c r="L69" s="63" t="n"/>
      <c r="M69" s="63" t="n"/>
      <c r="N69" s="63" t="n"/>
      <c r="O69" s="66" t="n">
        <v>1813404</v>
      </c>
      <c r="P69" s="55" t="n">
        <v>0</v>
      </c>
      <c r="Q69" s="55" t="n">
        <v>0</v>
      </c>
      <c r="R69" s="65" t="n">
        <v>1813404</v>
      </c>
      <c r="S69" s="65" t="inlineStr">
        <is>
          <t>enero 2025</t>
        </is>
      </c>
      <c r="T69" s="55" t="inlineStr">
        <is>
          <t>958</t>
        </is>
      </c>
      <c r="U69" s="63" t="n"/>
      <c r="V69" s="63" t="n"/>
      <c r="W69" s="55" t="n"/>
      <c r="X69" s="55" t="n"/>
      <c r="Y69" s="55" t="n"/>
      <c r="Z69" s="63" t="n"/>
    </row>
    <row r="70">
      <c r="A70" s="64" t="n">
        <v>67</v>
      </c>
      <c r="B70" s="55" t="inlineStr">
        <is>
          <t>COMPUASOCIADOS</t>
        </is>
      </c>
      <c r="C70" s="55" t="n"/>
      <c r="D70" s="65" t="inlineStr">
        <is>
          <t>IT</t>
        </is>
      </c>
      <c r="E70" s="65" t="n"/>
      <c r="F70" s="65" t="inlineStr">
        <is>
          <t>Conservacion Y Manutenimiento De Oficina</t>
        </is>
      </c>
      <c r="G70" s="65" t="n"/>
      <c r="H70" s="65" t="inlineStr">
        <is>
          <t>Fijo</t>
        </is>
      </c>
      <c r="I70" s="55" t="inlineStr">
        <is>
          <t>SOPORTE TECNICO IT EQUPOS CCTV E IMPRESORA EN CRAFT BUENAVENTURA</t>
        </is>
      </c>
      <c r="J70" s="55" t="inlineStr">
        <is>
          <t>Buenaventura</t>
        </is>
      </c>
      <c r="K70" s="55" t="inlineStr">
        <is>
          <t>3764</t>
        </is>
      </c>
      <c r="L70" s="63" t="n"/>
      <c r="M70" s="63" t="n"/>
      <c r="N70" s="63" t="n"/>
      <c r="O70" s="66" t="n">
        <v>390000</v>
      </c>
      <c r="P70" s="55" t="n">
        <v>0</v>
      </c>
      <c r="Q70" s="55" t="n">
        <v>0</v>
      </c>
      <c r="R70" s="65" t="n">
        <v>390000</v>
      </c>
      <c r="S70" s="65" t="inlineStr">
        <is>
          <t>enero 2025</t>
        </is>
      </c>
      <c r="T70" s="55" t="inlineStr">
        <is>
          <t>5</t>
        </is>
      </c>
      <c r="U70" s="63" t="n"/>
      <c r="V70" s="63" t="n"/>
      <c r="W70" s="55" t="n"/>
      <c r="X70" s="55" t="n"/>
      <c r="Y70" s="55" t="n"/>
      <c r="Z70" s="63" t="n"/>
    </row>
    <row r="71">
      <c r="A71" s="64" t="n">
        <v>68</v>
      </c>
      <c r="B71" s="55" t="inlineStr">
        <is>
          <t>SERVIDOMESTICAS SAS</t>
        </is>
      </c>
      <c r="C71" s="55" t="n"/>
      <c r="D71" s="65" t="inlineStr">
        <is>
          <t>ADM</t>
        </is>
      </c>
      <c r="E71" s="65" t="n"/>
      <c r="F71" s="65" t="inlineStr">
        <is>
          <t>Otros Gastos CASA LIMPIA PLANILLA AC OTROS</t>
        </is>
      </c>
      <c r="G71" s="65" t="n"/>
      <c r="H71" s="65" t="inlineStr">
        <is>
          <t>Fijo</t>
        </is>
      </c>
      <c r="I71" s="55" t="inlineStr">
        <is>
          <t>LIMPIEZA OFICINA SUCURSAL CRAFT MEDELLIN</t>
        </is>
      </c>
      <c r="J71" s="55" t="inlineStr">
        <is>
          <t>Medellín</t>
        </is>
      </c>
      <c r="K71" s="55" t="inlineStr">
        <is>
          <t>VP31522</t>
        </is>
      </c>
      <c r="L71" s="63" t="n"/>
      <c r="M71" s="63" t="n"/>
      <c r="N71" s="63" t="n"/>
      <c r="O71" s="66" t="n">
        <v>1015600</v>
      </c>
      <c r="P71" s="55" t="n">
        <v>0</v>
      </c>
      <c r="Q71" s="55" t="n">
        <v>0</v>
      </c>
      <c r="R71" s="65" t="n">
        <v>1015600</v>
      </c>
      <c r="S71" s="65" t="inlineStr">
        <is>
          <t>enero 2025</t>
        </is>
      </c>
      <c r="T71" s="55" t="inlineStr">
        <is>
          <t>21</t>
        </is>
      </c>
      <c r="U71" s="63" t="n"/>
      <c r="V71" s="63" t="n"/>
      <c r="W71" s="55" t="n"/>
      <c r="X71" s="55" t="n"/>
      <c r="Y71" s="55" t="n"/>
      <c r="Z71" s="63" t="n"/>
    </row>
    <row r="72">
      <c r="A72" s="64" t="n">
        <v>69</v>
      </c>
      <c r="B72" s="55" t="inlineStr">
        <is>
          <t>FEDERACION COLOMBIANA DE AGENTES LOGISTICOS EN COMERCIO INTERNACIONAL</t>
        </is>
      </c>
      <c r="C72" s="55" t="n"/>
      <c r="D72" s="65" t="inlineStr">
        <is>
          <t>ADM</t>
        </is>
      </c>
      <c r="E72" s="65" t="n"/>
      <c r="F72" s="65" t="inlineStr">
        <is>
          <t>FITAC Cuota de sostenimiento</t>
        </is>
      </c>
      <c r="G72" s="65" t="n"/>
      <c r="H72" s="65" t="inlineStr">
        <is>
          <t>Fijo</t>
        </is>
      </c>
      <c r="I72" s="55" t="inlineStr">
        <is>
          <t>CUOTA SOSTENIMIENTO ANUAL FITAC CARTAGENA</t>
        </is>
      </c>
      <c r="J72" s="55" t="inlineStr">
        <is>
          <t>Cartagena</t>
        </is>
      </c>
      <c r="K72" s="55" t="inlineStr">
        <is>
          <t>45629</t>
        </is>
      </c>
      <c r="L72" s="63" t="n"/>
      <c r="M72" s="63" t="n"/>
      <c r="N72" s="63" t="n"/>
      <c r="O72" s="66" t="n">
        <v>2970000</v>
      </c>
      <c r="P72" s="55" t="n">
        <v>0</v>
      </c>
      <c r="Q72" s="55" t="n">
        <v>0</v>
      </c>
      <c r="R72" s="65" t="n">
        <v>2970000</v>
      </c>
      <c r="S72" s="65" t="inlineStr">
        <is>
          <t>enero 2025</t>
        </is>
      </c>
      <c r="T72" s="55" t="inlineStr">
        <is>
          <t>8</t>
        </is>
      </c>
      <c r="U72" s="63" t="n"/>
      <c r="V72" s="63" t="n"/>
      <c r="W72" s="55" t="n"/>
      <c r="X72" s="55" t="n"/>
      <c r="Y72" s="55" t="n"/>
      <c r="Z72" s="63" t="n"/>
    </row>
    <row r="73">
      <c r="A73" s="64" t="n">
        <v>70</v>
      </c>
      <c r="B73" s="55" t="inlineStr">
        <is>
          <t>PORTUS GLOBAL SAS</t>
        </is>
      </c>
      <c r="C73" s="55" t="n"/>
      <c r="D73" s="65" t="inlineStr">
        <is>
          <t>ADM</t>
        </is>
      </c>
      <c r="E73" s="65" t="n"/>
      <c r="F73" s="65" t="inlineStr">
        <is>
          <t>Arriendos</t>
        </is>
      </c>
      <c r="G73" s="65" t="n"/>
      <c r="H73" s="65" t="inlineStr">
        <is>
          <t>Fijo</t>
        </is>
      </c>
      <c r="I73" s="55" t="inlineStr">
        <is>
          <t>CANON DE ARRENDAMIENTO OF 1502 SUC CRAFT CARTAGENA</t>
        </is>
      </c>
      <c r="J73" s="55" t="inlineStr">
        <is>
          <t>Cartagena</t>
        </is>
      </c>
      <c r="K73" s="55" t="inlineStr">
        <is>
          <t>708</t>
        </is>
      </c>
      <c r="L73" s="63" t="n"/>
      <c r="M73" s="63" t="n"/>
      <c r="N73" s="63" t="n"/>
      <c r="O73" s="66" t="n">
        <v>8477869</v>
      </c>
      <c r="P73" s="55" t="n">
        <v>0</v>
      </c>
      <c r="Q73" s="55" t="n">
        <v>0</v>
      </c>
      <c r="R73" s="65" t="n">
        <v>8477869</v>
      </c>
      <c r="S73" s="65" t="inlineStr">
        <is>
          <t>enero 2025</t>
        </is>
      </c>
      <c r="T73" s="55" t="inlineStr">
        <is>
          <t>9</t>
        </is>
      </c>
      <c r="U73" s="63" t="n"/>
      <c r="V73" s="63" t="n"/>
      <c r="W73" s="55" t="n"/>
      <c r="X73" s="55" t="n"/>
      <c r="Y73" s="55" t="n"/>
      <c r="Z73" s="63" t="n"/>
    </row>
    <row r="74">
      <c r="A74" s="64" t="n">
        <v>71</v>
      </c>
      <c r="B74" s="55" t="inlineStr">
        <is>
          <t>FUNDACION UN TECHO PARA MI PAIS COLOMBIA</t>
        </is>
      </c>
      <c r="C74" s="55" t="n"/>
      <c r="D74" s="65" t="inlineStr">
        <is>
          <t>ADM</t>
        </is>
      </c>
      <c r="E74" s="65" t="n"/>
      <c r="F74" s="65" t="inlineStr">
        <is>
          <t>Fundación Techo para mi país</t>
        </is>
      </c>
      <c r="G74" s="65" t="n"/>
      <c r="H74" s="65" t="inlineStr">
        <is>
          <t>Fijo</t>
        </is>
      </c>
      <c r="I74" s="55" t="inlineStr">
        <is>
          <t>DONACION POR TRABAJOS ASOCIADOS CON LA RAZON SOCIAL DE LA FUNDACION</t>
        </is>
      </c>
      <c r="J74" s="55" t="inlineStr">
        <is>
          <t>Transversal</t>
        </is>
      </c>
      <c r="K74" s="55" t="inlineStr">
        <is>
          <t>FS119</t>
        </is>
      </c>
      <c r="L74" s="63" t="n"/>
      <c r="M74" s="63" t="n"/>
      <c r="N74" s="63" t="n"/>
      <c r="O74" s="66" t="n">
        <v>100000</v>
      </c>
      <c r="P74" s="55" t="n">
        <v>0</v>
      </c>
      <c r="Q74" s="55" t="n">
        <v>0</v>
      </c>
      <c r="R74" s="65" t="n">
        <v>100000</v>
      </c>
      <c r="S74" s="65" t="inlineStr">
        <is>
          <t>enero 2025</t>
        </is>
      </c>
      <c r="T74" s="55" t="inlineStr">
        <is>
          <t>994</t>
        </is>
      </c>
      <c r="U74" s="63" t="n"/>
      <c r="V74" s="63" t="n"/>
      <c r="W74" s="55" t="n"/>
      <c r="X74" s="55" t="n"/>
      <c r="Y74" s="55" t="n"/>
      <c r="Z74" s="63" t="n"/>
    </row>
    <row r="75">
      <c r="A75" s="64" t="n">
        <v>72</v>
      </c>
      <c r="B75" s="55" t="inlineStr">
        <is>
          <t>OPAIN SA AEROPUERTO EL DORADO</t>
        </is>
      </c>
      <c r="C75" s="55" t="n"/>
      <c r="D75" s="65" t="inlineStr">
        <is>
          <t>ADM</t>
        </is>
      </c>
      <c r="E75" s="65" t="n"/>
      <c r="F75" s="65" t="inlineStr">
        <is>
          <t>Administración</t>
        </is>
      </c>
      <c r="G75" s="65" t="n"/>
      <c r="H75" s="65" t="inlineStr">
        <is>
          <t>Fijo</t>
        </is>
      </c>
      <c r="I75" s="55" t="inlineStr">
        <is>
          <t>GASTOS REEMBOLSABLES CRAFT AEROPUERTO</t>
        </is>
      </c>
      <c r="J75" s="55" t="inlineStr">
        <is>
          <t>Aeropuerto</t>
        </is>
      </c>
      <c r="K75" s="55" t="inlineStr">
        <is>
          <t>CCG21523</t>
        </is>
      </c>
      <c r="L75" s="63" t="n"/>
      <c r="M75" s="63" t="n"/>
      <c r="N75" s="63" t="n"/>
      <c r="O75" s="66" t="n">
        <v>636316</v>
      </c>
      <c r="P75" s="55" t="n">
        <v>0</v>
      </c>
      <c r="Q75" s="55" t="n">
        <v>0</v>
      </c>
      <c r="R75" s="65" t="n">
        <v>636316</v>
      </c>
      <c r="S75" s="65" t="inlineStr">
        <is>
          <t>enero 2025</t>
        </is>
      </c>
      <c r="T75" s="55" t="inlineStr">
        <is>
          <t>4</t>
        </is>
      </c>
      <c r="U75" s="63" t="n"/>
      <c r="V75" s="63" t="n"/>
      <c r="W75" s="55" t="n"/>
      <c r="X75" s="55" t="n"/>
      <c r="Y75" s="55" t="n"/>
      <c r="Z75" s="63" t="n"/>
    </row>
    <row r="76">
      <c r="A76" s="64" t="n">
        <v>73</v>
      </c>
      <c r="B76" s="55" t="inlineStr">
        <is>
          <t>EMCALI</t>
        </is>
      </c>
      <c r="C76" s="55" t="n"/>
      <c r="D76" s="65" t="inlineStr">
        <is>
          <t>ADM</t>
        </is>
      </c>
      <c r="E76" s="65" t="n"/>
      <c r="F76" s="65" t="inlineStr">
        <is>
          <t>Agua</t>
        </is>
      </c>
      <c r="G76" s="65" t="n"/>
      <c r="H76" s="65" t="inlineStr">
        <is>
          <t>Fijo</t>
        </is>
      </c>
      <c r="I76" s="55" t="inlineStr">
        <is>
          <t>SERVICIOS PUBLICOS CRAFT CALI</t>
        </is>
      </c>
      <c r="J76" s="55" t="inlineStr">
        <is>
          <t>Cali</t>
        </is>
      </c>
      <c r="K76" s="55" t="inlineStr">
        <is>
          <t>11678637</t>
        </is>
      </c>
      <c r="L76" s="63" t="n"/>
      <c r="M76" s="63" t="n"/>
      <c r="N76" s="63" t="n"/>
      <c r="O76" s="66" t="n">
        <v>266903</v>
      </c>
      <c r="P76" s="55" t="n">
        <v>0</v>
      </c>
      <c r="Q76" s="55" t="n">
        <v>0</v>
      </c>
      <c r="R76" s="65" t="n">
        <v>266903</v>
      </c>
      <c r="S76" s="65" t="inlineStr">
        <is>
          <t>enero 2025</t>
        </is>
      </c>
      <c r="T76" s="55" t="inlineStr">
        <is>
          <t>3</t>
        </is>
      </c>
      <c r="U76" s="63" t="n"/>
      <c r="V76" s="63" t="n"/>
      <c r="W76" s="55" t="n"/>
      <c r="X76" s="55" t="n"/>
      <c r="Y76" s="55" t="n"/>
      <c r="Z76" s="63" t="n"/>
    </row>
    <row r="77">
      <c r="A77" s="64" t="n">
        <v>74</v>
      </c>
      <c r="B77" s="55" t="inlineStr">
        <is>
          <t>INTERASEO AEROPUERTO</t>
        </is>
      </c>
      <c r="C77" s="55" t="n"/>
      <c r="D77" s="65" t="inlineStr">
        <is>
          <t>ADM</t>
        </is>
      </c>
      <c r="E77" s="65" t="n"/>
      <c r="F77" s="65" t="inlineStr">
        <is>
          <t>Agua</t>
        </is>
      </c>
      <c r="G77" s="65" t="n"/>
      <c r="H77" s="65" t="inlineStr">
        <is>
          <t>Fijo</t>
        </is>
      </c>
      <c r="I77" s="55" t="inlineStr">
        <is>
          <t>RECOLECCION BASURA CRAFT AEROPUERTO</t>
        </is>
      </c>
      <c r="J77" s="55" t="inlineStr">
        <is>
          <t>Aeropuerto</t>
        </is>
      </c>
      <c r="K77" s="55" t="inlineStr">
        <is>
          <t>INAE041388</t>
        </is>
      </c>
      <c r="L77" s="63" t="n"/>
      <c r="M77" s="63" t="n"/>
      <c r="N77" s="63" t="n"/>
      <c r="O77" s="66" t="n">
        <v>35808</v>
      </c>
      <c r="P77" s="55" t="n">
        <v>0</v>
      </c>
      <c r="Q77" s="55" t="n">
        <v>0</v>
      </c>
      <c r="R77" s="65" t="n">
        <v>35808</v>
      </c>
      <c r="S77" s="65" t="inlineStr">
        <is>
          <t>enero 2025</t>
        </is>
      </c>
      <c r="T77" s="55" t="inlineStr">
        <is>
          <t>3</t>
        </is>
      </c>
      <c r="U77" s="63" t="n"/>
      <c r="V77" s="63" t="n"/>
      <c r="W77" s="55" t="n"/>
      <c r="X77" s="55" t="n"/>
      <c r="Y77" s="55" t="n"/>
      <c r="Z77" s="63" t="n"/>
    </row>
    <row r="78">
      <c r="A78" s="64" t="n">
        <v>75</v>
      </c>
      <c r="B78" s="55" t="inlineStr">
        <is>
          <t>JAVIER ANTONIO SANCHEZ</t>
        </is>
      </c>
      <c r="C78" s="55" t="n"/>
      <c r="D78" s="65" t="inlineStr">
        <is>
          <t>ADM</t>
        </is>
      </c>
      <c r="E78" s="65" t="n"/>
      <c r="F78" s="65" t="inlineStr">
        <is>
          <t>Bodegas</t>
        </is>
      </c>
      <c r="G78" s="65" t="n"/>
      <c r="H78" s="65" t="n"/>
      <c r="I78" s="55" t="inlineStr">
        <is>
          <t>ARRIENDO CUARTO DE BODEGA CRAFT BUENAVENTURA</t>
        </is>
      </c>
      <c r="J78" s="55" t="inlineStr">
        <is>
          <t>Buenaventura</t>
        </is>
      </c>
      <c r="K78" s="55" t="inlineStr">
        <is>
          <t>202601</t>
        </is>
      </c>
      <c r="L78" s="63" t="n"/>
      <c r="M78" s="63" t="n"/>
      <c r="N78" s="63" t="n"/>
      <c r="O78" s="66" t="n">
        <v>250000</v>
      </c>
      <c r="P78" s="55" t="n">
        <v>0</v>
      </c>
      <c r="Q78" s="55" t="n">
        <v>0</v>
      </c>
      <c r="R78" s="65" t="n">
        <v>250000</v>
      </c>
      <c r="S78" s="65" t="inlineStr">
        <is>
          <t>enero 2025</t>
        </is>
      </c>
      <c r="T78" s="55" t="inlineStr">
        <is>
          <t>6</t>
        </is>
      </c>
      <c r="U78" s="63" t="n"/>
      <c r="V78" s="63" t="n"/>
      <c r="W78" s="55" t="n"/>
      <c r="X78" s="55" t="n"/>
      <c r="Y78" s="55" t="n"/>
      <c r="Z78" s="63" t="n"/>
    </row>
    <row r="79">
      <c r="A79" s="64" t="n">
        <v>76</v>
      </c>
      <c r="B79" s="55" t="inlineStr">
        <is>
          <t>TRIPLE AAA</t>
        </is>
      </c>
      <c r="C79" s="55" t="n"/>
      <c r="D79" s="65" t="inlineStr">
        <is>
          <t>ADM</t>
        </is>
      </c>
      <c r="E79" s="65" t="n"/>
      <c r="F79" s="65" t="inlineStr">
        <is>
          <t>Agua</t>
        </is>
      </c>
      <c r="G79" s="65" t="n"/>
      <c r="H79" s="65" t="inlineStr">
        <is>
          <t>Fijo</t>
        </is>
      </c>
      <c r="I79" s="55" t="inlineStr">
        <is>
          <t>SERVICIO ACUEDUCTO CRAFT BARRANQUILLA</t>
        </is>
      </c>
      <c r="J79" s="55" t="inlineStr">
        <is>
          <t>Barranquilla</t>
        </is>
      </c>
      <c r="K79" s="55" t="inlineStr">
        <is>
          <t>68930122</t>
        </is>
      </c>
      <c r="L79" s="63" t="n"/>
      <c r="M79" s="63" t="n"/>
      <c r="N79" s="63" t="n"/>
      <c r="O79" s="66" t="n">
        <v>258014</v>
      </c>
      <c r="P79" s="55" t="n">
        <v>0</v>
      </c>
      <c r="Q79" s="55" t="n">
        <v>0</v>
      </c>
      <c r="R79" s="65" t="n">
        <v>258014</v>
      </c>
      <c r="S79" s="65" t="inlineStr">
        <is>
          <t>enero 2025</t>
        </is>
      </c>
      <c r="T79" s="55" t="inlineStr">
        <is>
          <t>3</t>
        </is>
      </c>
      <c r="U79" s="63" t="n"/>
      <c r="V79" s="63" t="n"/>
      <c r="W79" s="55" t="n"/>
      <c r="X79" s="55" t="n"/>
      <c r="Y79" s="55" t="n"/>
      <c r="Z79" s="63" t="n"/>
    </row>
    <row r="80">
      <c r="A80" s="64" t="n">
        <v>77</v>
      </c>
      <c r="B80" s="55" t="inlineStr">
        <is>
          <t>CLARO S.A.</t>
        </is>
      </c>
      <c r="C80" s="55" t="n"/>
      <c r="D80" s="65" t="inlineStr">
        <is>
          <t>ADM</t>
        </is>
      </c>
      <c r="E80" s="65" t="n"/>
      <c r="F80" s="65" t="inlineStr">
        <is>
          <t>Telefono fijo</t>
        </is>
      </c>
      <c r="G80" s="65" t="n"/>
      <c r="H80" s="65" t="inlineStr">
        <is>
          <t>Fijo</t>
        </is>
      </c>
      <c r="I80" s="55" t="inlineStr">
        <is>
          <t>SERVICIO DE TELEFONIA FIJA BUN Y CTG</t>
        </is>
      </c>
      <c r="J80" s="55" t="inlineStr">
        <is>
          <t>Puertos</t>
        </is>
      </c>
      <c r="K80" s="55" t="inlineStr">
        <is>
          <t>3292477322</t>
        </is>
      </c>
      <c r="L80" s="63" t="n"/>
      <c r="M80" s="63" t="n"/>
      <c r="N80" s="63" t="n"/>
      <c r="O80" s="66" t="n">
        <v>168540</v>
      </c>
      <c r="P80" s="55" t="n">
        <v>0</v>
      </c>
      <c r="Q80" s="55" t="n">
        <v>0</v>
      </c>
      <c r="R80" s="65" t="n">
        <v>168540</v>
      </c>
      <c r="S80" s="65" t="inlineStr">
        <is>
          <t>enero 2025</t>
        </is>
      </c>
      <c r="T80" s="55" t="inlineStr">
        <is>
          <t>18</t>
        </is>
      </c>
      <c r="U80" s="63" t="n"/>
      <c r="V80" s="63" t="n"/>
      <c r="W80" s="55" t="n"/>
      <c r="X80" s="55" t="n"/>
      <c r="Y80" s="55" t="n"/>
      <c r="Z80" s="63" t="n"/>
    </row>
    <row r="81">
      <c r="A81" s="64" t="n">
        <v>78</v>
      </c>
      <c r="B81" s="55" t="inlineStr">
        <is>
          <t>EDIFICIO PORTUS MANGA CARTAGENA</t>
        </is>
      </c>
      <c r="C81" s="55" t="n"/>
      <c r="D81" s="65" t="inlineStr">
        <is>
          <t>ADM</t>
        </is>
      </c>
      <c r="E81" s="65" t="n"/>
      <c r="F81" s="65" t="inlineStr">
        <is>
          <t>Administración</t>
        </is>
      </c>
      <c r="G81" s="65" t="n"/>
      <c r="H81" s="65" t="inlineStr">
        <is>
          <t>Fijo</t>
        </is>
      </c>
      <c r="I81" s="55" t="inlineStr">
        <is>
          <t xml:space="preserve">EXPENSAS DE  ADMINISTRACION   CRAFT CARTAGENA  </t>
        </is>
      </c>
      <c r="J81" s="55" t="inlineStr">
        <is>
          <t>Cartagena</t>
        </is>
      </c>
      <c r="K81" s="55" t="inlineStr">
        <is>
          <t>967</t>
        </is>
      </c>
      <c r="L81" s="63" t="n"/>
      <c r="M81" s="63" t="n"/>
      <c r="N81" s="63" t="n"/>
      <c r="O81" s="66" t="n">
        <v>576439</v>
      </c>
      <c r="P81" s="55" t="n">
        <v>0</v>
      </c>
      <c r="Q81" s="55" t="n">
        <v>0</v>
      </c>
      <c r="R81" s="65" t="n">
        <v>576439</v>
      </c>
      <c r="S81" s="65" t="inlineStr">
        <is>
          <t>enero 2025</t>
        </is>
      </c>
      <c r="T81" s="55" t="inlineStr">
        <is>
          <t>20</t>
        </is>
      </c>
      <c r="U81" s="63" t="n"/>
      <c r="V81" s="63" t="n"/>
      <c r="W81" s="55" t="n"/>
      <c r="X81" s="55" t="n"/>
      <c r="Y81" s="55" t="n"/>
      <c r="Z81" s="63" t="n"/>
    </row>
    <row r="82">
      <c r="A82" s="64" t="n">
        <v>79</v>
      </c>
      <c r="B82" s="55" t="inlineStr">
        <is>
          <t>TRAIKER GROUP COLOMBIA S.A.S.</t>
        </is>
      </c>
      <c r="C82" s="55" t="n"/>
      <c r="D82" s="65" t="inlineStr">
        <is>
          <t>ADM</t>
        </is>
      </c>
      <c r="E82" s="65" t="n"/>
      <c r="F82" s="65" t="inlineStr">
        <is>
          <t>Bodegas</t>
        </is>
      </c>
      <c r="G82" s="65" t="n"/>
      <c r="H82" s="65" t="n"/>
      <c r="I82" s="55" t="inlineStr">
        <is>
          <t>ALMACENAMIENTO DE CAJAS EN CRAFT CARTAGENA</t>
        </is>
      </c>
      <c r="J82" s="55" t="inlineStr">
        <is>
          <t>Cartagena</t>
        </is>
      </c>
      <c r="K82" s="55" t="inlineStr">
        <is>
          <t>FEA566</t>
        </is>
      </c>
      <c r="L82" s="63" t="n"/>
      <c r="M82" s="63" t="n"/>
      <c r="N82" s="63" t="n"/>
      <c r="O82" s="66" t="n">
        <v>434826</v>
      </c>
      <c r="P82" s="55" t="n">
        <v>0</v>
      </c>
      <c r="Q82" s="55" t="n">
        <v>0</v>
      </c>
      <c r="R82" s="65" t="n">
        <v>434826</v>
      </c>
      <c r="S82" s="65" t="inlineStr">
        <is>
          <t>enero 2025</t>
        </is>
      </c>
      <c r="T82" s="55" t="inlineStr">
        <is>
          <t>19</t>
        </is>
      </c>
      <c r="U82" s="63" t="n"/>
      <c r="V82" s="63" t="n"/>
      <c r="W82" s="55" t="n"/>
      <c r="X82" s="55" t="n"/>
      <c r="Y82" s="55" t="n"/>
      <c r="Z82" s="63" t="n"/>
    </row>
    <row r="83">
      <c r="A83" s="64" t="n">
        <v>80</v>
      </c>
      <c r="B83" s="55" t="inlineStr">
        <is>
          <t>COMPAÑIA PAPELERA NACIONAL S.A.S</t>
        </is>
      </c>
      <c r="C83" s="55" t="n"/>
      <c r="D83" s="65" t="inlineStr">
        <is>
          <t>ADM</t>
        </is>
      </c>
      <c r="E83" s="65" t="n"/>
      <c r="F83" s="65" t="inlineStr">
        <is>
          <t>Material Copa/Cozinha</t>
        </is>
      </c>
      <c r="G83" s="65" t="n"/>
      <c r="H83" s="65" t="inlineStr">
        <is>
          <t>Variable</t>
        </is>
      </c>
      <c r="I83" s="55" t="inlineStr">
        <is>
          <t>PEDIDO ASEO Y CAFETERIA CRAFT MEDELLIN</t>
        </is>
      </c>
      <c r="J83" s="55" t="inlineStr">
        <is>
          <t>Medellín</t>
        </is>
      </c>
      <c r="K83" s="55" t="inlineStr">
        <is>
          <t>CPFP196271</t>
        </is>
      </c>
      <c r="L83" s="63" t="n"/>
      <c r="M83" s="63" t="n"/>
      <c r="N83" s="63" t="n"/>
      <c r="O83" s="66" t="n">
        <v>153492</v>
      </c>
      <c r="P83" s="55" t="n">
        <v>0</v>
      </c>
      <c r="Q83" s="55" t="n">
        <v>0</v>
      </c>
      <c r="R83" s="65" t="n">
        <v>153492</v>
      </c>
      <c r="S83" s="65" t="inlineStr">
        <is>
          <t>enero 2025</t>
        </is>
      </c>
      <c r="T83" s="55" t="inlineStr">
        <is>
          <t>28</t>
        </is>
      </c>
      <c r="U83" s="63" t="n"/>
      <c r="V83" s="63" t="n"/>
      <c r="W83" s="55" t="n"/>
      <c r="X83" s="55" t="n"/>
      <c r="Y83" s="55" t="n"/>
      <c r="Z83" s="63" t="n"/>
    </row>
    <row r="84">
      <c r="A84" s="64" t="n">
        <v>81</v>
      </c>
      <c r="B84" s="55" t="inlineStr">
        <is>
          <t>COMPAÑIA PAPELERA NACIONAL S.A.S</t>
        </is>
      </c>
      <c r="C84" s="55" t="n"/>
      <c r="D84" s="65" t="inlineStr">
        <is>
          <t>ADM</t>
        </is>
      </c>
      <c r="E84" s="65" t="n"/>
      <c r="F84" s="65" t="inlineStr">
        <is>
          <t>Material Copa/Cozinha</t>
        </is>
      </c>
      <c r="G84" s="65" t="n"/>
      <c r="H84" s="65" t="inlineStr">
        <is>
          <t>Variable</t>
        </is>
      </c>
      <c r="I84" s="55" t="inlineStr">
        <is>
          <t>PEDIDO ASEO Y CAFETERIA CRAFT BUENAVENTURA</t>
        </is>
      </c>
      <c r="J84" s="55" t="inlineStr">
        <is>
          <t>Buenaventura</t>
        </is>
      </c>
      <c r="K84" s="55" t="inlineStr">
        <is>
          <t>CPFP196272</t>
        </is>
      </c>
      <c r="L84" s="63" t="n"/>
      <c r="M84" s="63" t="n"/>
      <c r="N84" s="63" t="n"/>
      <c r="O84" s="66" t="n">
        <v>1146245</v>
      </c>
      <c r="P84" s="55" t="n">
        <v>0</v>
      </c>
      <c r="Q84" s="55" t="n">
        <v>0</v>
      </c>
      <c r="R84" s="65" t="n">
        <v>1146245</v>
      </c>
      <c r="S84" s="65" t="inlineStr">
        <is>
          <t>enero 2025</t>
        </is>
      </c>
      <c r="T84" s="55" t="inlineStr">
        <is>
          <t>7</t>
        </is>
      </c>
      <c r="U84" s="63" t="n"/>
      <c r="V84" s="63" t="n"/>
      <c r="W84" s="55" t="n"/>
      <c r="X84" s="55" t="n"/>
      <c r="Y84" s="55" t="n"/>
      <c r="Z84" s="63" t="n"/>
    </row>
    <row r="85">
      <c r="A85" s="64" t="n">
        <v>82</v>
      </c>
      <c r="B85" s="55" t="inlineStr">
        <is>
          <t>PATRIMONIOS AUTONOMOS FIDUCIARIA BANCOLOMBIA S A SOCIEDAD FIDUCIARIA</t>
        </is>
      </c>
      <c r="C85" s="55" t="n"/>
      <c r="D85" s="65" t="inlineStr">
        <is>
          <t>ADM</t>
        </is>
      </c>
      <c r="E85" s="65" t="n"/>
      <c r="F85" s="65" t="inlineStr">
        <is>
          <t>Arriendos</t>
        </is>
      </c>
      <c r="G85" s="65" t="n"/>
      <c r="H85" s="65" t="inlineStr">
        <is>
          <t>Fijo</t>
        </is>
      </c>
      <c r="I85" s="55" t="inlineStr">
        <is>
          <t>CANON ARRENDAMIENTO SUCURSAL CRAFT AEROPUERTO</t>
        </is>
      </c>
      <c r="J85" s="55" t="inlineStr">
        <is>
          <t>Aeropuerto</t>
        </is>
      </c>
      <c r="K85" s="55" t="inlineStr">
        <is>
          <t>AR3170188</t>
        </is>
      </c>
      <c r="L85" s="63" t="n"/>
      <c r="M85" s="63" t="n"/>
      <c r="N85" s="63" t="n"/>
      <c r="O85" s="66" t="n">
        <v>7341058</v>
      </c>
      <c r="P85" s="55" t="n">
        <v>0</v>
      </c>
      <c r="Q85" s="55" t="n">
        <v>0</v>
      </c>
      <c r="R85" s="65" t="n">
        <v>7341058</v>
      </c>
      <c r="S85" s="65" t="inlineStr">
        <is>
          <t>enero 2025</t>
        </is>
      </c>
      <c r="T85" s="55" t="inlineStr">
        <is>
          <t>5</t>
        </is>
      </c>
      <c r="U85" s="63" t="n"/>
      <c r="V85" s="63" t="n"/>
      <c r="W85" s="55" t="n"/>
      <c r="X85" s="55" t="n"/>
      <c r="Y85" s="55" t="n"/>
      <c r="Z85" s="63" t="n"/>
    </row>
    <row r="86">
      <c r="A86" s="64" t="n">
        <v>83</v>
      </c>
      <c r="B86" s="55" t="inlineStr">
        <is>
          <t>CLARO S.A.</t>
        </is>
      </c>
      <c r="C86" s="55" t="n"/>
      <c r="D86" s="65" t="inlineStr">
        <is>
          <t>IT</t>
        </is>
      </c>
      <c r="E86" s="65" t="n"/>
      <c r="F86" s="65" t="inlineStr">
        <is>
          <t>Internet oficinas</t>
        </is>
      </c>
      <c r="G86" s="65" t="n"/>
      <c r="H86" s="65" t="inlineStr">
        <is>
          <t>Fijo</t>
        </is>
      </c>
      <c r="I86" s="55" t="inlineStr">
        <is>
          <t>SERVICIO INTERNET Y TELEFONIA CRAFT BARRANQUILLA</t>
        </is>
      </c>
      <c r="J86" s="55" t="inlineStr">
        <is>
          <t>Barranquilla</t>
        </is>
      </c>
      <c r="K86" s="55" t="inlineStr">
        <is>
          <t>R1135024782</t>
        </is>
      </c>
      <c r="L86" s="63" t="n"/>
      <c r="M86" s="63" t="n"/>
      <c r="N86" s="63" t="n"/>
      <c r="O86" s="66" t="n">
        <v>131985</v>
      </c>
      <c r="P86" s="55" t="n">
        <v>0</v>
      </c>
      <c r="Q86" s="55" t="n">
        <v>0</v>
      </c>
      <c r="R86" s="65" t="n">
        <v>131985</v>
      </c>
      <c r="S86" s="65" t="inlineStr">
        <is>
          <t>enero 2025</t>
        </is>
      </c>
      <c r="T86" s="55" t="inlineStr">
        <is>
          <t>4</t>
        </is>
      </c>
      <c r="U86" s="63" t="n"/>
      <c r="V86" s="63" t="n"/>
      <c r="W86" s="55" t="n"/>
      <c r="X86" s="55" t="n"/>
      <c r="Y86" s="55" t="n"/>
      <c r="Z86" s="63" t="n"/>
    </row>
    <row r="87">
      <c r="A87" s="64" t="n">
        <v>84</v>
      </c>
      <c r="B87" s="55" t="inlineStr">
        <is>
          <t>COMPAÑIA PAPELERA NACIONAL S.A.S</t>
        </is>
      </c>
      <c r="C87" s="55" t="n"/>
      <c r="D87" s="65" t="inlineStr">
        <is>
          <t>ADM</t>
        </is>
      </c>
      <c r="E87" s="65" t="n"/>
      <c r="F87" s="65" t="inlineStr">
        <is>
          <t>Material Copa/Cozinha</t>
        </is>
      </c>
      <c r="G87" s="65" t="n"/>
      <c r="H87" s="65" t="inlineStr">
        <is>
          <t>Variable</t>
        </is>
      </c>
      <c r="I87" s="55" t="inlineStr">
        <is>
          <t>PEDIDO ASEO Y CAFETERIA CRAFT CARTAGENA</t>
        </is>
      </c>
      <c r="J87" s="55" t="inlineStr">
        <is>
          <t>Cartagena</t>
        </is>
      </c>
      <c r="K87" s="55" t="inlineStr">
        <is>
          <t>CPFP196537</t>
        </is>
      </c>
      <c r="L87" s="63" t="n"/>
      <c r="M87" s="63" t="n"/>
      <c r="N87" s="63" t="n"/>
      <c r="O87" s="66" t="n">
        <v>877893</v>
      </c>
      <c r="P87" s="55" t="n">
        <v>0</v>
      </c>
      <c r="Q87" s="55" t="n">
        <v>0</v>
      </c>
      <c r="R87" s="65" t="n">
        <v>877893</v>
      </c>
      <c r="S87" s="65" t="inlineStr">
        <is>
          <t>enero 2025</t>
        </is>
      </c>
      <c r="T87" s="55" t="inlineStr">
        <is>
          <t>21</t>
        </is>
      </c>
      <c r="U87" s="63" t="n"/>
      <c r="V87" s="63" t="n"/>
      <c r="W87" s="55" t="n"/>
      <c r="X87" s="55" t="n"/>
      <c r="Y87" s="55" t="n"/>
      <c r="Z87" s="63" t="n"/>
    </row>
    <row r="88">
      <c r="A88" s="64" t="n">
        <v>85</v>
      </c>
      <c r="B88" s="55" t="inlineStr">
        <is>
          <t>AIR-E</t>
        </is>
      </c>
      <c r="C88" s="55" t="n"/>
      <c r="D88" s="65" t="inlineStr">
        <is>
          <t>ADM</t>
        </is>
      </c>
      <c r="E88" s="65" t="n"/>
      <c r="F88" s="65" t="inlineStr">
        <is>
          <t>Luz</t>
        </is>
      </c>
      <c r="G88" s="65" t="n"/>
      <c r="H88" s="65" t="inlineStr">
        <is>
          <t>Fijo</t>
        </is>
      </c>
      <c r="I88" s="55" t="inlineStr">
        <is>
          <t>SERVICIO ENERGIA CRAFT BARRANQUILLA</t>
        </is>
      </c>
      <c r="J88" s="55" t="inlineStr">
        <is>
          <t>Barranquilla</t>
        </is>
      </c>
      <c r="K88" s="55" t="inlineStr">
        <is>
          <t>58914617</t>
        </is>
      </c>
      <c r="L88" s="63" t="n"/>
      <c r="M88" s="63" t="n"/>
      <c r="N88" s="63" t="n"/>
      <c r="O88" s="66" t="n">
        <v>316440</v>
      </c>
      <c r="P88" s="55" t="n">
        <v>0</v>
      </c>
      <c r="Q88" s="55" t="n">
        <v>0</v>
      </c>
      <c r="R88" s="65" t="n">
        <v>316440</v>
      </c>
      <c r="S88" s="65" t="inlineStr">
        <is>
          <t>enero 2025</t>
        </is>
      </c>
      <c r="T88" s="55" t="inlineStr">
        <is>
          <t>6</t>
        </is>
      </c>
      <c r="U88" s="63" t="n"/>
      <c r="V88" s="63" t="n"/>
      <c r="W88" s="55" t="n"/>
      <c r="X88" s="55" t="n"/>
      <c r="Y88" s="55" t="n"/>
      <c r="Z88" s="63" t="n"/>
    </row>
    <row r="89">
      <c r="A89" s="64" t="n">
        <v>86</v>
      </c>
      <c r="B89" s="55" t="inlineStr">
        <is>
          <t>LUZ DARY MINA GARCES</t>
        </is>
      </c>
      <c r="C89" s="55" t="n"/>
      <c r="D89" s="65" t="inlineStr">
        <is>
          <t>ADM</t>
        </is>
      </c>
      <c r="E89" s="65" t="n"/>
      <c r="F89" s="65" t="inlineStr">
        <is>
          <t>Otros Gastos CASA LIMPIA PLANILLA AC OTROS</t>
        </is>
      </c>
      <c r="G89" s="65" t="n"/>
      <c r="H89" s="65" t="inlineStr">
        <is>
          <t>Fijo</t>
        </is>
      </c>
      <c r="I89" s="55" t="inlineStr">
        <is>
          <t>SERVICIO ASEO GENERAL OFICINA CRAFT BUENAVENTURA</t>
        </is>
      </c>
      <c r="J89" s="55" t="inlineStr">
        <is>
          <t>Buenaventura</t>
        </is>
      </c>
      <c r="K89" s="55" t="inlineStr">
        <is>
          <t>168</t>
        </is>
      </c>
      <c r="L89" s="63" t="n"/>
      <c r="M89" s="63" t="n"/>
      <c r="N89" s="63" t="n"/>
      <c r="O89" s="66" t="n">
        <v>1000000</v>
      </c>
      <c r="P89" s="55" t="n">
        <v>0</v>
      </c>
      <c r="Q89" s="55" t="n">
        <v>0</v>
      </c>
      <c r="R89" s="65" t="n">
        <v>1000000</v>
      </c>
      <c r="S89" s="65" t="inlineStr">
        <is>
          <t>enero 2025</t>
        </is>
      </c>
      <c r="T89" s="55" t="inlineStr">
        <is>
          <t>9</t>
        </is>
      </c>
      <c r="U89" s="63" t="n"/>
      <c r="V89" s="63" t="n"/>
      <c r="W89" s="55" t="n"/>
      <c r="X89" s="55" t="n"/>
      <c r="Y89" s="55" t="n"/>
      <c r="Z89" s="63" t="n"/>
    </row>
    <row r="90">
      <c r="A90" s="64" t="n">
        <v>87</v>
      </c>
      <c r="B90" s="55" t="inlineStr">
        <is>
          <t>ETB</t>
        </is>
      </c>
      <c r="C90" s="55" t="n"/>
      <c r="D90" s="65" t="inlineStr">
        <is>
          <t>ADM</t>
        </is>
      </c>
      <c r="E90" s="65" t="n"/>
      <c r="F90" s="65" t="inlineStr">
        <is>
          <t>Telefono fijo</t>
        </is>
      </c>
      <c r="G90" s="65" t="n"/>
      <c r="H90" s="65" t="inlineStr">
        <is>
          <t>Fijo</t>
        </is>
      </c>
      <c r="I90" s="55" t="inlineStr">
        <is>
          <t>SERVICIO DE TELEFONIA LOCAL PBX</t>
        </is>
      </c>
      <c r="J90" s="55" t="inlineStr">
        <is>
          <t>Calle 100</t>
        </is>
      </c>
      <c r="K90" s="55" t="inlineStr">
        <is>
          <t>FC1000328577</t>
        </is>
      </c>
      <c r="L90" s="63" t="n"/>
      <c r="M90" s="63" t="n"/>
      <c r="N90" s="63" t="n"/>
      <c r="O90" s="66" t="n">
        <v>1013044</v>
      </c>
      <c r="P90" s="55" t="n">
        <v>0</v>
      </c>
      <c r="Q90" s="55" t="n">
        <v>0</v>
      </c>
      <c r="R90" s="65" t="n">
        <v>1013044</v>
      </c>
      <c r="S90" s="65" t="inlineStr">
        <is>
          <t>enero 2025</t>
        </is>
      </c>
      <c r="T90" s="55" t="inlineStr">
        <is>
          <t>3516</t>
        </is>
      </c>
      <c r="U90" s="63" t="n"/>
      <c r="V90" s="63" t="n"/>
      <c r="W90" s="55" t="n"/>
      <c r="X90" s="55" t="n"/>
      <c r="Y90" s="55" t="n"/>
      <c r="Z90" s="63" t="n"/>
    </row>
    <row r="91">
      <c r="A91" s="64" t="n">
        <v>88</v>
      </c>
      <c r="B91" s="55" t="inlineStr">
        <is>
          <t>CASALIMPIA SA</t>
        </is>
      </c>
      <c r="C91" s="55" t="n"/>
      <c r="D91" s="65" t="inlineStr">
        <is>
          <t>ADM</t>
        </is>
      </c>
      <c r="E91" s="65" t="n"/>
      <c r="F91" s="65" t="inlineStr">
        <is>
          <t>Otros Gastos CASA LIMPIA PLANILLA AC OTROS</t>
        </is>
      </c>
      <c r="G91" s="65" t="n"/>
      <c r="H91" s="65" t="inlineStr">
        <is>
          <t>Fijo</t>
        </is>
      </c>
      <c r="I91" s="55" t="inlineStr">
        <is>
          <t>SERVICIO DE ASEO GENERAL OFICINA CRAFT CARTAGENA</t>
        </is>
      </c>
      <c r="J91" s="55" t="inlineStr">
        <is>
          <t>Cartagena</t>
        </is>
      </c>
      <c r="K91" s="55" t="inlineStr">
        <is>
          <t>CL150207</t>
        </is>
      </c>
      <c r="L91" s="63" t="n"/>
      <c r="M91" s="63" t="n"/>
      <c r="N91" s="63" t="n"/>
      <c r="O91" s="66" t="n">
        <v>2088787</v>
      </c>
      <c r="P91" s="55" t="n">
        <v>0</v>
      </c>
      <c r="Q91" s="55" t="n">
        <v>0</v>
      </c>
      <c r="R91" s="65" t="n">
        <v>2088787</v>
      </c>
      <c r="S91" s="65" t="inlineStr">
        <is>
          <t>enero 2025</t>
        </is>
      </c>
      <c r="T91" s="55" t="inlineStr">
        <is>
          <t>24</t>
        </is>
      </c>
      <c r="U91" s="63" t="n"/>
      <c r="V91" s="63" t="n"/>
      <c r="W91" s="55" t="n"/>
      <c r="X91" s="55" t="n"/>
      <c r="Y91" s="55" t="n"/>
      <c r="Z91" s="63" t="n"/>
    </row>
    <row r="92">
      <c r="A92" s="64" t="n">
        <v>89</v>
      </c>
      <c r="B92" s="55" t="inlineStr">
        <is>
          <t>COMPAÑIA PAPELERA NACIONAL S.A.S</t>
        </is>
      </c>
      <c r="C92" s="55" t="n"/>
      <c r="D92" s="65" t="inlineStr">
        <is>
          <t>ADM</t>
        </is>
      </c>
      <c r="E92" s="65" t="n"/>
      <c r="F92" s="65" t="inlineStr">
        <is>
          <t>Material Copa/Cozinha</t>
        </is>
      </c>
      <c r="G92" s="65" t="n"/>
      <c r="H92" s="65" t="inlineStr">
        <is>
          <t>Variable</t>
        </is>
      </c>
      <c r="I92" s="55" t="inlineStr">
        <is>
          <t xml:space="preserve">PEDIDO ASEO Y CAFETERIA CRAFT CALLE 100 </t>
        </is>
      </c>
      <c r="J92" s="55" t="inlineStr">
        <is>
          <t>Calle 100</t>
        </is>
      </c>
      <c r="K92" s="55" t="inlineStr">
        <is>
          <t>CPFP196835</t>
        </is>
      </c>
      <c r="L92" s="63" t="n"/>
      <c r="M92" s="63" t="n"/>
      <c r="N92" s="63" t="n"/>
      <c r="O92" s="66" t="n">
        <v>376613</v>
      </c>
      <c r="P92" s="55" t="n">
        <v>0</v>
      </c>
      <c r="Q92" s="55" t="n">
        <v>0</v>
      </c>
      <c r="R92" s="65" t="n">
        <v>376613</v>
      </c>
      <c r="S92" s="65" t="inlineStr">
        <is>
          <t>enero 2025</t>
        </is>
      </c>
      <c r="T92" s="55" t="inlineStr">
        <is>
          <t>3517</t>
        </is>
      </c>
      <c r="U92" s="63" t="n"/>
      <c r="V92" s="63" t="n"/>
      <c r="W92" s="55" t="n"/>
      <c r="X92" s="55" t="n"/>
      <c r="Y92" s="55" t="n"/>
      <c r="Z92" s="63" t="n"/>
    </row>
    <row r="93">
      <c r="A93" s="64" t="n">
        <v>90</v>
      </c>
      <c r="B93" s="55" t="inlineStr">
        <is>
          <t>COMPAÑIA PAPELERA NACIONAL S.A.S</t>
        </is>
      </c>
      <c r="C93" s="55" t="n"/>
      <c r="D93" s="65" t="inlineStr">
        <is>
          <t>ADM</t>
        </is>
      </c>
      <c r="E93" s="65" t="n"/>
      <c r="F93" s="65" t="inlineStr">
        <is>
          <t>Material Copa/Cozinha</t>
        </is>
      </c>
      <c r="G93" s="65" t="n"/>
      <c r="H93" s="65" t="inlineStr">
        <is>
          <t>Variable</t>
        </is>
      </c>
      <c r="I93" s="55" t="inlineStr">
        <is>
          <t xml:space="preserve">PEDIDO ASEO Y CAFETERIA CRAFT CALLE 100 </t>
        </is>
      </c>
      <c r="J93" s="55" t="inlineStr">
        <is>
          <t>Calle 100</t>
        </is>
      </c>
      <c r="K93" s="55" t="inlineStr">
        <is>
          <t>CPFP196836</t>
        </is>
      </c>
      <c r="L93" s="63" t="n"/>
      <c r="M93" s="63" t="n"/>
      <c r="N93" s="63" t="n"/>
      <c r="O93" s="66" t="n">
        <v>173535</v>
      </c>
      <c r="P93" s="55" t="n">
        <v>0</v>
      </c>
      <c r="Q93" s="55" t="n">
        <v>0</v>
      </c>
      <c r="R93" s="65" t="n">
        <v>173535</v>
      </c>
      <c r="S93" s="65" t="inlineStr">
        <is>
          <t>enero 2025</t>
        </is>
      </c>
      <c r="T93" s="55" t="inlineStr">
        <is>
          <t>3519</t>
        </is>
      </c>
      <c r="U93" s="63" t="n"/>
      <c r="V93" s="63" t="n"/>
      <c r="W93" s="55" t="n"/>
      <c r="X93" s="55" t="n"/>
      <c r="Y93" s="55" t="n"/>
      <c r="Z93" s="63" t="n"/>
    </row>
    <row r="94">
      <c r="A94" s="64" t="n">
        <v>91</v>
      </c>
      <c r="B94" s="55" t="inlineStr">
        <is>
          <t>CONTRATOS Y FIANZAS DE ARRENDAMIENTO S.A.S.</t>
        </is>
      </c>
      <c r="C94" s="55" t="n"/>
      <c r="D94" s="65" t="inlineStr">
        <is>
          <t>ADM</t>
        </is>
      </c>
      <c r="E94" s="65" t="n"/>
      <c r="F94" s="65" t="inlineStr">
        <is>
          <t>Arriendos</t>
        </is>
      </c>
      <c r="G94" s="65" t="n"/>
      <c r="H94" s="65" t="inlineStr">
        <is>
          <t>Fijo</t>
        </is>
      </c>
      <c r="I94" s="55" t="inlineStr">
        <is>
          <t>SERVICIO ZONA VIRTUAL CRAFT MEDELLIN</t>
        </is>
      </c>
      <c r="J94" s="55" t="inlineStr">
        <is>
          <t>Medellín</t>
        </is>
      </c>
      <c r="K94" s="55" t="inlineStr">
        <is>
          <t>FE579607</t>
        </is>
      </c>
      <c r="L94" s="63" t="n"/>
      <c r="M94" s="63" t="n"/>
      <c r="N94" s="63" t="n"/>
      <c r="O94" s="66" t="n">
        <v>5200</v>
      </c>
      <c r="P94" s="55" t="n">
        <v>0</v>
      </c>
      <c r="Q94" s="55" t="n">
        <v>0</v>
      </c>
      <c r="R94" s="65" t="n">
        <v>5200</v>
      </c>
      <c r="S94" s="65" t="inlineStr">
        <is>
          <t>enero 2025</t>
        </is>
      </c>
      <c r="T94" s="55" t="inlineStr">
        <is>
          <t>36</t>
        </is>
      </c>
      <c r="U94" s="63" t="n"/>
      <c r="V94" s="63" t="n"/>
      <c r="W94" s="55" t="n"/>
      <c r="X94" s="55" t="n"/>
      <c r="Y94" s="55" t="n"/>
      <c r="Z94" s="63" t="n"/>
    </row>
    <row r="95">
      <c r="A95" s="64" t="n">
        <v>92</v>
      </c>
      <c r="B95" s="55" t="inlineStr">
        <is>
          <t>EPM MEDELLIN</t>
        </is>
      </c>
      <c r="C95" s="55" t="n"/>
      <c r="D95" s="65" t="inlineStr">
        <is>
          <t>ADM</t>
        </is>
      </c>
      <c r="E95" s="65" t="n"/>
      <c r="F95" s="65" t="inlineStr">
        <is>
          <t>Agua</t>
        </is>
      </c>
      <c r="G95" s="65" t="n"/>
      <c r="H95" s="65" t="inlineStr">
        <is>
          <t>Fijo</t>
        </is>
      </c>
      <c r="I95" s="55" t="inlineStr">
        <is>
          <t>SERVICOS PUBLICOS CRAFT MEDELLIN</t>
        </is>
      </c>
      <c r="J95" s="55" t="inlineStr">
        <is>
          <t>Medellín</t>
        </is>
      </c>
      <c r="K95" s="55" t="inlineStr">
        <is>
          <t>DEE39136990</t>
        </is>
      </c>
      <c r="L95" s="63" t="n"/>
      <c r="M95" s="63" t="n"/>
      <c r="N95" s="63" t="n"/>
      <c r="O95" s="66" t="n">
        <v>348371</v>
      </c>
      <c r="P95" s="55" t="n">
        <v>0</v>
      </c>
      <c r="Q95" s="55" t="n">
        <v>0</v>
      </c>
      <c r="R95" s="65" t="n">
        <v>348371</v>
      </c>
      <c r="S95" s="65" t="inlineStr">
        <is>
          <t>enero 2025</t>
        </is>
      </c>
      <c r="T95" s="55" t="inlineStr">
        <is>
          <t>37</t>
        </is>
      </c>
      <c r="U95" s="63" t="n"/>
      <c r="V95" s="63" t="n"/>
      <c r="W95" s="55" t="n"/>
      <c r="X95" s="55" t="n"/>
      <c r="Y95" s="55" t="n"/>
      <c r="Z95" s="63" t="n"/>
    </row>
    <row r="96">
      <c r="A96" s="64" t="n">
        <v>93</v>
      </c>
      <c r="B96" s="55" t="inlineStr">
        <is>
          <t>CLARO S.A.</t>
        </is>
      </c>
      <c r="C96" s="55" t="n"/>
      <c r="D96" s="65" t="inlineStr">
        <is>
          <t>ADM</t>
        </is>
      </c>
      <c r="E96" s="65" t="n"/>
      <c r="F96" s="65" t="inlineStr">
        <is>
          <t>Celulares</t>
        </is>
      </c>
      <c r="G96" s="65" t="n"/>
      <c r="H96" s="65" t="inlineStr">
        <is>
          <t>Fijo</t>
        </is>
      </c>
      <c r="I96" s="55" t="inlineStr">
        <is>
          <t>SERVICIO TELEFONIA CELULAR COLABORADORES CRAFT</t>
        </is>
      </c>
      <c r="J96" s="55" t="inlineStr">
        <is>
          <t>Transversal</t>
        </is>
      </c>
      <c r="K96" s="55" t="inlineStr">
        <is>
          <t>E6016989140</t>
        </is>
      </c>
      <c r="L96" s="63" t="n"/>
      <c r="M96" s="63" t="n"/>
      <c r="N96" s="63" t="n"/>
      <c r="O96" s="66" t="n">
        <v>3361990</v>
      </c>
      <c r="P96" s="55" t="n">
        <v>0</v>
      </c>
      <c r="Q96" s="55" t="n">
        <v>0</v>
      </c>
      <c r="R96" s="65" t="n">
        <v>3361990</v>
      </c>
      <c r="S96" s="65" t="inlineStr">
        <is>
          <t>enero 2025</t>
        </is>
      </c>
      <c r="T96" s="55" t="inlineStr">
        <is>
          <t>3526</t>
        </is>
      </c>
      <c r="U96" s="63" t="n"/>
      <c r="V96" s="63" t="n"/>
      <c r="W96" s="55" t="n"/>
      <c r="X96" s="55" t="n"/>
      <c r="Y96" s="55" t="n"/>
      <c r="Z96" s="63" t="n"/>
    </row>
    <row r="97">
      <c r="A97" s="64" t="n">
        <v>94</v>
      </c>
      <c r="B97" s="55" t="inlineStr">
        <is>
          <t>CLARO S.A.</t>
        </is>
      </c>
      <c r="C97" s="55" t="n"/>
      <c r="D97" s="65" t="inlineStr">
        <is>
          <t>ADM</t>
        </is>
      </c>
      <c r="E97" s="65" t="n"/>
      <c r="F97" s="65" t="inlineStr">
        <is>
          <t>Celulares</t>
        </is>
      </c>
      <c r="G97" s="65" t="n"/>
      <c r="H97" s="65" t="inlineStr">
        <is>
          <t>Fijo</t>
        </is>
      </c>
      <c r="I97" s="55" t="inlineStr">
        <is>
          <t>SIM TABLET CTG</t>
        </is>
      </c>
      <c r="J97" s="55" t="inlineStr">
        <is>
          <t>Cartagena</t>
        </is>
      </c>
      <c r="K97" s="55" t="inlineStr">
        <is>
          <t>E6018741100</t>
        </is>
      </c>
      <c r="L97" s="63" t="n"/>
      <c r="M97" s="63" t="n"/>
      <c r="N97" s="63" t="n"/>
      <c r="O97" s="66" t="n">
        <v>196839</v>
      </c>
      <c r="P97" s="55" t="n">
        <v>0</v>
      </c>
      <c r="Q97" s="55" t="n">
        <v>0</v>
      </c>
      <c r="R97" s="65" t="n">
        <v>196839</v>
      </c>
      <c r="S97" s="65" t="inlineStr">
        <is>
          <t>enero 2025</t>
        </is>
      </c>
      <c r="T97" s="55" t="inlineStr">
        <is>
          <t>34</t>
        </is>
      </c>
      <c r="U97" s="63" t="n"/>
      <c r="V97" s="63" t="n"/>
      <c r="W97" s="55" t="n"/>
      <c r="X97" s="55" t="n"/>
      <c r="Y97" s="55" t="n"/>
      <c r="Z97" s="63" t="n"/>
    </row>
    <row r="98">
      <c r="A98" s="64" t="n">
        <v>95</v>
      </c>
      <c r="B98" s="55" t="inlineStr">
        <is>
          <t>CLARO S.A.</t>
        </is>
      </c>
      <c r="C98" s="55" t="n"/>
      <c r="D98" s="65" t="inlineStr">
        <is>
          <t>ADM</t>
        </is>
      </c>
      <c r="E98" s="65" t="n"/>
      <c r="F98" s="65" t="inlineStr">
        <is>
          <t>Celulares</t>
        </is>
      </c>
      <c r="G98" s="65" t="n"/>
      <c r="H98" s="65" t="inlineStr">
        <is>
          <t>Fijo</t>
        </is>
      </c>
      <c r="I98" s="55" t="inlineStr">
        <is>
          <t xml:space="preserve">SIM TABLET BUN Y AEROPUERTO  </t>
        </is>
      </c>
      <c r="J98" s="55" t="inlineStr">
        <is>
          <t>Puertos</t>
        </is>
      </c>
      <c r="K98" s="55" t="inlineStr">
        <is>
          <t>E6018743621</t>
        </is>
      </c>
      <c r="L98" s="63" t="n"/>
      <c r="M98" s="63" t="n"/>
      <c r="N98" s="63" t="n"/>
      <c r="O98" s="66" t="n">
        <v>333393</v>
      </c>
      <c r="P98" s="55" t="n">
        <v>0</v>
      </c>
      <c r="Q98" s="55" t="n">
        <v>0</v>
      </c>
      <c r="R98" s="65" t="n">
        <v>333393</v>
      </c>
      <c r="S98" s="65" t="inlineStr">
        <is>
          <t>enero 2025</t>
        </is>
      </c>
      <c r="T98" s="55" t="inlineStr">
        <is>
          <t>19</t>
        </is>
      </c>
      <c r="U98" s="63" t="n"/>
      <c r="V98" s="63" t="n"/>
      <c r="W98" s="55" t="n"/>
      <c r="X98" s="55" t="n"/>
      <c r="Y98" s="55" t="n"/>
      <c r="Z98" s="63" t="n"/>
    </row>
    <row r="99">
      <c r="A99" s="64" t="n">
        <v>96</v>
      </c>
      <c r="B99" s="55" t="inlineStr">
        <is>
          <t>CLARO S.A.</t>
        </is>
      </c>
      <c r="C99" s="55" t="n"/>
      <c r="D99" s="65" t="inlineStr">
        <is>
          <t>ADM</t>
        </is>
      </c>
      <c r="E99" s="65" t="n"/>
      <c r="F99" s="65" t="inlineStr">
        <is>
          <t>Celulares</t>
        </is>
      </c>
      <c r="G99" s="65" t="n"/>
      <c r="H99" s="65" t="inlineStr">
        <is>
          <t>Fijo</t>
        </is>
      </c>
      <c r="I99" s="55" t="inlineStr">
        <is>
          <t>PLAN DATOS RAFAEL DE SA</t>
        </is>
      </c>
      <c r="J99" s="55" t="inlineStr">
        <is>
          <t>Transversal</t>
        </is>
      </c>
      <c r="K99" s="55" t="inlineStr">
        <is>
          <t>E6018742692</t>
        </is>
      </c>
      <c r="L99" s="63" t="n"/>
      <c r="M99" s="63" t="n"/>
      <c r="N99" s="63" t="n"/>
      <c r="O99" s="66" t="n">
        <v>195025</v>
      </c>
      <c r="P99" s="55" t="n">
        <v>0</v>
      </c>
      <c r="Q99" s="55" t="n">
        <v>0</v>
      </c>
      <c r="R99" s="65" t="n">
        <v>195025</v>
      </c>
      <c r="S99" s="65" t="inlineStr">
        <is>
          <t>enero 2025</t>
        </is>
      </c>
      <c r="T99" s="55" t="inlineStr">
        <is>
          <t>5535</t>
        </is>
      </c>
      <c r="U99" s="63" t="n"/>
      <c r="V99" s="63" t="n"/>
      <c r="W99" s="55" t="n"/>
      <c r="X99" s="55" t="n"/>
      <c r="Y99" s="55" t="n"/>
      <c r="Z99" s="63" t="n"/>
    </row>
    <row r="100">
      <c r="A100" s="64" t="n">
        <v>97</v>
      </c>
      <c r="B100" s="55" t="inlineStr">
        <is>
          <t>LUZ DARY MINA GARCES</t>
        </is>
      </c>
      <c r="C100" s="55" t="n"/>
      <c r="D100" s="65" t="inlineStr">
        <is>
          <t>ADM</t>
        </is>
      </c>
      <c r="E100" s="65" t="n"/>
      <c r="F100" s="65" t="inlineStr">
        <is>
          <t>Otros Gastos CASA LIMPIA PLANILLA AC OTROS</t>
        </is>
      </c>
      <c r="G100" s="65" t="n"/>
      <c r="H100" s="65" t="inlineStr">
        <is>
          <t>Fijo</t>
        </is>
      </c>
      <c r="I100" s="55" t="inlineStr">
        <is>
          <t>SERVICIO ASEO GENERAL OFICINA CRAFT BUENAVENTURA</t>
        </is>
      </c>
      <c r="J100" s="55" t="inlineStr">
        <is>
          <t>Buenaventura</t>
        </is>
      </c>
      <c r="K100" s="55" t="inlineStr">
        <is>
          <t>169</t>
        </is>
      </c>
      <c r="L100" s="63" t="n"/>
      <c r="M100" s="63" t="n"/>
      <c r="N100" s="63" t="n"/>
      <c r="O100" s="66" t="n">
        <v>1000000</v>
      </c>
      <c r="P100" s="55" t="n">
        <v>0</v>
      </c>
      <c r="Q100" s="55" t="n">
        <v>0</v>
      </c>
      <c r="R100" s="65" t="n">
        <v>1000000</v>
      </c>
      <c r="S100" s="65" t="inlineStr">
        <is>
          <t>enero 2025</t>
        </is>
      </c>
      <c r="T100" s="55" t="inlineStr">
        <is>
          <t>20</t>
        </is>
      </c>
      <c r="U100" s="63" t="n"/>
      <c r="V100" s="63" t="n"/>
      <c r="W100" s="55" t="n"/>
      <c r="X100" s="55" t="n"/>
      <c r="Y100" s="55" t="n"/>
      <c r="Z100" s="63" t="n"/>
    </row>
    <row r="101">
      <c r="A101" s="64" t="n">
        <v>98</v>
      </c>
      <c r="B101" s="55" t="inlineStr">
        <is>
          <t>HARDSOFT SOLUTIONS INTEGRAL SAS</t>
        </is>
      </c>
      <c r="C101" s="55" t="n"/>
      <c r="D101" s="65" t="inlineStr">
        <is>
          <t>IT</t>
        </is>
      </c>
      <c r="E101" s="65" t="n"/>
      <c r="F101" s="65" t="inlineStr">
        <is>
          <t>Conservacion Y Manutenimiento De Oficina</t>
        </is>
      </c>
      <c r="G101" s="65" t="n"/>
      <c r="H101" s="65" t="n"/>
      <c r="I101" s="55" t="inlineStr">
        <is>
          <t xml:space="preserve">MANTENIMIENTO IT EN CTG </t>
        </is>
      </c>
      <c r="J101" s="55" t="inlineStr">
        <is>
          <t>Cartagena</t>
        </is>
      </c>
      <c r="K101" s="55" t="inlineStr">
        <is>
          <t>HS558</t>
        </is>
      </c>
      <c r="L101" s="63" t="n"/>
      <c r="M101" s="63" t="n"/>
      <c r="N101" s="63" t="n"/>
      <c r="O101" s="66" t="n">
        <v>581938</v>
      </c>
      <c r="P101" s="55" t="n">
        <v>0</v>
      </c>
      <c r="Q101" s="55" t="n">
        <v>0</v>
      </c>
      <c r="R101" s="65" t="n">
        <v>581938</v>
      </c>
      <c r="S101" s="65" t="inlineStr">
        <is>
          <t>enero 2025</t>
        </is>
      </c>
      <c r="T101" s="55" t="inlineStr">
        <is>
          <t>35</t>
        </is>
      </c>
      <c r="U101" s="63" t="n"/>
      <c r="V101" s="63" t="n"/>
      <c r="W101" s="55" t="n"/>
      <c r="X101" s="55" t="n"/>
      <c r="Y101" s="55" t="n"/>
      <c r="Z101" s="63" t="n"/>
    </row>
    <row r="102">
      <c r="A102" s="64" t="n">
        <v>99</v>
      </c>
      <c r="B102" s="55" t="inlineStr">
        <is>
          <t>INVERSIONES HOTELERAS BUENAVENTURA S.A.S.</t>
        </is>
      </c>
      <c r="C102" s="55" t="n"/>
      <c r="D102" s="65" t="inlineStr">
        <is>
          <t>ADM</t>
        </is>
      </c>
      <c r="E102" s="65" t="n"/>
      <c r="F102" s="65" t="inlineStr">
        <is>
          <t>Agua</t>
        </is>
      </c>
      <c r="G102" s="65" t="n"/>
      <c r="H102" s="65" t="inlineStr">
        <is>
          <t>Fijo</t>
        </is>
      </c>
      <c r="I102" s="55" t="inlineStr">
        <is>
          <t xml:space="preserve">RECOBRO SERVICIOS PUBLICOS  DE CRAFT BUENAVENTURA  </t>
        </is>
      </c>
      <c r="J102" s="55" t="inlineStr">
        <is>
          <t>Buenaventura</t>
        </is>
      </c>
      <c r="K102" s="55" t="inlineStr">
        <is>
          <t>RCE4077</t>
        </is>
      </c>
      <c r="L102" s="63" t="n"/>
      <c r="M102" s="63" t="n"/>
      <c r="N102" s="63" t="n"/>
      <c r="O102" s="66" t="n">
        <v>377160</v>
      </c>
      <c r="P102" s="55" t="n">
        <v>0</v>
      </c>
      <c r="Q102" s="55" t="n">
        <v>0</v>
      </c>
      <c r="R102" s="65" t="n">
        <v>377160</v>
      </c>
      <c r="S102" s="65" t="inlineStr">
        <is>
          <t>enero 2025</t>
        </is>
      </c>
      <c r="T102" s="55" t="inlineStr">
        <is>
          <t>24</t>
        </is>
      </c>
      <c r="U102" s="63" t="n"/>
      <c r="V102" s="63" t="n"/>
      <c r="W102" s="55" t="n"/>
      <c r="X102" s="55" t="n"/>
      <c r="Y102" s="55" t="n"/>
      <c r="Z102" s="63" t="n"/>
    </row>
    <row r="103">
      <c r="A103" s="64" t="n">
        <v>100</v>
      </c>
      <c r="B103" s="55" t="inlineStr">
        <is>
          <t>TECNOLOGIA INFORMATICA TECINF SAS</t>
        </is>
      </c>
      <c r="C103" s="55" t="n"/>
      <c r="D103" s="65" t="inlineStr">
        <is>
          <t>IT</t>
        </is>
      </c>
      <c r="E103" s="65" t="n"/>
      <c r="F103" s="65" t="inlineStr">
        <is>
          <t>Repositorio Veembackup</t>
        </is>
      </c>
      <c r="G103" s="65" t="n"/>
      <c r="H103" s="65" t="inlineStr">
        <is>
          <t>Fijo</t>
        </is>
      </c>
      <c r="I103" s="55" t="inlineStr">
        <is>
          <t>SERVICIOS VEAM BACKUP</t>
        </is>
      </c>
      <c r="J103" s="55" t="inlineStr">
        <is>
          <t>Transversal</t>
        </is>
      </c>
      <c r="K103" s="55" t="inlineStr">
        <is>
          <t>FEB25215</t>
        </is>
      </c>
      <c r="L103" s="63" t="n"/>
      <c r="M103" s="63" t="n"/>
      <c r="N103" s="63" t="n"/>
      <c r="O103" s="66" t="n">
        <v>2666664</v>
      </c>
      <c r="P103" s="55" t="n">
        <v>0</v>
      </c>
      <c r="Q103" s="55" t="n">
        <v>0</v>
      </c>
      <c r="R103" s="65" t="n">
        <v>2666664</v>
      </c>
      <c r="S103" s="65" t="inlineStr">
        <is>
          <t>enero 2025</t>
        </is>
      </c>
      <c r="T103" s="55" t="inlineStr">
        <is>
          <t>7119</t>
        </is>
      </c>
      <c r="U103" s="63" t="n"/>
      <c r="V103" s="63" t="n"/>
      <c r="W103" s="55" t="n"/>
      <c r="X103" s="55" t="n"/>
      <c r="Y103" s="55" t="n"/>
      <c r="Z103" s="63" t="n"/>
    </row>
    <row r="104">
      <c r="A104" s="64" t="n">
        <v>101</v>
      </c>
      <c r="B104" s="55" t="inlineStr">
        <is>
          <t>PC QUICK SAS</t>
        </is>
      </c>
      <c r="C104" s="55" t="n"/>
      <c r="D104" s="65" t="inlineStr">
        <is>
          <t>IT</t>
        </is>
      </c>
      <c r="E104" s="65" t="n"/>
      <c r="F104" s="65" t="inlineStr">
        <is>
          <t>Insumos y perifericos</t>
        </is>
      </c>
      <c r="G104" s="65" t="n"/>
      <c r="H104" s="65" t="inlineStr">
        <is>
          <t>Variable</t>
        </is>
      </c>
      <c r="I104" s="55" t="inlineStr">
        <is>
          <t>TECLADO PC LORENA AMAYA % EQUIPO DE BACKUP</t>
        </is>
      </c>
      <c r="J104" s="55" t="inlineStr">
        <is>
          <t>Transversal</t>
        </is>
      </c>
      <c r="K104" s="55" t="inlineStr">
        <is>
          <t>PFE9745</t>
        </is>
      </c>
      <c r="L104" s="63" t="n"/>
      <c r="M104" s="63" t="n"/>
      <c r="N104" s="63" t="n"/>
      <c r="O104" s="66" t="n">
        <v>1166200</v>
      </c>
      <c r="P104" s="55" t="n">
        <v>0</v>
      </c>
      <c r="Q104" s="55" t="n">
        <v>0</v>
      </c>
      <c r="R104" s="65" t="n">
        <v>1166200</v>
      </c>
      <c r="S104" s="65" t="inlineStr">
        <is>
          <t>enero 2025</t>
        </is>
      </c>
      <c r="T104" s="55" t="inlineStr">
        <is>
          <t>7123</t>
        </is>
      </c>
      <c r="U104" s="63" t="n"/>
      <c r="V104" s="63" t="n"/>
      <c r="W104" s="55" t="n"/>
      <c r="X104" s="55" t="n"/>
      <c r="Y104" s="55" t="n"/>
      <c r="Z104" s="63" t="n"/>
    </row>
    <row r="105">
      <c r="A105" s="64" t="n">
        <v>102</v>
      </c>
      <c r="B105" s="55" t="inlineStr">
        <is>
          <t>EDIFICIO CAPITAL TOWERS PROPIEDAD HORIZONTAL</t>
        </is>
      </c>
      <c r="C105" s="55" t="n"/>
      <c r="D105" s="65" t="inlineStr">
        <is>
          <t>ADM</t>
        </is>
      </c>
      <c r="E105" s="65" t="n"/>
      <c r="F105" s="65" t="inlineStr">
        <is>
          <t>Agua</t>
        </is>
      </c>
      <c r="G105" s="65" t="n"/>
      <c r="H105" s="65" t="inlineStr">
        <is>
          <t>Fijo</t>
        </is>
      </c>
      <c r="I105" s="55" t="inlineStr">
        <is>
          <t>RECOBRO SERVICIOS PUBLICOS CRAFT BOGOTA</t>
        </is>
      </c>
      <c r="J105" s="55" t="inlineStr">
        <is>
          <t>Calle 100</t>
        </is>
      </c>
      <c r="K105" s="55" t="inlineStr">
        <is>
          <t>FE9796</t>
        </is>
      </c>
      <c r="L105" s="63" t="n"/>
      <c r="M105" s="63" t="n"/>
      <c r="N105" s="63" t="n"/>
      <c r="O105" s="66" t="n">
        <v>906599</v>
      </c>
      <c r="P105" s="55" t="n">
        <v>0</v>
      </c>
      <c r="Q105" s="55" t="n">
        <v>0</v>
      </c>
      <c r="R105" s="65" t="n">
        <v>906599</v>
      </c>
      <c r="S105" s="65" t="inlineStr">
        <is>
          <t>enero 2025</t>
        </is>
      </c>
      <c r="T105" s="55" t="inlineStr">
        <is>
          <t>7111</t>
        </is>
      </c>
      <c r="U105" s="63" t="n"/>
      <c r="V105" s="63" t="n"/>
      <c r="W105" s="55" t="n"/>
      <c r="X105" s="55" t="n"/>
      <c r="Y105" s="55" t="n"/>
      <c r="Z105" s="63" t="n"/>
    </row>
    <row r="106">
      <c r="A106" s="64" t="n">
        <v>103</v>
      </c>
      <c r="B106" s="55" t="inlineStr">
        <is>
          <t>MULTICOPY JV ZOMAC SAS</t>
        </is>
      </c>
      <c r="C106" s="55" t="n"/>
      <c r="D106" s="65" t="inlineStr">
        <is>
          <t>IT</t>
        </is>
      </c>
      <c r="E106" s="65" t="n"/>
      <c r="F106" s="65" t="inlineStr">
        <is>
          <t>Conservacion Y Manutenimiento De Oficina</t>
        </is>
      </c>
      <c r="G106" s="65" t="n"/>
      <c r="H106" s="65" t="n"/>
      <c r="I106" s="55" t="inlineStr">
        <is>
          <t>ALQUILER IMPRESORA CRAFT BUENAVENTURA</t>
        </is>
      </c>
      <c r="J106" s="55" t="inlineStr">
        <is>
          <t>Buenaventura</t>
        </is>
      </c>
      <c r="K106" s="55" t="inlineStr">
        <is>
          <t>FEMC9363</t>
        </is>
      </c>
      <c r="L106" s="63" t="n"/>
      <c r="M106" s="63" t="n"/>
      <c r="N106" s="63" t="n"/>
      <c r="O106" s="66" t="n">
        <v>254548</v>
      </c>
      <c r="P106" s="55" t="n">
        <v>0</v>
      </c>
      <c r="Q106" s="55" t="n">
        <v>0</v>
      </c>
      <c r="R106" s="65" t="n">
        <v>254548</v>
      </c>
      <c r="S106" s="65" t="inlineStr">
        <is>
          <t>enero 2025</t>
        </is>
      </c>
      <c r="T106" s="55" t="inlineStr">
        <is>
          <t>22</t>
        </is>
      </c>
      <c r="U106" s="63" t="n"/>
      <c r="V106" s="63" t="n"/>
      <c r="W106" s="55" t="n"/>
      <c r="X106" s="55" t="n"/>
      <c r="Y106" s="55" t="n"/>
      <c r="Z106" s="63" t="n"/>
    </row>
    <row r="107">
      <c r="A107" s="64" t="n">
        <v>104</v>
      </c>
      <c r="B107" s="55" t="inlineStr">
        <is>
          <t>IFX NETWORKS COLOMBIA S.A.S.</t>
        </is>
      </c>
      <c r="C107" s="55" t="n"/>
      <c r="D107" s="65" t="inlineStr">
        <is>
          <t>IT</t>
        </is>
      </c>
      <c r="E107" s="65" t="n"/>
      <c r="F107" s="65" t="inlineStr">
        <is>
          <t>Internet oficinas</t>
        </is>
      </c>
      <c r="G107" s="65" t="n"/>
      <c r="H107" s="65" t="inlineStr">
        <is>
          <t>Fijo</t>
        </is>
      </c>
      <c r="I107" s="55" t="inlineStr">
        <is>
          <t>SERVICO DE INTERNET EN TODAS LAS SUCURSALES</t>
        </is>
      </c>
      <c r="J107" s="55" t="inlineStr">
        <is>
          <t>Transversal</t>
        </is>
      </c>
      <c r="K107" s="55" t="inlineStr">
        <is>
          <t>IFXC452773</t>
        </is>
      </c>
      <c r="L107" s="63" t="n"/>
      <c r="M107" s="63" t="n"/>
      <c r="N107" s="63" t="n"/>
      <c r="O107" s="66" t="n">
        <v>11618595</v>
      </c>
      <c r="P107" s="55" t="n">
        <v>0</v>
      </c>
      <c r="Q107" s="55" t="n">
        <v>0</v>
      </c>
      <c r="R107" s="65" t="n">
        <v>11618595</v>
      </c>
      <c r="S107" s="65" t="inlineStr">
        <is>
          <t>febrero 2025</t>
        </is>
      </c>
      <c r="T107" s="55" t="inlineStr">
        <is>
          <t>1685</t>
        </is>
      </c>
      <c r="U107" s="63" t="n"/>
      <c r="V107" s="63" t="n"/>
      <c r="W107" s="55" t="n"/>
      <c r="X107" s="55" t="n"/>
      <c r="Y107" s="55" t="n"/>
      <c r="Z107" s="63" t="n"/>
    </row>
    <row r="108">
      <c r="A108" s="64" t="n">
        <v>105</v>
      </c>
      <c r="B108" s="55" t="inlineStr">
        <is>
          <t>IFX NETWORKS COLOMBIA S.A.S.</t>
        </is>
      </c>
      <c r="C108" s="55" t="n"/>
      <c r="D108" s="65" t="inlineStr">
        <is>
          <t>IT</t>
        </is>
      </c>
      <c r="E108" s="65" t="n"/>
      <c r="F108" s="65" t="inlineStr">
        <is>
          <t>Internet oficinas</t>
        </is>
      </c>
      <c r="G108" s="65" t="n"/>
      <c r="H108" s="65" t="inlineStr">
        <is>
          <t>Fijo</t>
        </is>
      </c>
      <c r="I108" s="55" t="inlineStr">
        <is>
          <t>SERVICIO SD WAN</t>
        </is>
      </c>
      <c r="J108" s="55" t="inlineStr">
        <is>
          <t>Transversal</t>
        </is>
      </c>
      <c r="K108" s="55" t="inlineStr">
        <is>
          <t>IFXC452769</t>
        </is>
      </c>
      <c r="L108" s="63" t="n"/>
      <c r="M108" s="63" t="n"/>
      <c r="N108" s="63" t="n"/>
      <c r="O108" s="66" t="n">
        <v>3488538</v>
      </c>
      <c r="P108" s="55" t="n">
        <v>0</v>
      </c>
      <c r="Q108" s="55" t="n">
        <v>0</v>
      </c>
      <c r="R108" s="65" t="n">
        <v>3488538</v>
      </c>
      <c r="S108" s="65" t="inlineStr">
        <is>
          <t>febrero 2025</t>
        </is>
      </c>
      <c r="T108" s="55" t="inlineStr">
        <is>
          <t>1693</t>
        </is>
      </c>
      <c r="U108" s="63" t="n"/>
      <c r="V108" s="63" t="n"/>
      <c r="W108" s="55" t="n"/>
      <c r="X108" s="55" t="n"/>
      <c r="Y108" s="55" t="n"/>
      <c r="Z108" s="63" t="n"/>
    </row>
    <row r="109">
      <c r="A109" s="64" t="n">
        <v>106</v>
      </c>
      <c r="B109" s="55" t="inlineStr">
        <is>
          <t>EPM MEDELLIN</t>
        </is>
      </c>
      <c r="C109" s="55" t="n"/>
      <c r="D109" s="65" t="inlineStr">
        <is>
          <t>ADM</t>
        </is>
      </c>
      <c r="E109" s="65" t="n"/>
      <c r="F109" s="65" t="inlineStr">
        <is>
          <t>Agua</t>
        </is>
      </c>
      <c r="G109" s="65" t="n"/>
      <c r="H109" s="65" t="inlineStr">
        <is>
          <t>Fijo</t>
        </is>
      </c>
      <c r="I109" s="55" t="inlineStr">
        <is>
          <t>SERVICOS PUBLICOS CRAFT MEDELLIN</t>
        </is>
      </c>
      <c r="J109" s="55" t="inlineStr">
        <is>
          <t>Medellín</t>
        </is>
      </c>
      <c r="K109" s="55" t="inlineStr">
        <is>
          <t>DEE39136990</t>
        </is>
      </c>
      <c r="L109" s="63" t="n"/>
      <c r="M109" s="63" t="n"/>
      <c r="N109" s="63" t="n"/>
      <c r="O109" s="66" t="n">
        <v>348371</v>
      </c>
      <c r="P109" s="55" t="n">
        <v>0</v>
      </c>
      <c r="Q109" s="55" t="n">
        <v>0</v>
      </c>
      <c r="R109" s="65" t="n">
        <v>348371</v>
      </c>
      <c r="S109" s="65" t="inlineStr">
        <is>
          <t>febrero 2025</t>
        </is>
      </c>
      <c r="T109" s="55" t="inlineStr">
        <is>
          <t>37</t>
        </is>
      </c>
      <c r="U109" s="63" t="n"/>
      <c r="V109" s="63" t="n"/>
      <c r="W109" s="55" t="n"/>
      <c r="X109" s="55" t="n"/>
      <c r="Y109" s="55" t="n"/>
      <c r="Z109" s="63" t="n"/>
    </row>
    <row r="110">
      <c r="A110" s="64" t="n">
        <v>107</v>
      </c>
      <c r="B110" s="55" t="inlineStr">
        <is>
          <t>TIGO</t>
        </is>
      </c>
      <c r="C110" s="55" t="n"/>
      <c r="D110" s="65" t="inlineStr">
        <is>
          <t>IT</t>
        </is>
      </c>
      <c r="E110" s="65" t="n"/>
      <c r="F110" s="65" t="inlineStr">
        <is>
          <t>Internet oficinas</t>
        </is>
      </c>
      <c r="G110" s="65" t="n"/>
      <c r="H110" s="65" t="inlineStr">
        <is>
          <t>Fijo</t>
        </is>
      </c>
      <c r="I110" s="55" t="inlineStr">
        <is>
          <t>SERVICIO INTERNET CRAFT MEDELLIN</t>
        </is>
      </c>
      <c r="J110" s="55" t="inlineStr">
        <is>
          <t>Medellín</t>
        </is>
      </c>
      <c r="K110" s="55" t="inlineStr">
        <is>
          <t>BOPU130102182</t>
        </is>
      </c>
      <c r="L110" s="63" t="n"/>
      <c r="M110" s="63" t="n"/>
      <c r="N110" s="63" t="n"/>
      <c r="O110" s="66" t="n">
        <v>143404</v>
      </c>
      <c r="P110" s="55" t="n">
        <v>0</v>
      </c>
      <c r="Q110" s="55" t="n">
        <v>0</v>
      </c>
      <c r="R110" s="65" t="n">
        <v>143404</v>
      </c>
      <c r="S110" s="65" t="inlineStr">
        <is>
          <t>enero 2025</t>
        </is>
      </c>
      <c r="T110" s="55" t="inlineStr">
        <is>
          <t>58</t>
        </is>
      </c>
      <c r="U110" s="63" t="n"/>
      <c r="V110" s="63" t="n"/>
      <c r="W110" s="55" t="n"/>
      <c r="X110" s="55" t="n"/>
      <c r="Y110" s="55" t="n"/>
      <c r="Z110" s="63" t="n"/>
    </row>
    <row r="111">
      <c r="A111" s="64" t="n">
        <v>108</v>
      </c>
      <c r="B111" s="55" t="inlineStr">
        <is>
          <t>TIGO</t>
        </is>
      </c>
      <c r="C111" s="55" t="n"/>
      <c r="D111" s="65" t="inlineStr">
        <is>
          <t>ADM</t>
        </is>
      </c>
      <c r="E111" s="65" t="n"/>
      <c r="F111" s="65" t="inlineStr">
        <is>
          <t>Telefono fijo</t>
        </is>
      </c>
      <c r="G111" s="65" t="n"/>
      <c r="H111" s="65" t="inlineStr">
        <is>
          <t>Fijo</t>
        </is>
      </c>
      <c r="I111" s="55" t="inlineStr">
        <is>
          <t>SERVICIO NUMERO UNICO CRAFT MEDELLIN</t>
        </is>
      </c>
      <c r="J111" s="55" t="inlineStr">
        <is>
          <t>Medellín</t>
        </is>
      </c>
      <c r="K111" s="55" t="inlineStr">
        <is>
          <t>BOPU130091325</t>
        </is>
      </c>
      <c r="L111" s="63" t="n"/>
      <c r="M111" s="63" t="n"/>
      <c r="N111" s="63" t="n"/>
      <c r="O111" s="66" t="n">
        <v>27351</v>
      </c>
      <c r="P111" s="55" t="n">
        <v>0</v>
      </c>
      <c r="Q111" s="55" t="n">
        <v>0</v>
      </c>
      <c r="R111" s="65" t="n">
        <v>27351</v>
      </c>
      <c r="S111" s="65" t="inlineStr">
        <is>
          <t>enero 2025</t>
        </is>
      </c>
      <c r="T111" s="55" t="inlineStr">
        <is>
          <t>59</t>
        </is>
      </c>
      <c r="U111" s="63" t="n"/>
      <c r="V111" s="63" t="n"/>
      <c r="W111" s="55" t="n"/>
      <c r="X111" s="55" t="n"/>
      <c r="Y111" s="55" t="n"/>
      <c r="Z111" s="63" t="n"/>
    </row>
    <row r="112">
      <c r="A112" s="64" t="n">
        <v>109</v>
      </c>
      <c r="B112" s="55" t="inlineStr">
        <is>
          <t>SERVICIO TELEFONIA FIJA CRAFT MEDELLIN</t>
        </is>
      </c>
      <c r="C112" s="55" t="n"/>
      <c r="D112" s="65" t="inlineStr">
        <is>
          <t>ADM</t>
        </is>
      </c>
      <c r="E112" s="65" t="n"/>
      <c r="F112" s="65" t="inlineStr">
        <is>
          <t>Telefono fijo</t>
        </is>
      </c>
      <c r="G112" s="65" t="n"/>
      <c r="H112" s="65" t="n"/>
      <c r="I112" s="55" t="inlineStr">
        <is>
          <t>SERVICIO TELEFONO FIJO CRAFT MEDELLIN</t>
        </is>
      </c>
      <c r="J112" s="55" t="inlineStr">
        <is>
          <t>Medellín</t>
        </is>
      </c>
      <c r="K112" s="55" t="inlineStr">
        <is>
          <t>BOPU130146802</t>
        </is>
      </c>
      <c r="L112" s="63" t="n"/>
      <c r="M112" s="63" t="n"/>
      <c r="N112" s="63" t="n"/>
      <c r="O112" s="66" t="n">
        <v>115030</v>
      </c>
      <c r="P112" s="55" t="n">
        <v>0</v>
      </c>
      <c r="Q112" s="55" t="n">
        <v>0</v>
      </c>
      <c r="R112" s="65" t="n">
        <v>115030</v>
      </c>
      <c r="S112" s="65" t="inlineStr">
        <is>
          <t>enero 2025</t>
        </is>
      </c>
      <c r="T112" s="55" t="inlineStr">
        <is>
          <t>60</t>
        </is>
      </c>
      <c r="U112" s="63" t="n"/>
      <c r="V112" s="63" t="n"/>
      <c r="W112" s="55" t="n"/>
      <c r="X112" s="55" t="n"/>
      <c r="Y112" s="55" t="n"/>
      <c r="Z112" s="63" t="n"/>
    </row>
    <row r="113">
      <c r="A113" s="64" t="n">
        <v>110</v>
      </c>
      <c r="B113" s="55" t="inlineStr">
        <is>
          <t>ASTURIAS SOLUCIONES DE INGENIERIA BUCEO COMERCIAL Y DRAGADO SAS</t>
        </is>
      </c>
      <c r="C113" s="55" t="n"/>
      <c r="D113" s="65" t="inlineStr">
        <is>
          <t>ADM</t>
        </is>
      </c>
      <c r="E113" s="65" t="n"/>
      <c r="F113" s="65" t="inlineStr">
        <is>
          <t>Administración</t>
        </is>
      </c>
      <c r="G113" s="65" t="n"/>
      <c r="H113" s="65" t="inlineStr">
        <is>
          <t>Fijo</t>
        </is>
      </c>
      <c r="I113" s="55" t="inlineStr">
        <is>
          <t>CUOTA ADMINISTRCION OF 501 CRAFT BUENAVENTURA</t>
        </is>
      </c>
      <c r="J113" s="55" t="inlineStr">
        <is>
          <t>Buenaventura</t>
        </is>
      </c>
      <c r="K113" s="55" t="inlineStr">
        <is>
          <t>FVEL2732</t>
        </is>
      </c>
      <c r="L113" s="63" t="n"/>
      <c r="M113" s="63" t="n"/>
      <c r="N113" s="63" t="n"/>
      <c r="O113" s="66" t="n">
        <v>680090</v>
      </c>
      <c r="P113" s="55" t="n">
        <v>0</v>
      </c>
      <c r="Q113" s="55" t="n">
        <v>0</v>
      </c>
      <c r="R113" s="65" t="n">
        <v>680090</v>
      </c>
      <c r="S113" s="65" t="inlineStr">
        <is>
          <t>febrero 2025</t>
        </is>
      </c>
      <c r="T113" s="55" t="inlineStr">
        <is>
          <t>6</t>
        </is>
      </c>
      <c r="U113" s="63" t="n"/>
      <c r="V113" s="63" t="n"/>
      <c r="W113" s="55" t="n"/>
      <c r="X113" s="55" t="n"/>
      <c r="Y113" s="55" t="n"/>
      <c r="Z113" s="63" t="n"/>
    </row>
    <row r="114">
      <c r="A114" s="64" t="n">
        <v>111</v>
      </c>
      <c r="B114" s="55" t="inlineStr">
        <is>
          <t>ASTURIAS SOLUCIONES DE INGENIERIA BUCEO COMERCIAL Y DRAGADO SAS</t>
        </is>
      </c>
      <c r="C114" s="55" t="n"/>
      <c r="D114" s="65" t="n"/>
      <c r="E114" s="65" t="n"/>
      <c r="F114" s="65" t="n"/>
      <c r="G114" s="65" t="n"/>
      <c r="H114" s="65" t="n"/>
      <c r="I114" s="55" t="inlineStr">
        <is>
          <t>ALQUILER OFICINA 501 SUC CRAFT BUENAVENTURA</t>
        </is>
      </c>
      <c r="J114" s="55" t="n"/>
      <c r="K114" s="55" t="inlineStr">
        <is>
          <t>FVEL2728</t>
        </is>
      </c>
      <c r="L114" s="63" t="n"/>
      <c r="M114" s="63" t="n"/>
      <c r="N114" s="63" t="n"/>
      <c r="O114" s="66" t="n">
        <v>6716906</v>
      </c>
      <c r="P114" s="55" t="n">
        <v>0</v>
      </c>
      <c r="Q114" s="55" t="n">
        <v>0</v>
      </c>
      <c r="R114" s="65" t="n">
        <v>6716906</v>
      </c>
      <c r="S114" s="65" t="inlineStr">
        <is>
          <t>febrero 2025</t>
        </is>
      </c>
      <c r="T114" s="55" t="n"/>
      <c r="U114" s="63" t="n"/>
      <c r="V114" s="63" t="n"/>
      <c r="W114" s="55" t="n"/>
      <c r="X114" s="55" t="n"/>
      <c r="Y114" s="55" t="n"/>
      <c r="Z114" s="63" t="n"/>
    </row>
    <row r="115">
      <c r="A115" s="64" t="n">
        <v>112</v>
      </c>
      <c r="B115" s="55" t="inlineStr">
        <is>
          <t>JCO INVERSIONES S.A.S</t>
        </is>
      </c>
      <c r="C115" s="55" t="n"/>
      <c r="D115" s="65" t="inlineStr">
        <is>
          <t>ADM</t>
        </is>
      </c>
      <c r="E115" s="65" t="n"/>
      <c r="F115" s="65" t="inlineStr">
        <is>
          <t>Parqueaderos</t>
        </is>
      </c>
      <c r="G115" s="65" t="n"/>
      <c r="H115" s="65" t="inlineStr">
        <is>
          <t>Fijo</t>
        </is>
      </c>
      <c r="I115" s="55" t="inlineStr">
        <is>
          <t>CANON ARRENDAMIENTO 2 ESPACIOS DE PARQUEADERO CRAFT BOGOTA</t>
        </is>
      </c>
      <c r="J115" s="55" t="inlineStr">
        <is>
          <t>Calle 100</t>
        </is>
      </c>
      <c r="K115" s="55" t="inlineStr">
        <is>
          <t>693740</t>
        </is>
      </c>
      <c r="L115" s="63" t="n"/>
      <c r="M115" s="63" t="n"/>
      <c r="N115" s="63" t="n"/>
      <c r="O115" s="66" t="n">
        <v>711870</v>
      </c>
      <c r="P115" s="55" t="n">
        <v>0</v>
      </c>
      <c r="Q115" s="55" t="n">
        <v>0</v>
      </c>
      <c r="R115" s="65" t="n">
        <v>711870</v>
      </c>
      <c r="S115" s="65" t="inlineStr">
        <is>
          <t>febrero 2025</t>
        </is>
      </c>
      <c r="T115" s="55" t="inlineStr">
        <is>
          <t>622</t>
        </is>
      </c>
      <c r="U115" s="63" t="n"/>
      <c r="V115" s="63" t="n"/>
      <c r="W115" s="55" t="n"/>
      <c r="X115" s="55" t="n"/>
      <c r="Y115" s="55" t="n"/>
      <c r="Z115" s="63" t="n"/>
    </row>
    <row r="116">
      <c r="A116" s="64" t="n">
        <v>113</v>
      </c>
      <c r="B116" s="55" t="inlineStr">
        <is>
          <t>SUMAR INVERSIONES Y PROYECTOS S.A.S.</t>
        </is>
      </c>
      <c r="C116" s="55" t="n"/>
      <c r="D116" s="65" t="inlineStr">
        <is>
          <t>ADM</t>
        </is>
      </c>
      <c r="E116" s="65" t="n"/>
      <c r="F116" s="65" t="inlineStr">
        <is>
          <t>Arriendos</t>
        </is>
      </c>
      <c r="G116" s="65" t="n"/>
      <c r="H116" s="65" t="inlineStr">
        <is>
          <t>Fijo</t>
        </is>
      </c>
      <c r="I116" s="55" t="inlineStr">
        <is>
          <t>CANON DE ARRENDAMIENTO Y ADMON CRAFT CALI</t>
        </is>
      </c>
      <c r="J116" s="55" t="inlineStr">
        <is>
          <t>Cali</t>
        </is>
      </c>
      <c r="K116" s="55" t="inlineStr">
        <is>
          <t>FESU255</t>
        </is>
      </c>
      <c r="L116" s="63" t="n"/>
      <c r="M116" s="63" t="n"/>
      <c r="N116" s="63" t="n"/>
      <c r="O116" s="66" t="n">
        <v>5310474</v>
      </c>
      <c r="P116" s="55" t="n">
        <v>0</v>
      </c>
      <c r="Q116" s="55" t="n">
        <v>0</v>
      </c>
      <c r="R116" s="65" t="n">
        <v>5310474</v>
      </c>
      <c r="S116" s="65" t="inlineStr">
        <is>
          <t>febrero 2025</t>
        </is>
      </c>
      <c r="T116" s="55" t="inlineStr">
        <is>
          <t>1</t>
        </is>
      </c>
      <c r="U116" s="63" t="n"/>
      <c r="V116" s="63" t="n"/>
      <c r="W116" s="55" t="n"/>
      <c r="X116" s="55" t="n"/>
      <c r="Y116" s="55" t="n"/>
      <c r="Z116" s="63" t="n"/>
    </row>
    <row r="117">
      <c r="A117" s="64" t="n">
        <v>114</v>
      </c>
      <c r="B117" s="55" t="inlineStr">
        <is>
          <t>LI STORAGE SAS</t>
        </is>
      </c>
      <c r="C117" s="55" t="n"/>
      <c r="D117" s="65" t="inlineStr">
        <is>
          <t>ADM</t>
        </is>
      </c>
      <c r="E117" s="65" t="n"/>
      <c r="F117" s="65" t="inlineStr">
        <is>
          <t>Bodegas</t>
        </is>
      </c>
      <c r="G117" s="65" t="n"/>
      <c r="H117" s="65" t="inlineStr">
        <is>
          <t>Fijo</t>
        </is>
      </c>
      <c r="I117" s="55" t="inlineStr">
        <is>
          <t>ALMACENAMIENTO EN BODEGA  CRAFT BOGOTA</t>
        </is>
      </c>
      <c r="J117" s="55" t="inlineStr">
        <is>
          <t>Transversal</t>
        </is>
      </c>
      <c r="K117" s="55" t="inlineStr">
        <is>
          <t>FE5211</t>
        </is>
      </c>
      <c r="L117" s="63" t="n"/>
      <c r="M117" s="63" t="n"/>
      <c r="N117" s="63" t="n"/>
      <c r="O117" s="66" t="n">
        <v>654500</v>
      </c>
      <c r="P117" s="55" t="n">
        <v>0</v>
      </c>
      <c r="Q117" s="55" t="n">
        <v>0</v>
      </c>
      <c r="R117" s="65" t="n">
        <v>654500</v>
      </c>
      <c r="S117" s="65" t="inlineStr">
        <is>
          <t>febrero 2025</t>
        </is>
      </c>
      <c r="T117" s="55" t="inlineStr">
        <is>
          <t>627</t>
        </is>
      </c>
      <c r="U117" s="63" t="n"/>
      <c r="V117" s="63" t="n"/>
      <c r="W117" s="55" t="n"/>
      <c r="X117" s="55" t="n"/>
      <c r="Y117" s="55" t="n"/>
      <c r="Z117" s="63" t="n"/>
    </row>
    <row r="118">
      <c r="A118" s="64" t="n">
        <v>115</v>
      </c>
      <c r="B118" s="55" t="inlineStr">
        <is>
          <t>CONTRATOS Y FIANZAS DE ARRENDAMIENTO S.A.S.</t>
        </is>
      </c>
      <c r="C118" s="55" t="n"/>
      <c r="D118" s="65" t="inlineStr">
        <is>
          <t>ADM</t>
        </is>
      </c>
      <c r="E118" s="65" t="n"/>
      <c r="F118" s="65" t="inlineStr">
        <is>
          <t>Arriendos</t>
        </is>
      </c>
      <c r="G118" s="65" t="n"/>
      <c r="H118" s="65" t="inlineStr">
        <is>
          <t>Fijo</t>
        </is>
      </c>
      <c r="I118" s="55" t="inlineStr">
        <is>
          <t>CANON DE ARRENDAMIENTO CRAFT MEDELLIN</t>
        </is>
      </c>
      <c r="J118" s="55" t="inlineStr">
        <is>
          <t>Medellín</t>
        </is>
      </c>
      <c r="K118" s="55" t="inlineStr">
        <is>
          <t>FE579903</t>
        </is>
      </c>
      <c r="L118" s="63" t="n"/>
      <c r="M118" s="63" t="n"/>
      <c r="N118" s="63" t="n"/>
      <c r="O118" s="66" t="n">
        <v>6682717</v>
      </c>
      <c r="P118" s="55" t="n">
        <v>0</v>
      </c>
      <c r="Q118" s="55" t="n">
        <v>0</v>
      </c>
      <c r="R118" s="65" t="n">
        <v>6682717</v>
      </c>
      <c r="S118" s="65" t="inlineStr">
        <is>
          <t>febrero 2025</t>
        </is>
      </c>
      <c r="T118" s="55" t="inlineStr">
        <is>
          <t>10</t>
        </is>
      </c>
      <c r="U118" s="63" t="n"/>
      <c r="V118" s="63" t="n"/>
      <c r="W118" s="55" t="n"/>
      <c r="X118" s="55" t="n"/>
      <c r="Y118" s="55" t="n"/>
      <c r="Z118" s="63" t="n"/>
    </row>
    <row r="119">
      <c r="A119" s="64" t="n">
        <v>116</v>
      </c>
      <c r="B119" s="55" t="inlineStr">
        <is>
          <t>PORTUS GLOBAL SAS</t>
        </is>
      </c>
      <c r="C119" s="55" t="n"/>
      <c r="D119" s="65" t="inlineStr">
        <is>
          <t>ADM</t>
        </is>
      </c>
      <c r="E119" s="65" t="n"/>
      <c r="F119" s="65" t="inlineStr">
        <is>
          <t>Arriendos</t>
        </is>
      </c>
      <c r="G119" s="65" t="n"/>
      <c r="H119" s="65" t="inlineStr">
        <is>
          <t>Fijo</t>
        </is>
      </c>
      <c r="I119" s="55" t="inlineStr">
        <is>
          <t>CANON DE ARRENDAMIENTO OF 1502 SUC CRAFT CARTAGENA</t>
        </is>
      </c>
      <c r="J119" s="55" t="inlineStr">
        <is>
          <t>Cartagena</t>
        </is>
      </c>
      <c r="K119" s="55" t="inlineStr">
        <is>
          <t>717</t>
        </is>
      </c>
      <c r="L119" s="63" t="n"/>
      <c r="M119" s="63" t="n"/>
      <c r="N119" s="63" t="n"/>
      <c r="O119" s="66" t="n">
        <v>8477869</v>
      </c>
      <c r="P119" s="55" t="n">
        <v>0</v>
      </c>
      <c r="Q119" s="55" t="n">
        <v>0</v>
      </c>
      <c r="R119" s="65" t="n">
        <v>8477869</v>
      </c>
      <c r="S119" s="65" t="inlineStr">
        <is>
          <t>febrero 2025</t>
        </is>
      </c>
      <c r="T119" s="55" t="inlineStr">
        <is>
          <t>4</t>
        </is>
      </c>
      <c r="U119" s="63" t="n"/>
      <c r="V119" s="63" t="n"/>
      <c r="W119" s="55" t="n"/>
      <c r="X119" s="55" t="n"/>
      <c r="Y119" s="55" t="n"/>
      <c r="Z119" s="63" t="n"/>
    </row>
    <row r="120">
      <c r="A120" s="64" t="n">
        <v>117</v>
      </c>
      <c r="B120" s="55" t="inlineStr">
        <is>
          <t>ASTURIAS SOLUCIONES DE INGENIERIA BUCEO COMERCIAL Y DRAGADO SAS</t>
        </is>
      </c>
      <c r="C120" s="55" t="n"/>
      <c r="D120" s="65" t="n"/>
      <c r="E120" s="65" t="n"/>
      <c r="F120" s="65" t="n"/>
      <c r="G120" s="65" t="n"/>
      <c r="H120" s="65" t="n"/>
      <c r="I120" s="55" t="inlineStr">
        <is>
          <t>NC AFECTA FACTURA FVEL2728</t>
        </is>
      </c>
      <c r="J120" s="55" t="n"/>
      <c r="K120" s="55" t="inlineStr">
        <is>
          <t>NC1331</t>
        </is>
      </c>
      <c r="L120" s="63" t="n"/>
      <c r="M120" s="63" t="n"/>
      <c r="N120" s="63" t="n"/>
      <c r="O120" s="66" t="n">
        <v>6716906</v>
      </c>
      <c r="P120" s="55" t="n">
        <v>0</v>
      </c>
      <c r="Q120" s="55" t="n">
        <v>0</v>
      </c>
      <c r="R120" s="65" t="n">
        <v>6716906</v>
      </c>
      <c r="S120" s="65" t="inlineStr">
        <is>
          <t>febrero 2025</t>
        </is>
      </c>
      <c r="T120" s="55" t="n"/>
      <c r="U120" s="63" t="n"/>
      <c r="V120" s="63" t="n"/>
      <c r="W120" s="55" t="n"/>
      <c r="X120" s="55" t="n"/>
      <c r="Y120" s="55" t="n"/>
      <c r="Z120" s="63" t="n"/>
    </row>
    <row r="121">
      <c r="A121" s="64" t="n">
        <v>118</v>
      </c>
      <c r="B121" s="55" t="inlineStr">
        <is>
          <t>COMPUASOCIADOS</t>
        </is>
      </c>
      <c r="C121" s="55" t="n"/>
      <c r="D121" s="65" t="inlineStr">
        <is>
          <t>IT</t>
        </is>
      </c>
      <c r="E121" s="65" t="n"/>
      <c r="F121" s="65" t="inlineStr">
        <is>
          <t>Conservacion Y Manutenimiento De Oficina</t>
        </is>
      </c>
      <c r="G121" s="65" t="n"/>
      <c r="H121" s="65" t="inlineStr">
        <is>
          <t>Fijo</t>
        </is>
      </c>
      <c r="I121" s="55" t="inlineStr">
        <is>
          <t>SOPORTE TECNICO IT EQUPOS CCTV E IMPRESORA EN CRAFT BUENAVENTURA</t>
        </is>
      </c>
      <c r="J121" s="55" t="inlineStr">
        <is>
          <t>Buenaventura</t>
        </is>
      </c>
      <c r="K121" s="55" t="inlineStr">
        <is>
          <t>3797</t>
        </is>
      </c>
      <c r="L121" s="63" t="n"/>
      <c r="M121" s="63" t="n"/>
      <c r="N121" s="63" t="n"/>
      <c r="O121" s="66" t="n">
        <v>390000</v>
      </c>
      <c r="P121" s="55" t="n">
        <v>0</v>
      </c>
      <c r="Q121" s="55" t="n">
        <v>0</v>
      </c>
      <c r="R121" s="65" t="n">
        <v>390000</v>
      </c>
      <c r="S121" s="65" t="inlineStr">
        <is>
          <t>febrero 2025</t>
        </is>
      </c>
      <c r="T121" s="55" t="inlineStr">
        <is>
          <t>8</t>
        </is>
      </c>
      <c r="U121" s="63" t="n"/>
      <c r="V121" s="63" t="n"/>
      <c r="W121" s="55" t="n"/>
      <c r="X121" s="55" t="n"/>
      <c r="Y121" s="55" t="n"/>
      <c r="Z121" s="63" t="n"/>
    </row>
    <row r="122">
      <c r="A122" s="64" t="n">
        <v>119</v>
      </c>
      <c r="B122" s="55" t="inlineStr">
        <is>
          <t>CLARO S.A.</t>
        </is>
      </c>
      <c r="C122" s="55" t="n"/>
      <c r="D122" s="65" t="inlineStr">
        <is>
          <t>IT</t>
        </is>
      </c>
      <c r="E122" s="65" t="n"/>
      <c r="F122" s="65" t="inlineStr">
        <is>
          <t>Internet oficinas</t>
        </is>
      </c>
      <c r="G122" s="65" t="n"/>
      <c r="H122" s="65" t="inlineStr">
        <is>
          <t>Fijo</t>
        </is>
      </c>
      <c r="I122" s="55" t="inlineStr">
        <is>
          <t>SERVICIO TV, INTERNET Y TELEFONIA CRAFT CALI</t>
        </is>
      </c>
      <c r="J122" s="55" t="inlineStr">
        <is>
          <t>Cali</t>
        </is>
      </c>
      <c r="K122" s="55" t="inlineStr">
        <is>
          <t>R1139225061</t>
        </is>
      </c>
      <c r="L122" s="63" t="n"/>
      <c r="M122" s="63" t="n"/>
      <c r="N122" s="63" t="n"/>
      <c r="O122" s="66" t="n">
        <v>170501</v>
      </c>
      <c r="P122" s="55" t="n">
        <v>0</v>
      </c>
      <c r="Q122" s="55" t="n">
        <v>0</v>
      </c>
      <c r="R122" s="65" t="n">
        <v>170501</v>
      </c>
      <c r="S122" s="65" t="inlineStr">
        <is>
          <t>febrero 2025</t>
        </is>
      </c>
      <c r="T122" s="55" t="inlineStr">
        <is>
          <t>2</t>
        </is>
      </c>
      <c r="U122" s="63" t="n"/>
      <c r="V122" s="63" t="n"/>
      <c r="W122" s="55" t="n"/>
      <c r="X122" s="55" t="n"/>
      <c r="Y122" s="55" t="n"/>
      <c r="Z122" s="63" t="n"/>
    </row>
    <row r="123">
      <c r="A123" s="64" t="n">
        <v>120</v>
      </c>
      <c r="B123" s="55" t="inlineStr">
        <is>
          <t>SERVIDOMESTICAS SAS</t>
        </is>
      </c>
      <c r="C123" s="55" t="n"/>
      <c r="D123" s="65" t="inlineStr">
        <is>
          <t>ADM</t>
        </is>
      </c>
      <c r="E123" s="65" t="n"/>
      <c r="F123" s="65" t="inlineStr">
        <is>
          <t>Otros Gastos CASA LIMPIA PLANILLA AC OTROS</t>
        </is>
      </c>
      <c r="G123" s="65" t="n"/>
      <c r="H123" s="65" t="n"/>
      <c r="I123" s="55" t="inlineStr">
        <is>
          <t>LIMPIEZA OFICINA SUCURSAL CRAFT MEDELLIN</t>
        </is>
      </c>
      <c r="J123" s="55" t="inlineStr">
        <is>
          <t>Medellín</t>
        </is>
      </c>
      <c r="K123" s="55" t="inlineStr">
        <is>
          <t>VP31888</t>
        </is>
      </c>
      <c r="L123" s="63" t="n"/>
      <c r="M123" s="63" t="n"/>
      <c r="N123" s="63" t="n"/>
      <c r="O123" s="66" t="n">
        <v>1015600</v>
      </c>
      <c r="P123" s="55" t="n">
        <v>0</v>
      </c>
      <c r="Q123" s="55" t="n">
        <v>0</v>
      </c>
      <c r="R123" s="65" t="n">
        <v>1015600</v>
      </c>
      <c r="S123" s="65" t="inlineStr">
        <is>
          <t>febrero 2025</t>
        </is>
      </c>
      <c r="T123" s="55" t="inlineStr">
        <is>
          <t>11</t>
        </is>
      </c>
      <c r="U123" s="63" t="n"/>
      <c r="V123" s="63" t="n"/>
      <c r="W123" s="55" t="n"/>
      <c r="X123" s="55" t="n"/>
      <c r="Y123" s="55" t="n"/>
      <c r="Z123" s="63" t="n"/>
    </row>
    <row r="124">
      <c r="A124" s="64" t="n">
        <v>121</v>
      </c>
      <c r="B124" s="55" t="inlineStr">
        <is>
          <t>ASTURIAS SOLUCIONES DE INGENIERIA BUCEO COMERCIAL Y DRAGADO SAS</t>
        </is>
      </c>
      <c r="C124" s="55" t="n"/>
      <c r="D124" s="65" t="inlineStr">
        <is>
          <t>ADM</t>
        </is>
      </c>
      <c r="E124" s="65" t="n"/>
      <c r="F124" s="65" t="inlineStr">
        <is>
          <t>Arriendos</t>
        </is>
      </c>
      <c r="G124" s="65" t="n"/>
      <c r="H124" s="65" t="inlineStr">
        <is>
          <t>Fijo</t>
        </is>
      </c>
      <c r="I124" s="55" t="inlineStr">
        <is>
          <t>ALQUILER OFICINA 501 SUC CRAFT BUENAVENTURA</t>
        </is>
      </c>
      <c r="J124" s="55" t="inlineStr">
        <is>
          <t>Buenaventura</t>
        </is>
      </c>
      <c r="K124" s="55" t="inlineStr">
        <is>
          <t>FVEL2736</t>
        </is>
      </c>
      <c r="L124" s="63" t="n"/>
      <c r="M124" s="63" t="n"/>
      <c r="N124" s="63" t="n"/>
      <c r="O124" s="66" t="n">
        <v>7042846</v>
      </c>
      <c r="P124" s="55" t="n">
        <v>0</v>
      </c>
      <c r="Q124" s="55" t="n">
        <v>0</v>
      </c>
      <c r="R124" s="65" t="n">
        <v>7042846</v>
      </c>
      <c r="S124" s="65" t="inlineStr">
        <is>
          <t>febrero 2025</t>
        </is>
      </c>
      <c r="T124" s="55" t="inlineStr">
        <is>
          <t>7</t>
        </is>
      </c>
      <c r="U124" s="63" t="n"/>
      <c r="V124" s="63" t="n"/>
      <c r="W124" s="55" t="n"/>
      <c r="X124" s="55" t="n"/>
      <c r="Y124" s="55" t="n"/>
      <c r="Z124" s="63" t="n"/>
    </row>
    <row r="125">
      <c r="A125" s="64" t="n">
        <v>122</v>
      </c>
      <c r="B125" s="55" t="inlineStr">
        <is>
          <t>EDIFICIO TORRES DEL ATLANTICO</t>
        </is>
      </c>
      <c r="C125" s="55" t="n"/>
      <c r="D125" s="65" t="inlineStr">
        <is>
          <t>ADM</t>
        </is>
      </c>
      <c r="E125" s="65" t="n"/>
      <c r="F125" s="65" t="inlineStr">
        <is>
          <t>Administración</t>
        </is>
      </c>
      <c r="G125" s="65" t="n"/>
      <c r="H125" s="65" t="inlineStr">
        <is>
          <t>Fijo</t>
        </is>
      </c>
      <c r="I125" s="55" t="inlineStr">
        <is>
          <t>AFECTA FACTURA TDA 7390</t>
        </is>
      </c>
      <c r="J125" s="55" t="inlineStr">
        <is>
          <t>Barranquilla</t>
        </is>
      </c>
      <c r="K125" s="55" t="inlineStr">
        <is>
          <t>NCC721</t>
        </is>
      </c>
      <c r="L125" s="63" t="n"/>
      <c r="M125" s="63" t="n"/>
      <c r="N125" s="63" t="n"/>
      <c r="O125" s="66" t="n">
        <v>76151</v>
      </c>
      <c r="P125" s="55" t="n">
        <v>0</v>
      </c>
      <c r="Q125" s="55" t="n">
        <v>0</v>
      </c>
      <c r="R125" s="65" t="n">
        <v>76151</v>
      </c>
      <c r="S125" s="65" t="inlineStr">
        <is>
          <t>enero 2025</t>
        </is>
      </c>
      <c r="T125" s="55" t="inlineStr">
        <is>
          <t>7130</t>
        </is>
      </c>
      <c r="U125" s="63" t="n"/>
      <c r="V125" s="63" t="n"/>
      <c r="W125" s="55" t="n"/>
      <c r="X125" s="55" t="n"/>
      <c r="Y125" s="55" t="n"/>
      <c r="Z125" s="63" t="n"/>
    </row>
    <row r="126">
      <c r="A126" s="64" t="n">
        <v>123</v>
      </c>
      <c r="B126" s="55" t="inlineStr">
        <is>
          <t>EDIFICIO TORRES DEL ATLANTICO</t>
        </is>
      </c>
      <c r="C126" s="55" t="n"/>
      <c r="D126" s="65" t="inlineStr">
        <is>
          <t>ADM</t>
        </is>
      </c>
      <c r="E126" s="65" t="n"/>
      <c r="F126" s="65" t="inlineStr">
        <is>
          <t>Administración</t>
        </is>
      </c>
      <c r="G126" s="65" t="n"/>
      <c r="H126" s="65" t="inlineStr">
        <is>
          <t>Fijo</t>
        </is>
      </c>
      <c r="I126" s="55" t="inlineStr">
        <is>
          <t>CUOTA DE ADMINISTRACION CRAFT BARRANQUILLA</t>
        </is>
      </c>
      <c r="J126" s="55" t="inlineStr">
        <is>
          <t>Barranquilla</t>
        </is>
      </c>
      <c r="K126" s="55" t="inlineStr">
        <is>
          <t>TDA7565</t>
        </is>
      </c>
      <c r="L126" s="63" t="n"/>
      <c r="M126" s="63" t="n"/>
      <c r="N126" s="63" t="n"/>
      <c r="O126" s="66" t="n">
        <v>860510</v>
      </c>
      <c r="P126" s="55" t="n">
        <v>0</v>
      </c>
      <c r="Q126" s="55" t="n">
        <v>0</v>
      </c>
      <c r="R126" s="65" t="n">
        <v>860510</v>
      </c>
      <c r="S126" s="65" t="inlineStr">
        <is>
          <t>febrero 2025</t>
        </is>
      </c>
      <c r="T126" s="55" t="inlineStr">
        <is>
          <t>1</t>
        </is>
      </c>
      <c r="U126" s="63" t="n"/>
      <c r="V126" s="63" t="n"/>
      <c r="W126" s="55" t="n"/>
      <c r="X126" s="55" t="n"/>
      <c r="Y126" s="55" t="n"/>
      <c r="Z126" s="63" t="n"/>
    </row>
    <row r="127">
      <c r="A127" s="64" t="n">
        <v>124</v>
      </c>
      <c r="B127" s="55" t="inlineStr">
        <is>
          <t>EMCALI</t>
        </is>
      </c>
      <c r="C127" s="55" t="n"/>
      <c r="D127" s="65" t="inlineStr">
        <is>
          <t>ADM</t>
        </is>
      </c>
      <c r="E127" s="65" t="n"/>
      <c r="F127" s="65" t="inlineStr">
        <is>
          <t>Agua</t>
        </is>
      </c>
      <c r="G127" s="65" t="n"/>
      <c r="H127" s="65" t="inlineStr">
        <is>
          <t>Fijo</t>
        </is>
      </c>
      <c r="I127" s="55" t="inlineStr">
        <is>
          <t>SERVICIOS PUBLICOS CRAFT CALI</t>
        </is>
      </c>
      <c r="J127" s="55" t="inlineStr">
        <is>
          <t>Cali</t>
        </is>
      </c>
      <c r="K127" s="55" t="inlineStr">
        <is>
          <t>12472820</t>
        </is>
      </c>
      <c r="L127" s="63" t="n"/>
      <c r="M127" s="63" t="n"/>
      <c r="N127" s="63" t="n"/>
      <c r="O127" s="66" t="n">
        <v>254248</v>
      </c>
      <c r="P127" s="55" t="n">
        <v>0</v>
      </c>
      <c r="Q127" s="55" t="n">
        <v>0</v>
      </c>
      <c r="R127" s="65" t="n">
        <v>254248</v>
      </c>
      <c r="S127" s="65" t="inlineStr">
        <is>
          <t>febrero 2025</t>
        </is>
      </c>
      <c r="T127" s="55" t="inlineStr">
        <is>
          <t>3</t>
        </is>
      </c>
      <c r="U127" s="63" t="n"/>
      <c r="V127" s="63" t="n"/>
      <c r="W127" s="55" t="n"/>
      <c r="X127" s="55" t="n"/>
      <c r="Y127" s="55" t="n"/>
      <c r="Z127" s="63" t="n"/>
    </row>
    <row r="128">
      <c r="A128" s="64" t="n">
        <v>125</v>
      </c>
      <c r="B128" s="55" t="inlineStr">
        <is>
          <t>EDIFICIO CAPITAL TOWERS PROPIEDAD HORIZONTAL</t>
        </is>
      </c>
      <c r="C128" s="55" t="n"/>
      <c r="D128" s="65" t="inlineStr">
        <is>
          <t>ADM</t>
        </is>
      </c>
      <c r="E128" s="65" t="n"/>
      <c r="F128" s="65" t="inlineStr">
        <is>
          <t>Administración</t>
        </is>
      </c>
      <c r="G128" s="65" t="n"/>
      <c r="H128" s="65" t="inlineStr">
        <is>
          <t>Fijo</t>
        </is>
      </c>
      <c r="I128" s="55" t="inlineStr">
        <is>
          <t>DESCUENTO POR PRONTO PAGO ADMON CRAFT BOGOTA</t>
        </is>
      </c>
      <c r="J128" s="55" t="inlineStr">
        <is>
          <t>Calle 100</t>
        </is>
      </c>
      <c r="K128" s="55" t="inlineStr">
        <is>
          <t>CNFE1886</t>
        </is>
      </c>
      <c r="L128" s="63" t="n"/>
      <c r="M128" s="63" t="n"/>
      <c r="N128" s="63" t="n"/>
      <c r="O128" s="66" t="n">
        <v>250018</v>
      </c>
      <c r="P128" s="55" t="n">
        <v>0</v>
      </c>
      <c r="Q128" s="55" t="n">
        <v>0</v>
      </c>
      <c r="R128" s="65" t="n">
        <v>250018</v>
      </c>
      <c r="S128" s="65" t="inlineStr">
        <is>
          <t>enero 2025</t>
        </is>
      </c>
      <c r="T128" s="55" t="inlineStr">
        <is>
          <t>7135</t>
        </is>
      </c>
      <c r="U128" s="63" t="n"/>
      <c r="V128" s="63" t="n"/>
      <c r="W128" s="55" t="n"/>
      <c r="X128" s="55" t="n"/>
      <c r="Y128" s="55" t="n"/>
      <c r="Z128" s="63" t="n"/>
    </row>
    <row r="129">
      <c r="A129" s="64" t="n">
        <v>126</v>
      </c>
      <c r="B129" s="55" t="inlineStr">
        <is>
          <t>SANDRA PATRICIA ROJAS</t>
        </is>
      </c>
      <c r="C129" s="55" t="n"/>
      <c r="D129" s="65" t="inlineStr">
        <is>
          <t>ADM</t>
        </is>
      </c>
      <c r="E129" s="65" t="n"/>
      <c r="F129" s="65" t="inlineStr">
        <is>
          <t>Malote</t>
        </is>
      </c>
      <c r="G129" s="65" t="n"/>
      <c r="H129" s="65" t="inlineStr">
        <is>
          <t>Variable</t>
        </is>
      </c>
      <c r="I129" s="55" t="inlineStr">
        <is>
          <t xml:space="preserve">SERVICIOS DE MESAJERIA  </t>
        </is>
      </c>
      <c r="J129" s="55" t="inlineStr">
        <is>
          <t>Calle 100</t>
        </is>
      </c>
      <c r="K129" s="55" t="inlineStr">
        <is>
          <t>1</t>
        </is>
      </c>
      <c r="L129" s="63" t="n"/>
      <c r="M129" s="63" t="n"/>
      <c r="N129" s="63" t="n"/>
      <c r="O129" s="66" t="n">
        <v>405000</v>
      </c>
      <c r="P129" s="55" t="n">
        <v>0</v>
      </c>
      <c r="Q129" s="55" t="n">
        <v>0</v>
      </c>
      <c r="R129" s="65" t="n">
        <v>405000</v>
      </c>
      <c r="S129" s="65" t="inlineStr">
        <is>
          <t>febrero 2025</t>
        </is>
      </c>
      <c r="T129" s="55" t="inlineStr">
        <is>
          <t>1931</t>
        </is>
      </c>
      <c r="U129" s="63" t="n"/>
      <c r="V129" s="63" t="n"/>
      <c r="W129" s="55" t="n"/>
      <c r="X129" s="55" t="n"/>
      <c r="Y129" s="55" t="n"/>
      <c r="Z129" s="63" t="n"/>
    </row>
    <row r="130">
      <c r="A130" s="64" t="n">
        <v>127</v>
      </c>
      <c r="B130" s="55" t="inlineStr">
        <is>
          <t>MARVAL S.A.S.</t>
        </is>
      </c>
      <c r="C130" s="55" t="n"/>
      <c r="D130" s="65" t="inlineStr">
        <is>
          <t>ADM</t>
        </is>
      </c>
      <c r="E130" s="65" t="n"/>
      <c r="F130" s="65" t="inlineStr">
        <is>
          <t>Arriendos</t>
        </is>
      </c>
      <c r="G130" s="65" t="n"/>
      <c r="H130" s="65" t="inlineStr">
        <is>
          <t>Fijo</t>
        </is>
      </c>
      <c r="I130" s="55" t="inlineStr">
        <is>
          <t>CANON DE ARRENDAMIENTO OF CRAFT BARRANQUILLA</t>
        </is>
      </c>
      <c r="J130" s="55" t="inlineStr">
        <is>
          <t>Barranquilla</t>
        </is>
      </c>
      <c r="K130" s="55" t="inlineStr">
        <is>
          <t>MAVF508</t>
        </is>
      </c>
      <c r="L130" s="63" t="n"/>
      <c r="M130" s="63" t="n"/>
      <c r="N130" s="63" t="n"/>
      <c r="O130" s="66" t="n">
        <v>3685223</v>
      </c>
      <c r="P130" s="55" t="n">
        <v>0</v>
      </c>
      <c r="Q130" s="55" t="n">
        <v>0</v>
      </c>
      <c r="R130" s="65" t="n">
        <v>3685223</v>
      </c>
      <c r="S130" s="65" t="inlineStr">
        <is>
          <t>febrero 2025</t>
        </is>
      </c>
      <c r="T130" s="55" t="inlineStr">
        <is>
          <t>2</t>
        </is>
      </c>
      <c r="U130" s="63" t="n"/>
      <c r="V130" s="63" t="n"/>
      <c r="W130" s="55" t="n"/>
      <c r="X130" s="55" t="n"/>
      <c r="Y130" s="55" t="n"/>
      <c r="Z130" s="63" t="n"/>
    </row>
    <row r="131">
      <c r="A131" s="64" t="n">
        <v>128</v>
      </c>
      <c r="B131" s="55" t="inlineStr">
        <is>
          <t>CLARO S.A.</t>
        </is>
      </c>
      <c r="C131" s="55" t="n"/>
      <c r="D131" s="65" t="inlineStr">
        <is>
          <t>IT</t>
        </is>
      </c>
      <c r="E131" s="65" t="n"/>
      <c r="F131" s="65" t="inlineStr">
        <is>
          <t>Internet oficinas</t>
        </is>
      </c>
      <c r="G131" s="65" t="n"/>
      <c r="H131" s="65" t="inlineStr">
        <is>
          <t>Fijo</t>
        </is>
      </c>
      <c r="I131" s="55" t="inlineStr">
        <is>
          <t>SERVICIO INTERNET Y TELEFONIA CRAFT BARRANQUILLA</t>
        </is>
      </c>
      <c r="J131" s="55" t="inlineStr">
        <is>
          <t>Barranquilla</t>
        </is>
      </c>
      <c r="K131" s="55" t="inlineStr">
        <is>
          <t>R1138647059</t>
        </is>
      </c>
      <c r="L131" s="63" t="n"/>
      <c r="M131" s="63" t="n"/>
      <c r="N131" s="63" t="n"/>
      <c r="O131" s="66" t="n">
        <v>132985</v>
      </c>
      <c r="P131" s="55" t="n">
        <v>0</v>
      </c>
      <c r="Q131" s="55" t="n">
        <v>0</v>
      </c>
      <c r="R131" s="65" t="n">
        <v>132985</v>
      </c>
      <c r="S131" s="65" t="inlineStr">
        <is>
          <t>febrero 2025</t>
        </is>
      </c>
      <c r="T131" s="55" t="inlineStr">
        <is>
          <t>3</t>
        </is>
      </c>
      <c r="U131" s="63" t="n"/>
      <c r="V131" s="63" t="n"/>
      <c r="W131" s="55" t="n"/>
      <c r="X131" s="55" t="n"/>
      <c r="Y131" s="55" t="n"/>
      <c r="Z131" s="63" t="n"/>
    </row>
    <row r="132">
      <c r="A132" s="64" t="n">
        <v>129</v>
      </c>
      <c r="B132" s="55" t="inlineStr">
        <is>
          <t>COMPAÑIA PAPELERA NACIONAL S.A.S</t>
        </is>
      </c>
      <c r="C132" s="55" t="n"/>
      <c r="D132" s="65" t="inlineStr">
        <is>
          <t>ADM</t>
        </is>
      </c>
      <c r="E132" s="65" t="n"/>
      <c r="F132" s="65" t="inlineStr">
        <is>
          <t>Material De Escritorio</t>
        </is>
      </c>
      <c r="G132" s="65" t="n"/>
      <c r="H132" s="65" t="inlineStr">
        <is>
          <t>Variable</t>
        </is>
      </c>
      <c r="I132" s="55" t="inlineStr">
        <is>
          <t>PEDIDO PAPELERIA CRAFT AEROPUERTO</t>
        </is>
      </c>
      <c r="J132" s="55" t="inlineStr">
        <is>
          <t>Aeropuerto</t>
        </is>
      </c>
      <c r="K132" s="55" t="inlineStr">
        <is>
          <t>CPFP198900</t>
        </is>
      </c>
      <c r="L132" s="63" t="n"/>
      <c r="M132" s="63" t="n"/>
      <c r="N132" s="63" t="n"/>
      <c r="O132" s="66" t="n">
        <v>40686</v>
      </c>
      <c r="P132" s="55" t="n">
        <v>0</v>
      </c>
      <c r="Q132" s="55" t="n">
        <v>0</v>
      </c>
      <c r="R132" s="65" t="n">
        <v>40686</v>
      </c>
      <c r="S132" s="65" t="inlineStr">
        <is>
          <t>febrero 2025</t>
        </is>
      </c>
      <c r="T132" s="55" t="inlineStr">
        <is>
          <t>1</t>
        </is>
      </c>
      <c r="U132" s="63" t="n"/>
      <c r="V132" s="63" t="n"/>
      <c r="W132" s="55" t="n"/>
      <c r="X132" s="55" t="n"/>
      <c r="Y132" s="55" t="n"/>
      <c r="Z132" s="63" t="n"/>
    </row>
    <row r="133">
      <c r="A133" s="64" t="n">
        <v>130</v>
      </c>
      <c r="B133" s="55" t="inlineStr">
        <is>
          <t>COMPAÑIA PAPELERA NACIONAL S.A.S</t>
        </is>
      </c>
      <c r="C133" s="55" t="n"/>
      <c r="D133" s="65" t="inlineStr">
        <is>
          <t>ADM</t>
        </is>
      </c>
      <c r="E133" s="65" t="n"/>
      <c r="F133" s="65" t="inlineStr">
        <is>
          <t>Material Copa/Cozinha</t>
        </is>
      </c>
      <c r="G133" s="65" t="n"/>
      <c r="H133" s="65" t="inlineStr">
        <is>
          <t>Variable</t>
        </is>
      </c>
      <c r="I133" s="55" t="inlineStr">
        <is>
          <t>PEDIDO CAFETERIA CRAFT AEROPUERTO</t>
        </is>
      </c>
      <c r="J133" s="55" t="inlineStr">
        <is>
          <t>Aeropuerto</t>
        </is>
      </c>
      <c r="K133" s="55" t="inlineStr">
        <is>
          <t>CPFP198903</t>
        </is>
      </c>
      <c r="L133" s="63" t="n"/>
      <c r="M133" s="63" t="n"/>
      <c r="N133" s="63" t="n"/>
      <c r="O133" s="66" t="n">
        <v>309323</v>
      </c>
      <c r="P133" s="55" t="n">
        <v>0</v>
      </c>
      <c r="Q133" s="55" t="n">
        <v>0</v>
      </c>
      <c r="R133" s="65" t="n">
        <v>309323</v>
      </c>
      <c r="S133" s="65" t="inlineStr">
        <is>
          <t>febrero 2025</t>
        </is>
      </c>
      <c r="T133" s="55" t="inlineStr">
        <is>
          <t>2</t>
        </is>
      </c>
      <c r="U133" s="63" t="n"/>
      <c r="V133" s="63" t="n"/>
      <c r="W133" s="55" t="n"/>
      <c r="X133" s="55" t="n"/>
      <c r="Y133" s="55" t="n"/>
      <c r="Z133" s="63" t="n"/>
    </row>
    <row r="134">
      <c r="A134" s="64" t="n">
        <v>131</v>
      </c>
      <c r="B134" s="55" t="inlineStr">
        <is>
          <t>COMPAÑIA PAPELERA NACIONAL S.A.S</t>
        </is>
      </c>
      <c r="C134" s="55" t="n"/>
      <c r="D134" s="65" t="inlineStr">
        <is>
          <t>ADM</t>
        </is>
      </c>
      <c r="E134" s="65" t="n"/>
      <c r="F134" s="65" t="inlineStr">
        <is>
          <t>Material Copa/Cozinha</t>
        </is>
      </c>
      <c r="G134" s="65" t="n"/>
      <c r="H134" s="65" t="inlineStr">
        <is>
          <t>Variable</t>
        </is>
      </c>
      <c r="I134" s="55" t="inlineStr">
        <is>
          <t>PEDIDO ASEO CRAFT AEROPUERTO</t>
        </is>
      </c>
      <c r="J134" s="55" t="inlineStr">
        <is>
          <t>Aeropuerto</t>
        </is>
      </c>
      <c r="K134" s="55" t="inlineStr">
        <is>
          <t>CPFP198904</t>
        </is>
      </c>
      <c r="L134" s="63" t="n"/>
      <c r="M134" s="63" t="n"/>
      <c r="N134" s="63" t="n"/>
      <c r="O134" s="66" t="n">
        <v>224951</v>
      </c>
      <c r="P134" s="55" t="n">
        <v>0</v>
      </c>
      <c r="Q134" s="55" t="n">
        <v>0</v>
      </c>
      <c r="R134" s="65" t="n">
        <v>224951</v>
      </c>
      <c r="S134" s="65" t="inlineStr">
        <is>
          <t>febrero 2025</t>
        </is>
      </c>
      <c r="T134" s="55" t="inlineStr">
        <is>
          <t>3</t>
        </is>
      </c>
      <c r="U134" s="63" t="n"/>
      <c r="V134" s="63" t="n"/>
      <c r="W134" s="55" t="n"/>
      <c r="X134" s="55" t="n"/>
      <c r="Y134" s="55" t="n"/>
      <c r="Z134" s="63" t="n"/>
    </row>
    <row r="135">
      <c r="A135" s="64" t="n">
        <v>132</v>
      </c>
      <c r="B135" s="55" t="inlineStr">
        <is>
          <t>PALAN SOCIEDAD POR ACCIONES SIMPLIFICADA</t>
        </is>
      </c>
      <c r="C135" s="55" t="n"/>
      <c r="D135" s="65" t="inlineStr">
        <is>
          <t>ADM</t>
        </is>
      </c>
      <c r="E135" s="65" t="n"/>
      <c r="F135" s="65" t="inlineStr">
        <is>
          <t>Arriendos</t>
        </is>
      </c>
      <c r="G135" s="65" t="n"/>
      <c r="H135" s="65" t="inlineStr">
        <is>
          <t>Fijo</t>
        </is>
      </c>
      <c r="I135" s="55" t="inlineStr">
        <is>
          <t>CANON ARRENDAMIENTO OF 802 SUC CRAFT BOGOTA</t>
        </is>
      </c>
      <c r="J135" s="55" t="inlineStr">
        <is>
          <t>Calle 100</t>
        </is>
      </c>
      <c r="K135" s="55" t="inlineStr">
        <is>
          <t>FE276</t>
        </is>
      </c>
      <c r="L135" s="63" t="n"/>
      <c r="M135" s="63" t="n"/>
      <c r="N135" s="63" t="n"/>
      <c r="O135" s="66" t="n">
        <v>28741955</v>
      </c>
      <c r="P135" s="55" t="n">
        <v>0</v>
      </c>
      <c r="Q135" s="55" t="n">
        <v>0</v>
      </c>
      <c r="R135" s="65" t="n">
        <v>28741955</v>
      </c>
      <c r="S135" s="65" t="inlineStr">
        <is>
          <t>febrero 2025</t>
        </is>
      </c>
      <c r="T135" s="55" t="inlineStr">
        <is>
          <t>1793</t>
        </is>
      </c>
      <c r="U135" s="63" t="n"/>
      <c r="V135" s="63" t="n"/>
      <c r="W135" s="55" t="n"/>
      <c r="X135" s="55" t="n"/>
      <c r="Y135" s="55" t="n"/>
      <c r="Z135" s="63" t="n"/>
    </row>
    <row r="136">
      <c r="A136" s="64" t="n">
        <v>133</v>
      </c>
      <c r="B136" s="55" t="inlineStr">
        <is>
          <t>EDIFICIO CAPITAL TOWERS PROPIEDAD HORIZONTAL</t>
        </is>
      </c>
      <c r="C136" s="55" t="n"/>
      <c r="D136" s="65" t="inlineStr">
        <is>
          <t>ADM</t>
        </is>
      </c>
      <c r="E136" s="65" t="n"/>
      <c r="F136" s="65" t="inlineStr">
        <is>
          <t>Administración</t>
        </is>
      </c>
      <c r="G136" s="65" t="n"/>
      <c r="H136" s="65" t="inlineStr">
        <is>
          <t>Fijo</t>
        </is>
      </c>
      <c r="I136" s="55" t="inlineStr">
        <is>
          <t>CUOTA DE ADMINISTRACION TORRE 1 CRAFT BOGOTA</t>
        </is>
      </c>
      <c r="J136" s="55" t="inlineStr">
        <is>
          <t>Calle 100</t>
        </is>
      </c>
      <c r="K136" s="55" t="inlineStr">
        <is>
          <t>FE9853</t>
        </is>
      </c>
      <c r="L136" s="63" t="n"/>
      <c r="M136" s="63" t="n"/>
      <c r="N136" s="63" t="n"/>
      <c r="O136" s="66" t="n">
        <v>5000363</v>
      </c>
      <c r="P136" s="55" t="n">
        <v>0</v>
      </c>
      <c r="Q136" s="55" t="n">
        <v>0</v>
      </c>
      <c r="R136" s="65" t="n">
        <v>5000363</v>
      </c>
      <c r="S136" s="65" t="inlineStr">
        <is>
          <t>febrero 2025</t>
        </is>
      </c>
      <c r="T136" s="55" t="inlineStr">
        <is>
          <t>1796</t>
        </is>
      </c>
      <c r="U136" s="63" t="n"/>
      <c r="V136" s="63" t="n"/>
      <c r="W136" s="55" t="n"/>
      <c r="X136" s="55" t="n"/>
      <c r="Y136" s="55" t="n"/>
      <c r="Z136" s="63" t="n"/>
    </row>
    <row r="137">
      <c r="A137" s="64" t="n">
        <v>134</v>
      </c>
      <c r="B137" s="55" t="inlineStr">
        <is>
          <t>EDIFICIO CAPITAL TOWERS PROPIEDAD HORIZONTAL</t>
        </is>
      </c>
      <c r="C137" s="55" t="n"/>
      <c r="D137" s="65" t="inlineStr">
        <is>
          <t>ADM</t>
        </is>
      </c>
      <c r="E137" s="65" t="n"/>
      <c r="F137" s="65" t="inlineStr">
        <is>
          <t>Bodegas</t>
        </is>
      </c>
      <c r="G137" s="65" t="n"/>
      <c r="H137" s="65" t="inlineStr">
        <is>
          <t>Fijo</t>
        </is>
      </c>
      <c r="I137" s="55" t="inlineStr">
        <is>
          <t>BODEGAS Y DEPOSITOS PISO 21 CRAFT BOGOTA</t>
        </is>
      </c>
      <c r="J137" s="55" t="inlineStr">
        <is>
          <t>Transversal</t>
        </is>
      </c>
      <c r="K137" s="55" t="inlineStr">
        <is>
          <t>FE9879</t>
        </is>
      </c>
      <c r="L137" s="63" t="n"/>
      <c r="M137" s="63" t="n"/>
      <c r="N137" s="63" t="n"/>
      <c r="O137" s="66" t="n">
        <v>1463216</v>
      </c>
      <c r="P137" s="55" t="n">
        <v>0</v>
      </c>
      <c r="Q137" s="55" t="n">
        <v>0</v>
      </c>
      <c r="R137" s="65" t="n">
        <v>1463216</v>
      </c>
      <c r="S137" s="65" t="inlineStr">
        <is>
          <t>febrero 2025</t>
        </is>
      </c>
      <c r="T137" s="55" t="inlineStr">
        <is>
          <t>1802</t>
        </is>
      </c>
      <c r="U137" s="63" t="n"/>
      <c r="V137" s="63" t="n"/>
      <c r="W137" s="55" t="n"/>
      <c r="X137" s="55" t="n"/>
      <c r="Y137" s="55" t="n"/>
      <c r="Z137" s="63" t="n"/>
    </row>
    <row r="138">
      <c r="A138" s="64" t="n">
        <v>135</v>
      </c>
      <c r="B138" s="55" t="inlineStr">
        <is>
          <t>INVERSIONES HOTELERAS BUENAVENTURA S.A.S.</t>
        </is>
      </c>
      <c r="C138" s="55" t="n"/>
      <c r="D138" s="65" t="inlineStr">
        <is>
          <t>ADM</t>
        </is>
      </c>
      <c r="E138" s="65" t="n"/>
      <c r="F138" s="65" t="inlineStr">
        <is>
          <t>Viagens E Estadias</t>
        </is>
      </c>
      <c r="G138" s="65" t="n"/>
      <c r="H138" s="65" t="inlineStr">
        <is>
          <t>Fijo</t>
        </is>
      </c>
      <c r="I138" s="55" t="inlineStr">
        <is>
          <t>ALOJAMIENTO CARLOS PLATA EN BUENAVENTURA</t>
        </is>
      </c>
      <c r="J138" s="55" t="inlineStr">
        <is>
          <t>Buenaventura</t>
        </is>
      </c>
      <c r="K138" s="55" t="inlineStr">
        <is>
          <t>RCE4350</t>
        </is>
      </c>
      <c r="L138" s="63" t="n"/>
      <c r="M138" s="63" t="n"/>
      <c r="N138" s="63" t="n"/>
      <c r="O138" s="66" t="n">
        <v>510510</v>
      </c>
      <c r="P138" s="55" t="n">
        <v>0</v>
      </c>
      <c r="Q138" s="55" t="n">
        <v>0</v>
      </c>
      <c r="R138" s="65" t="n">
        <v>510510</v>
      </c>
      <c r="S138" s="65" t="inlineStr">
        <is>
          <t>febrero 2025</t>
        </is>
      </c>
      <c r="T138" s="55" t="inlineStr">
        <is>
          <t>11</t>
        </is>
      </c>
      <c r="U138" s="63" t="n"/>
      <c r="V138" s="63" t="n"/>
      <c r="W138" s="55" t="n"/>
      <c r="X138" s="55" t="n"/>
      <c r="Y138" s="55" t="n"/>
      <c r="Z138" s="63" t="n"/>
    </row>
    <row r="139">
      <c r="A139" s="64" t="n">
        <v>136</v>
      </c>
      <c r="B139" s="55" t="inlineStr">
        <is>
          <t>PC QUICK SAS</t>
        </is>
      </c>
      <c r="C139" s="55" t="n"/>
      <c r="D139" s="65" t="inlineStr">
        <is>
          <t>IT</t>
        </is>
      </c>
      <c r="E139" s="65" t="n"/>
      <c r="F139" s="65" t="inlineStr">
        <is>
          <t>Insumos y perifericos</t>
        </is>
      </c>
      <c r="G139" s="65" t="n"/>
      <c r="H139" s="65" t="inlineStr">
        <is>
          <t>Variable</t>
        </is>
      </c>
      <c r="I139" s="55" t="inlineStr">
        <is>
          <t>BATERIA PARA PC DIEGO CEDIEL</t>
        </is>
      </c>
      <c r="J139" s="55" t="inlineStr">
        <is>
          <t>Transversal</t>
        </is>
      </c>
      <c r="K139" s="55" t="inlineStr">
        <is>
          <t>PFE9785</t>
        </is>
      </c>
      <c r="L139" s="63" t="n"/>
      <c r="M139" s="63" t="n"/>
      <c r="N139" s="63" t="n"/>
      <c r="O139" s="66" t="n">
        <v>345100</v>
      </c>
      <c r="P139" s="55" t="n">
        <v>0</v>
      </c>
      <c r="Q139" s="55" t="n">
        <v>0</v>
      </c>
      <c r="R139" s="65" t="n">
        <v>345100</v>
      </c>
      <c r="S139" s="65" t="inlineStr">
        <is>
          <t>febrero 2025</t>
        </is>
      </c>
      <c r="T139" s="55" t="inlineStr">
        <is>
          <t>1819</t>
        </is>
      </c>
      <c r="U139" s="63" t="n"/>
      <c r="V139" s="63" t="n"/>
      <c r="W139" s="55" t="n"/>
      <c r="X139" s="55" t="n"/>
      <c r="Y139" s="55" t="n"/>
      <c r="Z139" s="63" t="n"/>
    </row>
    <row r="140">
      <c r="A140" s="64" t="n">
        <v>137</v>
      </c>
      <c r="B140" s="55" t="inlineStr">
        <is>
          <t>FEDERACION COLOMBIANA DE AGENTES LOGISTICOS EN COMERCIO INTERNACIONAL</t>
        </is>
      </c>
      <c r="C140" s="55" t="n"/>
      <c r="D140" s="65" t="inlineStr">
        <is>
          <t>ADM</t>
        </is>
      </c>
      <c r="E140" s="65" t="n"/>
      <c r="F140" s="65" t="inlineStr">
        <is>
          <t>FITAC Cuota de sostenimiento</t>
        </is>
      </c>
      <c r="G140" s="65" t="n"/>
      <c r="H140" s="65" t="inlineStr">
        <is>
          <t>Fijo</t>
        </is>
      </c>
      <c r="I140" s="55" t="inlineStr">
        <is>
          <t>CUOTA SOSTENIMIENO ANUAL CRAFT BUENAVENTURA</t>
        </is>
      </c>
      <c r="J140" s="55" t="inlineStr">
        <is>
          <t>Buenaventura</t>
        </is>
      </c>
      <c r="K140" s="55" t="inlineStr">
        <is>
          <t>46062</t>
        </is>
      </c>
      <c r="L140" s="63" t="n"/>
      <c r="M140" s="63" t="n"/>
      <c r="N140" s="63" t="n"/>
      <c r="O140" s="66" t="n">
        <v>2333220</v>
      </c>
      <c r="P140" s="55" t="n">
        <v>0</v>
      </c>
      <c r="Q140" s="55" t="n">
        <v>0</v>
      </c>
      <c r="R140" s="65" t="n">
        <v>2333220</v>
      </c>
      <c r="S140" s="65" t="inlineStr">
        <is>
          <t>febrero 2025</t>
        </is>
      </c>
      <c r="T140" s="55" t="inlineStr">
        <is>
          <t>10</t>
        </is>
      </c>
      <c r="U140" s="63" t="n"/>
      <c r="V140" s="63" t="n"/>
      <c r="W140" s="55" t="n"/>
      <c r="X140" s="55" t="n"/>
      <c r="Y140" s="55" t="n"/>
      <c r="Z140" s="63" t="n"/>
    </row>
    <row r="141">
      <c r="A141" s="64" t="n">
        <v>138</v>
      </c>
      <c r="B141" s="55" t="inlineStr">
        <is>
          <t>TRANS INTERNATIONAL COURIER S.A.S</t>
        </is>
      </c>
      <c r="C141" s="55" t="n"/>
      <c r="D141" s="65" t="inlineStr">
        <is>
          <t>ADM</t>
        </is>
      </c>
      <c r="E141" s="65" t="n"/>
      <c r="F141" s="65" t="inlineStr">
        <is>
          <t>Malote</t>
        </is>
      </c>
      <c r="G141" s="65" t="n"/>
      <c r="H141" s="65" t="inlineStr">
        <is>
          <t>Variable</t>
        </is>
      </c>
      <c r="I141" s="55" t="inlineStr">
        <is>
          <t>SERVICIO DE MENSAJERIA NACIONAL Y URBANA CRAFT COLOMBIA</t>
        </is>
      </c>
      <c r="J141" s="55" t="inlineStr">
        <is>
          <t>Transversal</t>
        </is>
      </c>
      <c r="K141" s="55" t="inlineStr">
        <is>
          <t>TIC11425</t>
        </is>
      </c>
      <c r="L141" s="63" t="n"/>
      <c r="M141" s="63" t="n"/>
      <c r="N141" s="63" t="n"/>
      <c r="O141" s="66" t="n">
        <v>435472</v>
      </c>
      <c r="P141" s="55" t="n">
        <v>0</v>
      </c>
      <c r="Q141" s="55" t="n">
        <v>0</v>
      </c>
      <c r="R141" s="65" t="n">
        <v>435472</v>
      </c>
      <c r="S141" s="65" t="inlineStr">
        <is>
          <t>febrero 2025</t>
        </is>
      </c>
      <c r="T141" s="55" t="inlineStr">
        <is>
          <t>1821</t>
        </is>
      </c>
      <c r="U141" s="63" t="n"/>
      <c r="V141" s="63" t="n"/>
      <c r="W141" s="55" t="n"/>
      <c r="X141" s="55" t="n"/>
      <c r="Y141" s="55" t="n"/>
      <c r="Z141" s="63" t="n"/>
    </row>
    <row r="142">
      <c r="A142" s="64" t="n">
        <v>139</v>
      </c>
      <c r="B142" s="55" t="inlineStr">
        <is>
          <t>LUZ DARY MINA GARCES</t>
        </is>
      </c>
      <c r="C142" s="55" t="n"/>
      <c r="D142" s="65" t="inlineStr">
        <is>
          <t>ADM</t>
        </is>
      </c>
      <c r="E142" s="65" t="n"/>
      <c r="F142" s="65" t="inlineStr">
        <is>
          <t>Otros Gastos CASA LIMPIA PLANILLA AC OTROS</t>
        </is>
      </c>
      <c r="G142" s="65" t="n"/>
      <c r="H142" s="65" t="inlineStr">
        <is>
          <t>Fijo</t>
        </is>
      </c>
      <c r="I142" s="55" t="inlineStr">
        <is>
          <t>SERVICIO ASEO GENERAL OFICINA CRAFT BUENAVENTURA</t>
        </is>
      </c>
      <c r="J142" s="55" t="inlineStr">
        <is>
          <t>Buenaventura</t>
        </is>
      </c>
      <c r="K142" s="55" t="inlineStr">
        <is>
          <t>170</t>
        </is>
      </c>
      <c r="L142" s="63" t="n"/>
      <c r="M142" s="63" t="n"/>
      <c r="N142" s="63" t="n"/>
      <c r="O142" s="66" t="n">
        <v>1000000</v>
      </c>
      <c r="P142" s="55" t="n">
        <v>0</v>
      </c>
      <c r="Q142" s="55" t="n">
        <v>0</v>
      </c>
      <c r="R142" s="65" t="n">
        <v>1000000</v>
      </c>
      <c r="S142" s="65" t="inlineStr">
        <is>
          <t>febrero 2025</t>
        </is>
      </c>
      <c r="T142" s="55" t="inlineStr">
        <is>
          <t>12</t>
        </is>
      </c>
      <c r="U142" s="63" t="n"/>
      <c r="V142" s="63" t="n"/>
      <c r="W142" s="55" t="n"/>
      <c r="X142" s="55" t="n"/>
      <c r="Y142" s="55" t="n"/>
      <c r="Z142" s="63" t="n"/>
    </row>
    <row r="143">
      <c r="A143" s="64" t="n">
        <v>140</v>
      </c>
      <c r="B143" s="55" t="inlineStr">
        <is>
          <t>HARDSOFT SOLUTIONS INTEGRAL SAS</t>
        </is>
      </c>
      <c r="C143" s="55" t="n"/>
      <c r="D143" s="65" t="inlineStr">
        <is>
          <t>IT</t>
        </is>
      </c>
      <c r="E143" s="65" t="n"/>
      <c r="F143" s="65" t="inlineStr">
        <is>
          <t>Conservacion Y Manutenimiento De Oficina</t>
        </is>
      </c>
      <c r="G143" s="65" t="n"/>
      <c r="H143" s="65" t="n"/>
      <c r="I143" s="55" t="inlineStr">
        <is>
          <t xml:space="preserve">MANTENIMIENTO IT EN CTG </t>
        </is>
      </c>
      <c r="J143" s="55" t="inlineStr">
        <is>
          <t>Cartagena</t>
        </is>
      </c>
      <c r="K143" s="55" t="inlineStr">
        <is>
          <t>HS580</t>
        </is>
      </c>
      <c r="L143" s="63" t="n"/>
      <c r="M143" s="63" t="n"/>
      <c r="N143" s="63" t="n"/>
      <c r="O143" s="66" t="n">
        <v>581938</v>
      </c>
      <c r="P143" s="55" t="n">
        <v>0</v>
      </c>
      <c r="Q143" s="55" t="n">
        <v>0</v>
      </c>
      <c r="R143" s="65" t="n">
        <v>581938</v>
      </c>
      <c r="S143" s="65" t="inlineStr">
        <is>
          <t>febrero 2025</t>
        </is>
      </c>
      <c r="T143" s="55" t="inlineStr">
        <is>
          <t>7</t>
        </is>
      </c>
      <c r="U143" s="63" t="n"/>
      <c r="V143" s="63" t="n"/>
      <c r="W143" s="55" t="n"/>
      <c r="X143" s="55" t="n"/>
      <c r="Y143" s="55" t="n"/>
      <c r="Z143" s="63" t="n"/>
    </row>
    <row r="144">
      <c r="A144" s="64" t="n">
        <v>141</v>
      </c>
      <c r="B144" s="55" t="inlineStr">
        <is>
          <t>PATRIMONIOS AUTONOMOS FIDUCIARIA BANCOLOMBIA S A SOCIEDAD FIDUCIARIA</t>
        </is>
      </c>
      <c r="C144" s="55" t="n"/>
      <c r="D144" s="65" t="inlineStr">
        <is>
          <t>ADM</t>
        </is>
      </c>
      <c r="E144" s="65" t="n"/>
      <c r="F144" s="65" t="inlineStr">
        <is>
          <t>Arriendos</t>
        </is>
      </c>
      <c r="G144" s="65" t="n"/>
      <c r="H144" s="65" t="inlineStr">
        <is>
          <t>Fijo</t>
        </is>
      </c>
      <c r="I144" s="55" t="inlineStr">
        <is>
          <t>CANON ARRENDAMIENTO SUCURSAL CRAFT AEROPUERTO</t>
        </is>
      </c>
      <c r="J144" s="55" t="inlineStr">
        <is>
          <t>Aeropuerto</t>
        </is>
      </c>
      <c r="K144" s="55" t="inlineStr">
        <is>
          <t>AR3171120</t>
        </is>
      </c>
      <c r="L144" s="63" t="n"/>
      <c r="M144" s="63" t="n"/>
      <c r="N144" s="63" t="n"/>
      <c r="O144" s="66" t="n">
        <v>7341058</v>
      </c>
      <c r="P144" s="55" t="n">
        <v>0</v>
      </c>
      <c r="Q144" s="55" t="n">
        <v>0</v>
      </c>
      <c r="R144" s="65" t="n">
        <v>7341058</v>
      </c>
      <c r="S144" s="65" t="inlineStr">
        <is>
          <t>febrero 2025</t>
        </is>
      </c>
      <c r="T144" s="55" t="inlineStr">
        <is>
          <t>4</t>
        </is>
      </c>
      <c r="U144" s="63" t="n"/>
      <c r="V144" s="63" t="n"/>
      <c r="W144" s="55" t="n"/>
      <c r="X144" s="55" t="n"/>
      <c r="Y144" s="55" t="n"/>
      <c r="Z144" s="63" t="n"/>
    </row>
    <row r="145">
      <c r="A145" s="64" t="n">
        <v>142</v>
      </c>
      <c r="B145" s="55" t="inlineStr">
        <is>
          <t>CLARO S.A.</t>
        </is>
      </c>
      <c r="C145" s="55" t="n"/>
      <c r="D145" s="65" t="inlineStr">
        <is>
          <t>IT</t>
        </is>
      </c>
      <c r="E145" s="65" t="n"/>
      <c r="F145" s="65" t="inlineStr">
        <is>
          <t>Internet oficinas</t>
        </is>
      </c>
      <c r="G145" s="65" t="n"/>
      <c r="H145" s="65" t="inlineStr">
        <is>
          <t>Fijo</t>
        </is>
      </c>
      <c r="I145" s="55" t="inlineStr">
        <is>
          <t>INTERNET EN BUN Y CTG</t>
        </is>
      </c>
      <c r="J145" s="55" t="inlineStr">
        <is>
          <t>Puertos</t>
        </is>
      </c>
      <c r="K145" s="55" t="inlineStr">
        <is>
          <t>3292507084</t>
        </is>
      </c>
      <c r="L145" s="63" t="n"/>
      <c r="M145" s="63" t="n"/>
      <c r="N145" s="63" t="n"/>
      <c r="O145" s="66" t="n">
        <v>585411</v>
      </c>
      <c r="P145" s="55" t="n">
        <v>0</v>
      </c>
      <c r="Q145" s="55" t="n">
        <v>0</v>
      </c>
      <c r="R145" s="65" t="n">
        <v>585411</v>
      </c>
      <c r="S145" s="65" t="inlineStr">
        <is>
          <t>febrero 2025</t>
        </is>
      </c>
      <c r="T145" s="55" t="inlineStr">
        <is>
          <t>8</t>
        </is>
      </c>
      <c r="U145" s="63" t="n"/>
      <c r="V145" s="63" t="n"/>
      <c r="W145" s="55" t="n"/>
      <c r="X145" s="55" t="n"/>
      <c r="Y145" s="55" t="n"/>
      <c r="Z145" s="63" t="n"/>
    </row>
    <row r="146">
      <c r="A146" s="64" t="n">
        <v>143</v>
      </c>
      <c r="B146" s="55" t="inlineStr">
        <is>
          <t>CLARO S.A.</t>
        </is>
      </c>
      <c r="C146" s="55" t="n"/>
      <c r="D146" s="65" t="inlineStr">
        <is>
          <t>ADM</t>
        </is>
      </c>
      <c r="E146" s="65" t="n"/>
      <c r="F146" s="65" t="inlineStr">
        <is>
          <t>Telefono fijo</t>
        </is>
      </c>
      <c r="G146" s="65" t="n"/>
      <c r="H146" s="65" t="inlineStr">
        <is>
          <t>Fijo</t>
        </is>
      </c>
      <c r="I146" s="55" t="inlineStr">
        <is>
          <t>SERVICIO DE TELEFONIA FIJA BUN Y CTG</t>
        </is>
      </c>
      <c r="J146" s="55" t="inlineStr">
        <is>
          <t>Puertos</t>
        </is>
      </c>
      <c r="K146" s="55" t="inlineStr">
        <is>
          <t>3292510419</t>
        </is>
      </c>
      <c r="L146" s="63" t="n"/>
      <c r="M146" s="63" t="n"/>
      <c r="N146" s="63" t="n"/>
      <c r="O146" s="66" t="n">
        <v>170395</v>
      </c>
      <c r="P146" s="55" t="n">
        <v>0</v>
      </c>
      <c r="Q146" s="55" t="n">
        <v>0</v>
      </c>
      <c r="R146" s="65" t="n">
        <v>170395</v>
      </c>
      <c r="S146" s="65" t="inlineStr">
        <is>
          <t>febrero 2025</t>
        </is>
      </c>
      <c r="T146" s="55" t="inlineStr">
        <is>
          <t>9</t>
        </is>
      </c>
      <c r="U146" s="63" t="n"/>
      <c r="V146" s="63" t="n"/>
      <c r="W146" s="55" t="n"/>
      <c r="X146" s="55" t="n"/>
      <c r="Y146" s="55" t="n"/>
      <c r="Z146" s="63" t="n"/>
    </row>
    <row r="147">
      <c r="A147" s="64" t="n">
        <v>144</v>
      </c>
      <c r="B147" s="55" t="inlineStr">
        <is>
          <t>TRIPLE AAA</t>
        </is>
      </c>
      <c r="C147" s="55" t="n"/>
      <c r="D147" s="65" t="inlineStr">
        <is>
          <t>ADM</t>
        </is>
      </c>
      <c r="E147" s="65" t="n"/>
      <c r="F147" s="65" t="inlineStr">
        <is>
          <t>Agua</t>
        </is>
      </c>
      <c r="G147" s="65" t="n"/>
      <c r="H147" s="65" t="inlineStr">
        <is>
          <t>Fijo</t>
        </is>
      </c>
      <c r="I147" s="55" t="inlineStr">
        <is>
          <t>SERVICIO ACUEDUCTO CRAFT BARRANQUILLA</t>
        </is>
      </c>
      <c r="J147" s="55" t="inlineStr">
        <is>
          <t>Barranquilla</t>
        </is>
      </c>
      <c r="K147" s="55" t="inlineStr">
        <is>
          <t>69712263</t>
        </is>
      </c>
      <c r="L147" s="63" t="n"/>
      <c r="M147" s="63" t="n"/>
      <c r="N147" s="63" t="n"/>
      <c r="O147" s="66" t="n">
        <v>270236</v>
      </c>
      <c r="P147" s="55" t="n">
        <v>0</v>
      </c>
      <c r="Q147" s="55" t="n">
        <v>0</v>
      </c>
      <c r="R147" s="65" t="n">
        <v>270236</v>
      </c>
      <c r="S147" s="65" t="inlineStr">
        <is>
          <t>febrero 2025</t>
        </is>
      </c>
      <c r="T147" s="55" t="inlineStr">
        <is>
          <t>4</t>
        </is>
      </c>
      <c r="U147" s="63" t="n"/>
      <c r="V147" s="63" t="n"/>
      <c r="W147" s="55" t="n"/>
      <c r="X147" s="55" t="n"/>
      <c r="Y147" s="55" t="n"/>
      <c r="Z147" s="63" t="n"/>
    </row>
    <row r="148">
      <c r="A148" s="64" t="n">
        <v>145</v>
      </c>
      <c r="B148" s="55" t="inlineStr">
        <is>
          <t>COOLING SERVICES SAS</t>
        </is>
      </c>
      <c r="C148" s="55" t="n"/>
      <c r="D148" s="65" t="inlineStr">
        <is>
          <t>ADM</t>
        </is>
      </c>
      <c r="E148" s="65" t="n"/>
      <c r="F148" s="65" t="inlineStr">
        <is>
          <t>Conservacion Y Manutenimiento De Oficina</t>
        </is>
      </c>
      <c r="G148" s="65" t="n"/>
      <c r="H148" s="65" t="inlineStr">
        <is>
          <t>Variable</t>
        </is>
      </c>
      <c r="I148" s="55" t="inlineStr">
        <is>
          <t>MANTENIMIENTO PREVENTIVO AIRE ACONDICIONADO CRAFT BOGOTA</t>
        </is>
      </c>
      <c r="J148" s="55" t="inlineStr">
        <is>
          <t>Calle 100</t>
        </is>
      </c>
      <c r="K148" s="55" t="inlineStr">
        <is>
          <t>FE3096</t>
        </is>
      </c>
      <c r="L148" s="63" t="n"/>
      <c r="M148" s="63" t="n"/>
      <c r="N148" s="63" t="n"/>
      <c r="O148" s="66" t="n">
        <v>1188099</v>
      </c>
      <c r="P148" s="55" t="n">
        <v>0</v>
      </c>
      <c r="Q148" s="55" t="n">
        <v>0</v>
      </c>
      <c r="R148" s="65" t="n">
        <v>1188099</v>
      </c>
      <c r="S148" s="65" t="inlineStr">
        <is>
          <t>febrero 2025</t>
        </is>
      </c>
      <c r="T148" s="55" t="inlineStr">
        <is>
          <t>3316</t>
        </is>
      </c>
      <c r="U148" s="63" t="n"/>
      <c r="V148" s="63" t="n"/>
      <c r="W148" s="55" t="n"/>
      <c r="X148" s="55" t="n"/>
      <c r="Y148" s="55" t="n"/>
      <c r="Z148" s="63" t="n"/>
    </row>
    <row r="149">
      <c r="A149" s="64" t="n">
        <v>146</v>
      </c>
      <c r="B149" s="55" t="inlineStr">
        <is>
          <t>EPM MEDELLIN</t>
        </is>
      </c>
      <c r="C149" s="55" t="n"/>
      <c r="D149" s="65" t="inlineStr">
        <is>
          <t>ADM</t>
        </is>
      </c>
      <c r="E149" s="65" t="n"/>
      <c r="F149" s="65" t="inlineStr">
        <is>
          <t>Agua</t>
        </is>
      </c>
      <c r="G149" s="65" t="n"/>
      <c r="H149" s="65" t="inlineStr">
        <is>
          <t>Fijo</t>
        </is>
      </c>
      <c r="I149" s="55" t="inlineStr">
        <is>
          <t>SERVICOS PUBLICOS CRAFT MEDELLIN</t>
        </is>
      </c>
      <c r="J149" s="55" t="inlineStr">
        <is>
          <t>Medellín</t>
        </is>
      </c>
      <c r="K149" s="55" t="inlineStr">
        <is>
          <t>DEE41912430</t>
        </is>
      </c>
      <c r="L149" s="63" t="n"/>
      <c r="M149" s="63" t="n"/>
      <c r="N149" s="63" t="n"/>
      <c r="O149" s="66" t="n">
        <v>318901</v>
      </c>
      <c r="P149" s="55" t="n">
        <v>0</v>
      </c>
      <c r="Q149" s="55" t="n">
        <v>0</v>
      </c>
      <c r="R149" s="65" t="n">
        <v>318901</v>
      </c>
      <c r="S149" s="65" t="inlineStr">
        <is>
          <t>febrero 2025</t>
        </is>
      </c>
      <c r="T149" s="55" t="inlineStr">
        <is>
          <t>45</t>
        </is>
      </c>
      <c r="U149" s="63" t="n"/>
      <c r="V149" s="63" t="n"/>
      <c r="W149" s="55" t="n"/>
      <c r="X149" s="55" t="n"/>
      <c r="Y149" s="55" t="n"/>
      <c r="Z149" s="63" t="n"/>
    </row>
    <row r="150">
      <c r="A150" s="64" t="n">
        <v>147</v>
      </c>
      <c r="B150" s="55" t="inlineStr">
        <is>
          <t>JULIAN ANDRES ORTIZ CARILLO</t>
        </is>
      </c>
      <c r="C150" s="55" t="n"/>
      <c r="D150" s="65" t="inlineStr">
        <is>
          <t>ADM</t>
        </is>
      </c>
      <c r="E150" s="65" t="n"/>
      <c r="F150" s="65" t="inlineStr">
        <is>
          <t>Conducao E Taxi</t>
        </is>
      </c>
      <c r="G150" s="65" t="n"/>
      <c r="H150" s="65" t="inlineStr">
        <is>
          <t>Variable</t>
        </is>
      </c>
      <c r="I150" s="55" t="inlineStr">
        <is>
          <t>TRANSPORTE DE CALI A BUENAVENTURA AL DR PLATA CASO ONE CARGO</t>
        </is>
      </c>
      <c r="J150" s="55" t="inlineStr">
        <is>
          <t>Transversal</t>
        </is>
      </c>
      <c r="K150" s="55" t="inlineStr">
        <is>
          <t>898</t>
        </is>
      </c>
      <c r="L150" s="63" t="n"/>
      <c r="M150" s="63" t="n"/>
      <c r="N150" s="63" t="n"/>
      <c r="O150" s="66" t="n">
        <v>450000</v>
      </c>
      <c r="P150" s="55" t="n">
        <v>0</v>
      </c>
      <c r="Q150" s="55" t="n">
        <v>0</v>
      </c>
      <c r="R150" s="65" t="n">
        <v>450000</v>
      </c>
      <c r="S150" s="65" t="inlineStr">
        <is>
          <t>febrero 2025</t>
        </is>
      </c>
      <c r="T150" s="55" t="inlineStr">
        <is>
          <t>4</t>
        </is>
      </c>
      <c r="U150" s="63" t="n"/>
      <c r="V150" s="63" t="n"/>
      <c r="W150" s="55" t="n"/>
      <c r="X150" s="55" t="n"/>
      <c r="Y150" s="55" t="n"/>
      <c r="Z150" s="63" t="n"/>
    </row>
    <row r="151">
      <c r="A151" s="64" t="n">
        <v>148</v>
      </c>
      <c r="B151" s="55" t="inlineStr">
        <is>
          <t>INTERASEO AEROPUERTO</t>
        </is>
      </c>
      <c r="C151" s="55" t="n"/>
      <c r="D151" s="65" t="inlineStr">
        <is>
          <t>ADM</t>
        </is>
      </c>
      <c r="E151" s="65" t="n"/>
      <c r="F151" s="65" t="inlineStr">
        <is>
          <t>Agua</t>
        </is>
      </c>
      <c r="G151" s="65" t="n"/>
      <c r="H151" s="65" t="inlineStr">
        <is>
          <t>Fijo</t>
        </is>
      </c>
      <c r="I151" s="55" t="inlineStr">
        <is>
          <t>RECOLECCION BASURA CRAFT AEROPUERTO</t>
        </is>
      </c>
      <c r="J151" s="55" t="inlineStr">
        <is>
          <t>Aeropuerto</t>
        </is>
      </c>
      <c r="K151" s="55" t="inlineStr">
        <is>
          <t>INAE041775</t>
        </is>
      </c>
      <c r="L151" s="63" t="n"/>
      <c r="M151" s="63" t="n"/>
      <c r="N151" s="63" t="n"/>
      <c r="O151" s="66" t="n">
        <v>23568</v>
      </c>
      <c r="P151" s="55" t="n">
        <v>0</v>
      </c>
      <c r="Q151" s="55" t="n">
        <v>0</v>
      </c>
      <c r="R151" s="65" t="n">
        <v>23568</v>
      </c>
      <c r="S151" s="65" t="inlineStr">
        <is>
          <t>febrero 2025</t>
        </is>
      </c>
      <c r="T151" s="55" t="inlineStr">
        <is>
          <t>5</t>
        </is>
      </c>
      <c r="U151" s="63" t="n"/>
      <c r="V151" s="63" t="n"/>
      <c r="W151" s="55" t="n"/>
      <c r="X151" s="55" t="n"/>
      <c r="Y151" s="55" t="n"/>
      <c r="Z151" s="63" t="n"/>
    </row>
    <row r="152">
      <c r="A152" s="64" t="n">
        <v>149</v>
      </c>
      <c r="B152" s="55" t="inlineStr">
        <is>
          <t>AIR-E</t>
        </is>
      </c>
      <c r="C152" s="55" t="n"/>
      <c r="D152" s="65" t="inlineStr">
        <is>
          <t>ADM</t>
        </is>
      </c>
      <c r="E152" s="65" t="n"/>
      <c r="F152" s="65" t="inlineStr">
        <is>
          <t>Luz</t>
        </is>
      </c>
      <c r="G152" s="65" t="n"/>
      <c r="H152" s="65" t="inlineStr">
        <is>
          <t>Fijo</t>
        </is>
      </c>
      <c r="I152" s="55" t="inlineStr">
        <is>
          <t>SERVICIO ENERGIA CRAFT BARRANQUILLA</t>
        </is>
      </c>
      <c r="J152" s="55" t="inlineStr">
        <is>
          <t>Barranquilla</t>
        </is>
      </c>
      <c r="K152" s="55" t="inlineStr">
        <is>
          <t>60281968</t>
        </is>
      </c>
      <c r="L152" s="63" t="n"/>
      <c r="M152" s="63" t="n"/>
      <c r="N152" s="63" t="n"/>
      <c r="O152" s="66" t="n">
        <v>294230</v>
      </c>
      <c r="P152" s="55" t="n">
        <v>0</v>
      </c>
      <c r="Q152" s="55" t="n">
        <v>0</v>
      </c>
      <c r="R152" s="65" t="n">
        <v>294230</v>
      </c>
      <c r="S152" s="65" t="inlineStr">
        <is>
          <t>febrero 2025</t>
        </is>
      </c>
      <c r="T152" s="55" t="inlineStr">
        <is>
          <t>7</t>
        </is>
      </c>
      <c r="U152" s="63" t="n"/>
      <c r="V152" s="63" t="n"/>
      <c r="W152" s="55" t="n"/>
      <c r="X152" s="55" t="n"/>
      <c r="Y152" s="55" t="n"/>
      <c r="Z152" s="63" t="n"/>
    </row>
    <row r="153">
      <c r="A153" s="64" t="n">
        <v>150</v>
      </c>
      <c r="B153" s="55" t="inlineStr">
        <is>
          <t>CONTRATOS Y FIANZAS DE ARRENDAMIENTO S.A.S.</t>
        </is>
      </c>
      <c r="C153" s="55" t="n"/>
      <c r="D153" s="65" t="inlineStr">
        <is>
          <t>ADM</t>
        </is>
      </c>
      <c r="E153" s="65" t="n"/>
      <c r="F153" s="65" t="inlineStr">
        <is>
          <t>Arriendos</t>
        </is>
      </c>
      <c r="G153" s="65" t="n"/>
      <c r="H153" s="65" t="inlineStr">
        <is>
          <t>Fijo</t>
        </is>
      </c>
      <c r="I153" s="55" t="inlineStr">
        <is>
          <t>SERVICIO ZONA VIRTUAL CRAFT MEDELLIN</t>
        </is>
      </c>
      <c r="J153" s="55" t="inlineStr">
        <is>
          <t>Medellín</t>
        </is>
      </c>
      <c r="K153" s="55" t="inlineStr">
        <is>
          <t>FE580882</t>
        </is>
      </c>
      <c r="L153" s="63" t="n"/>
      <c r="M153" s="63" t="n"/>
      <c r="N153" s="63" t="n"/>
      <c r="O153" s="66" t="n">
        <v>5200</v>
      </c>
      <c r="P153" s="55" t="n">
        <v>0</v>
      </c>
      <c r="Q153" s="55" t="n">
        <v>0</v>
      </c>
      <c r="R153" s="65" t="n">
        <v>5200</v>
      </c>
      <c r="S153" s="65" t="inlineStr">
        <is>
          <t>febrero 2025</t>
        </is>
      </c>
      <c r="T153" s="55" t="inlineStr">
        <is>
          <t>66</t>
        </is>
      </c>
      <c r="U153" s="63" t="n"/>
      <c r="V153" s="63" t="n"/>
      <c r="W153" s="55" t="n"/>
      <c r="X153" s="55" t="n"/>
      <c r="Y153" s="55" t="n"/>
      <c r="Z153" s="63" t="n"/>
    </row>
    <row r="154">
      <c r="A154" s="64" t="n">
        <v>151</v>
      </c>
      <c r="B154" s="55" t="inlineStr">
        <is>
          <t>COMPAÑIA PAPELERA NACIONAL S.A.S</t>
        </is>
      </c>
      <c r="C154" s="55" t="n"/>
      <c r="D154" s="65" t="inlineStr">
        <is>
          <t>ADM</t>
        </is>
      </c>
      <c r="E154" s="65" t="n"/>
      <c r="F154" s="65" t="inlineStr">
        <is>
          <t>Material Copa/Cozinha</t>
        </is>
      </c>
      <c r="G154" s="65" t="n"/>
      <c r="H154" s="65" t="inlineStr">
        <is>
          <t>Variable</t>
        </is>
      </c>
      <c r="I154" s="55" t="inlineStr">
        <is>
          <t xml:space="preserve">PEDIDO ASEO Y CAFETERIA CRAFT CALLE 100 </t>
        </is>
      </c>
      <c r="J154" s="55" t="inlineStr">
        <is>
          <t>Calle 100</t>
        </is>
      </c>
      <c r="K154" s="55" t="inlineStr">
        <is>
          <t>CPFP201079</t>
        </is>
      </c>
      <c r="L154" s="63" t="n"/>
      <c r="M154" s="63" t="n"/>
      <c r="N154" s="63" t="n"/>
      <c r="O154" s="66" t="n">
        <v>1258748</v>
      </c>
      <c r="P154" s="55" t="n">
        <v>0</v>
      </c>
      <c r="Q154" s="55" t="n">
        <v>0</v>
      </c>
      <c r="R154" s="65" t="n">
        <v>1258748</v>
      </c>
      <c r="S154" s="65" t="inlineStr">
        <is>
          <t>febrero 2025</t>
        </is>
      </c>
      <c r="T154" s="55" t="inlineStr">
        <is>
          <t>4871</t>
        </is>
      </c>
      <c r="U154" s="63" t="n"/>
      <c r="V154" s="63" t="n"/>
      <c r="W154" s="55" t="n"/>
      <c r="X154" s="55" t="n"/>
      <c r="Y154" s="55" t="n"/>
      <c r="Z154" s="63" t="n"/>
    </row>
    <row r="155">
      <c r="A155" s="64" t="n">
        <v>152</v>
      </c>
      <c r="B155" s="55" t="inlineStr">
        <is>
          <t>CASALIMPIA SA</t>
        </is>
      </c>
      <c r="C155" s="55" t="n"/>
      <c r="D155" s="65" t="inlineStr">
        <is>
          <t>ADM</t>
        </is>
      </c>
      <c r="E155" s="65" t="n"/>
      <c r="F155" s="65" t="inlineStr">
        <is>
          <t>Otros Gastos CASA LIMPIA PLANILLA AC OTROS</t>
        </is>
      </c>
      <c r="G155" s="65" t="n"/>
      <c r="H155" s="65" t="inlineStr">
        <is>
          <t>Fijo</t>
        </is>
      </c>
      <c r="I155" s="55" t="inlineStr">
        <is>
          <t>SERVICIO DE ASEO GENERAL OFICINA CRAFT CARTAGENA</t>
        </is>
      </c>
      <c r="J155" s="55" t="inlineStr">
        <is>
          <t>Cartagena</t>
        </is>
      </c>
      <c r="K155" s="55" t="inlineStr">
        <is>
          <t>1755377</t>
        </is>
      </c>
      <c r="L155" s="63" t="n"/>
      <c r="M155" s="63" t="n"/>
      <c r="N155" s="63" t="n"/>
      <c r="O155" s="66" t="n">
        <v>2088787</v>
      </c>
      <c r="P155" s="55" t="n">
        <v>0</v>
      </c>
      <c r="Q155" s="55" t="n">
        <v>0</v>
      </c>
      <c r="R155" s="65" t="n">
        <v>2088787</v>
      </c>
      <c r="S155" s="65" t="inlineStr">
        <is>
          <t>febrero 2025</t>
        </is>
      </c>
      <c r="T155" s="55" t="inlineStr">
        <is>
          <t>19</t>
        </is>
      </c>
      <c r="U155" s="63" t="n"/>
      <c r="V155" s="63" t="n"/>
      <c r="W155" s="55" t="n"/>
      <c r="X155" s="55" t="n"/>
      <c r="Y155" s="55" t="n"/>
      <c r="Z155" s="63" t="n"/>
    </row>
    <row r="156">
      <c r="A156" s="64" t="n">
        <v>153</v>
      </c>
      <c r="B156" s="55" t="inlineStr">
        <is>
          <t>JOSE MAURICIO RUIZ VIAFARA</t>
        </is>
      </c>
      <c r="C156" s="55" t="n"/>
      <c r="D156" s="65" t="inlineStr">
        <is>
          <t>ADM</t>
        </is>
      </c>
      <c r="E156" s="65" t="n"/>
      <c r="F156" s="65" t="inlineStr">
        <is>
          <t>Conservacion Y Manutenimiento De Oficina</t>
        </is>
      </c>
      <c r="G156" s="65" t="n"/>
      <c r="H156" s="65" t="inlineStr">
        <is>
          <t>Variable</t>
        </is>
      </c>
      <c r="I156" s="55" t="inlineStr">
        <is>
          <t xml:space="preserve">MANTENIMIENTO  PREVENTIVO  AIRE ACONDICIONADO CRAFT BUENAVENTURA  </t>
        </is>
      </c>
      <c r="J156" s="55" t="inlineStr">
        <is>
          <t>Buenaventura</t>
        </is>
      </c>
      <c r="K156" s="55" t="inlineStr">
        <is>
          <t>FEJR140</t>
        </is>
      </c>
      <c r="L156" s="63" t="n"/>
      <c r="M156" s="63" t="n"/>
      <c r="N156" s="63" t="n"/>
      <c r="O156" s="66" t="n">
        <v>140000</v>
      </c>
      <c r="P156" s="55" t="n">
        <v>0</v>
      </c>
      <c r="Q156" s="55" t="n">
        <v>0</v>
      </c>
      <c r="R156" s="65" t="n">
        <v>140000</v>
      </c>
      <c r="S156" s="65" t="inlineStr">
        <is>
          <t>febrero 2025</t>
        </is>
      </c>
      <c r="T156" s="55" t="inlineStr">
        <is>
          <t>18</t>
        </is>
      </c>
      <c r="U156" s="63" t="n"/>
      <c r="V156" s="63" t="n"/>
      <c r="W156" s="55" t="n"/>
      <c r="X156" s="55" t="n"/>
      <c r="Y156" s="55" t="n"/>
      <c r="Z156" s="63" t="n"/>
    </row>
    <row r="157">
      <c r="A157" s="64" t="n">
        <v>154</v>
      </c>
      <c r="B157" s="55" t="inlineStr">
        <is>
          <t>CLARO S.A.</t>
        </is>
      </c>
      <c r="C157" s="55" t="n"/>
      <c r="D157" s="65" t="inlineStr">
        <is>
          <t>ADM</t>
        </is>
      </c>
      <c r="E157" s="65" t="n"/>
      <c r="F157" s="65" t="inlineStr">
        <is>
          <t>Celulares</t>
        </is>
      </c>
      <c r="G157" s="65" t="n"/>
      <c r="H157" s="65" t="inlineStr">
        <is>
          <t>Fijo</t>
        </is>
      </c>
      <c r="I157" s="55" t="inlineStr">
        <is>
          <t>SERVICIO TELEFONIA CELULAR COLABORADORES CRAFT</t>
        </is>
      </c>
      <c r="J157" s="55" t="inlineStr">
        <is>
          <t>Transversal</t>
        </is>
      </c>
      <c r="K157" s="55" t="inlineStr">
        <is>
          <t>E6027752528</t>
        </is>
      </c>
      <c r="L157" s="63" t="n"/>
      <c r="M157" s="63" t="n"/>
      <c r="N157" s="63" t="n"/>
      <c r="O157" s="66" t="n">
        <v>3301041</v>
      </c>
      <c r="P157" s="55" t="n">
        <v>0</v>
      </c>
      <c r="Q157" s="55" t="n">
        <v>0</v>
      </c>
      <c r="R157" s="65" t="n">
        <v>3301041</v>
      </c>
      <c r="S157" s="65" t="inlineStr">
        <is>
          <t>febrero 2025</t>
        </is>
      </c>
      <c r="T157" s="55" t="inlineStr">
        <is>
          <t>4888</t>
        </is>
      </c>
      <c r="U157" s="63" t="n"/>
      <c r="V157" s="63" t="n"/>
      <c r="W157" s="55" t="n"/>
      <c r="X157" s="55" t="n"/>
      <c r="Y157" s="55" t="n"/>
      <c r="Z157" s="63" t="n"/>
    </row>
    <row r="158">
      <c r="A158" s="64" t="n">
        <v>155</v>
      </c>
      <c r="B158" s="55" t="inlineStr">
        <is>
          <t>TECNOLOGIA INFORMATICA TECINF SAS</t>
        </is>
      </c>
      <c r="C158" s="55" t="n"/>
      <c r="D158" s="65" t="inlineStr">
        <is>
          <t>IT</t>
        </is>
      </c>
      <c r="E158" s="65" t="n"/>
      <c r="F158" s="65" t="inlineStr">
        <is>
          <t>Repositorio Veembackup</t>
        </is>
      </c>
      <c r="G158" s="65" t="n"/>
      <c r="H158" s="65" t="inlineStr">
        <is>
          <t>Fijo</t>
        </is>
      </c>
      <c r="I158" s="55" t="inlineStr">
        <is>
          <t>SERVICIOS VEAM BACKUP</t>
        </is>
      </c>
      <c r="J158" s="55" t="inlineStr">
        <is>
          <t>Transversal</t>
        </is>
      </c>
      <c r="K158" s="55" t="inlineStr">
        <is>
          <t>FEB25638</t>
        </is>
      </c>
      <c r="L158" s="63" t="n"/>
      <c r="M158" s="63" t="n"/>
      <c r="N158" s="63" t="n"/>
      <c r="O158" s="66" t="n">
        <v>2666664</v>
      </c>
      <c r="P158" s="55" t="n">
        <v>0</v>
      </c>
      <c r="Q158" s="55" t="n">
        <v>0</v>
      </c>
      <c r="R158" s="65" t="n">
        <v>2666664</v>
      </c>
      <c r="S158" s="65" t="inlineStr">
        <is>
          <t>febrero 2025</t>
        </is>
      </c>
      <c r="T158" s="55" t="inlineStr">
        <is>
          <t>4890</t>
        </is>
      </c>
      <c r="U158" s="63" t="n"/>
      <c r="V158" s="63" t="n"/>
      <c r="W158" s="55" t="n"/>
      <c r="X158" s="55" t="n"/>
      <c r="Y158" s="55" t="n"/>
      <c r="Z158" s="63" t="n"/>
    </row>
    <row r="159">
      <c r="A159" s="64" t="n">
        <v>156</v>
      </c>
      <c r="B159" s="55" t="inlineStr">
        <is>
          <t>PEOPLE PASS S.A.S</t>
        </is>
      </c>
      <c r="C159" s="55" t="n"/>
      <c r="D159" s="65" t="inlineStr">
        <is>
          <t>ADM</t>
        </is>
      </c>
      <c r="E159" s="65" t="n"/>
      <c r="F159" s="65" t="inlineStr">
        <is>
          <t>Gastos De Representacion</t>
        </is>
      </c>
      <c r="G159" s="65" t="n"/>
      <c r="H159" s="65" t="inlineStr">
        <is>
          <t>Variable</t>
        </is>
      </c>
      <c r="I159" s="55" t="inlineStr">
        <is>
          <t>RECARGA TARJETA PEOPLE PASS GINNA CASTRO GASTOS VARIOS</t>
        </is>
      </c>
      <c r="J159" s="55" t="inlineStr">
        <is>
          <t>Transversal</t>
        </is>
      </c>
      <c r="K159" s="55" t="inlineStr">
        <is>
          <t>FPP451958</t>
        </is>
      </c>
      <c r="L159" s="63" t="n"/>
      <c r="M159" s="63" t="n"/>
      <c r="N159" s="63" t="n"/>
      <c r="O159" s="66" t="n">
        <v>1038080</v>
      </c>
      <c r="P159" s="55" t="n">
        <v>0</v>
      </c>
      <c r="Q159" s="55" t="n">
        <v>0</v>
      </c>
      <c r="R159" s="65" t="n">
        <v>1038080</v>
      </c>
      <c r="S159" s="65" t="inlineStr">
        <is>
          <t>febrero 2025</t>
        </is>
      </c>
      <c r="T159" s="55" t="inlineStr">
        <is>
          <t>3805</t>
        </is>
      </c>
      <c r="U159" s="63" t="n"/>
      <c r="V159" s="63" t="n"/>
      <c r="W159" s="55" t="n"/>
      <c r="X159" s="55" t="n"/>
      <c r="Y159" s="55" t="n"/>
      <c r="Z159" s="63" t="n"/>
    </row>
    <row r="160">
      <c r="A160" s="64" t="n">
        <v>157</v>
      </c>
      <c r="B160" s="55" t="inlineStr">
        <is>
          <t>TRAIKER GROUP COLOMBIA S.A.S.</t>
        </is>
      </c>
      <c r="C160" s="55" t="n"/>
      <c r="D160" s="65" t="inlineStr">
        <is>
          <t>ADM</t>
        </is>
      </c>
      <c r="E160" s="65" t="n"/>
      <c r="F160" s="65" t="inlineStr">
        <is>
          <t>Bodegas</t>
        </is>
      </c>
      <c r="G160" s="65" t="n"/>
      <c r="H160" s="65" t="n"/>
      <c r="I160" s="55" t="inlineStr">
        <is>
          <t>ALMACENAMIENTO DE CAJAS DEL 1/01/2026 AL 14/01/2026 CARTAGENA</t>
        </is>
      </c>
      <c r="J160" s="55" t="inlineStr">
        <is>
          <t>Cartagena</t>
        </is>
      </c>
      <c r="K160" s="55" t="inlineStr">
        <is>
          <t>FEA579</t>
        </is>
      </c>
      <c r="L160" s="63" t="n"/>
      <c r="M160" s="63" t="n"/>
      <c r="N160" s="63" t="n"/>
      <c r="O160" s="66" t="n">
        <v>202419</v>
      </c>
      <c r="P160" s="55" t="n">
        <v>0</v>
      </c>
      <c r="Q160" s="55" t="n">
        <v>0</v>
      </c>
      <c r="R160" s="65" t="n">
        <v>202419</v>
      </c>
      <c r="S160" s="65" t="inlineStr">
        <is>
          <t>febrero 2025</t>
        </is>
      </c>
      <c r="T160" s="55" t="inlineStr">
        <is>
          <t>20</t>
        </is>
      </c>
      <c r="U160" s="63" t="n"/>
      <c r="V160" s="63" t="n"/>
      <c r="W160" s="55" t="n"/>
      <c r="X160" s="55" t="n"/>
      <c r="Y160" s="55" t="n"/>
      <c r="Z160" s="63" t="n"/>
    </row>
    <row r="161">
      <c r="A161" s="64" t="n">
        <v>158</v>
      </c>
      <c r="B161" s="55" t="inlineStr">
        <is>
          <t>TRAIKER GROUP COLOMBIA S.A.S.</t>
        </is>
      </c>
      <c r="C161" s="55" t="n"/>
      <c r="D161" s="65" t="inlineStr">
        <is>
          <t>ADM</t>
        </is>
      </c>
      <c r="E161" s="65" t="n"/>
      <c r="F161" s="65" t="inlineStr">
        <is>
          <t>Bodegas</t>
        </is>
      </c>
      <c r="G161" s="65" t="n"/>
      <c r="H161" s="65" t="n"/>
      <c r="I161" s="55" t="inlineStr">
        <is>
          <t>DESTRUCCION 126 CAJAS DE ARCHIVO, CIERRE BODEGA</t>
        </is>
      </c>
      <c r="J161" s="55" t="inlineStr">
        <is>
          <t>Cartagena</t>
        </is>
      </c>
      <c r="K161" s="55" t="inlineStr">
        <is>
          <t>FEA580</t>
        </is>
      </c>
      <c r="L161" s="63" t="n"/>
      <c r="M161" s="63" t="n"/>
      <c r="N161" s="63" t="n"/>
      <c r="O161" s="66" t="n">
        <v>4348260</v>
      </c>
      <c r="P161" s="55" t="n">
        <v>0</v>
      </c>
      <c r="Q161" s="55" t="n">
        <v>0</v>
      </c>
      <c r="R161" s="65" t="n">
        <v>4348260</v>
      </c>
      <c r="S161" s="65" t="inlineStr">
        <is>
          <t>febrero 2025</t>
        </is>
      </c>
      <c r="T161" s="55" t="inlineStr">
        <is>
          <t>21</t>
        </is>
      </c>
      <c r="U161" s="63" t="n"/>
      <c r="V161" s="63" t="n"/>
      <c r="W161" s="55" t="n"/>
      <c r="X161" s="55" t="n"/>
      <c r="Y161" s="55" t="n"/>
      <c r="Z161" s="63" t="n"/>
    </row>
    <row r="162">
      <c r="A162" s="64" t="n">
        <v>159</v>
      </c>
      <c r="B162" s="55" t="inlineStr">
        <is>
          <t>EDIFICIO CAPITAL TOWERS PROPIEDAD HORIZONTAL</t>
        </is>
      </c>
      <c r="C162" s="55" t="n"/>
      <c r="D162" s="65" t="inlineStr">
        <is>
          <t>ADM</t>
        </is>
      </c>
      <c r="E162" s="65" t="n"/>
      <c r="F162" s="65" t="inlineStr">
        <is>
          <t>Agua</t>
        </is>
      </c>
      <c r="G162" s="65" t="n"/>
      <c r="H162" s="65" t="inlineStr">
        <is>
          <t>Fijo</t>
        </is>
      </c>
      <c r="I162" s="55" t="inlineStr">
        <is>
          <t>RECOBRO SERVICIOS PUBLICOS CRAFT BOGOTA</t>
        </is>
      </c>
      <c r="J162" s="55" t="inlineStr">
        <is>
          <t>Calle 100</t>
        </is>
      </c>
      <c r="K162" s="55" t="inlineStr">
        <is>
          <t>FE9913</t>
        </is>
      </c>
      <c r="L162" s="63" t="n"/>
      <c r="M162" s="63" t="n"/>
      <c r="N162" s="63" t="n"/>
      <c r="O162" s="66" t="n">
        <v>795272</v>
      </c>
      <c r="P162" s="55" t="n">
        <v>0</v>
      </c>
      <c r="Q162" s="55" t="n">
        <v>0</v>
      </c>
      <c r="R162" s="65" t="n">
        <v>795272</v>
      </c>
      <c r="S162" s="65" t="inlineStr">
        <is>
          <t>febrero 2025</t>
        </is>
      </c>
      <c r="T162" s="55" t="inlineStr">
        <is>
          <t>4895</t>
        </is>
      </c>
      <c r="U162" s="63" t="n"/>
      <c r="V162" s="63" t="n"/>
      <c r="W162" s="55" t="n"/>
      <c r="X162" s="55" t="n"/>
      <c r="Y162" s="55" t="n"/>
      <c r="Z162" s="63" t="n"/>
    </row>
    <row r="163">
      <c r="A163" s="64" t="n">
        <v>160</v>
      </c>
      <c r="B163" s="55" t="inlineStr">
        <is>
          <t>OPAIN SA AEROPUERTO EL DORADO</t>
        </is>
      </c>
      <c r="C163" s="55" t="n"/>
      <c r="D163" s="65" t="inlineStr">
        <is>
          <t>ADM</t>
        </is>
      </c>
      <c r="E163" s="65" t="n"/>
      <c r="F163" s="65" t="inlineStr">
        <is>
          <t>Administración</t>
        </is>
      </c>
      <c r="G163" s="65" t="n"/>
      <c r="H163" s="65" t="inlineStr">
        <is>
          <t>Fijo</t>
        </is>
      </c>
      <c r="I163" s="55" t="inlineStr">
        <is>
          <t>GASTOS REEMBOLSABLES CRAFT AEROPUERTO</t>
        </is>
      </c>
      <c r="J163" s="55" t="inlineStr">
        <is>
          <t>Aeropuerto</t>
        </is>
      </c>
      <c r="K163" s="55" t="inlineStr">
        <is>
          <t>CCG21620</t>
        </is>
      </c>
      <c r="L163" s="63" t="n"/>
      <c r="M163" s="63" t="n"/>
      <c r="N163" s="63" t="n"/>
      <c r="O163" s="66" t="n">
        <v>636316</v>
      </c>
      <c r="P163" s="55" t="n">
        <v>0</v>
      </c>
      <c r="Q163" s="55" t="n">
        <v>0</v>
      </c>
      <c r="R163" s="65" t="n">
        <v>636316</v>
      </c>
      <c r="S163" s="65" t="inlineStr">
        <is>
          <t>febrero 2025</t>
        </is>
      </c>
      <c r="T163" s="55" t="inlineStr">
        <is>
          <t>6</t>
        </is>
      </c>
      <c r="U163" s="63" t="n"/>
      <c r="V163" s="63" t="n"/>
      <c r="W163" s="55" t="n"/>
      <c r="X163" s="55" t="n"/>
      <c r="Y163" s="55" t="n"/>
      <c r="Z163" s="63" t="n"/>
    </row>
    <row r="164">
      <c r="A164" s="64" t="n">
        <v>161</v>
      </c>
      <c r="B164" s="55" t="inlineStr">
        <is>
          <t>EDIFICIO CAPITAL TOWERS PROPIEDAD HORIZONTAL</t>
        </is>
      </c>
      <c r="C164" s="55" t="n"/>
      <c r="D164" s="65" t="inlineStr">
        <is>
          <t>GH</t>
        </is>
      </c>
      <c r="E164" s="65" t="n"/>
      <c r="F164" s="65" t="inlineStr">
        <is>
          <t>Plan estratégico en enero 2025</t>
        </is>
      </c>
      <c r="G164" s="65" t="n"/>
      <c r="H164" s="65" t="inlineStr">
        <is>
          <t>Variable</t>
        </is>
      </c>
      <c r="I164" s="55" t="inlineStr">
        <is>
          <t>ALQUILER AUDITORIO REUNION HEADS</t>
        </is>
      </c>
      <c r="J164" s="55" t="inlineStr">
        <is>
          <t>Transversal</t>
        </is>
      </c>
      <c r="K164" s="55" t="inlineStr">
        <is>
          <t>FE9945</t>
        </is>
      </c>
      <c r="L164" s="63" t="n"/>
      <c r="M164" s="63" t="n"/>
      <c r="N164" s="63" t="n"/>
      <c r="O164" s="66" t="n">
        <v>1178100</v>
      </c>
      <c r="P164" s="55" t="n">
        <v>0</v>
      </c>
      <c r="Q164" s="55" t="n">
        <v>0</v>
      </c>
      <c r="R164" s="65" t="n">
        <v>1178100</v>
      </c>
      <c r="S164" s="65" t="inlineStr">
        <is>
          <t>febrero 2025</t>
        </is>
      </c>
      <c r="T164" s="55" t="inlineStr">
        <is>
          <t>4901</t>
        </is>
      </c>
      <c r="U164" s="63" t="n"/>
      <c r="V164" s="63" t="n"/>
      <c r="W164" s="55" t="n"/>
      <c r="X164" s="55" t="n"/>
      <c r="Y164" s="55" t="n"/>
      <c r="Z164" s="63" t="n"/>
    </row>
    <row r="165">
      <c r="A165" s="64" t="n">
        <v>162</v>
      </c>
      <c r="B165" s="55" t="inlineStr">
        <is>
          <t>EDIFICIO CAPITAL TOWERS PROPIEDAD HORIZONTAL</t>
        </is>
      </c>
      <c r="C165" s="55" t="n"/>
      <c r="D165" s="65" t="inlineStr">
        <is>
          <t>ADM</t>
        </is>
      </c>
      <c r="E165" s="65" t="n"/>
      <c r="F165" s="65" t="inlineStr">
        <is>
          <t>Reuniones gerenciales CEM (Sala reuniones)</t>
        </is>
      </c>
      <c r="G165" s="65" t="n"/>
      <c r="H165" s="65" t="inlineStr">
        <is>
          <t>Fijo</t>
        </is>
      </c>
      <c r="I165" s="55" t="inlineStr">
        <is>
          <t xml:space="preserve">ALQUILER SALA DE JUNTAS REUNION CEM </t>
        </is>
      </c>
      <c r="J165" s="55" t="inlineStr">
        <is>
          <t>Calle 100</t>
        </is>
      </c>
      <c r="K165" s="55" t="inlineStr">
        <is>
          <t>FE9942</t>
        </is>
      </c>
      <c r="L165" s="63" t="n"/>
      <c r="M165" s="63" t="n"/>
      <c r="N165" s="63" t="n"/>
      <c r="O165" s="66" t="n">
        <v>883329</v>
      </c>
      <c r="P165" s="55" t="n">
        <v>0</v>
      </c>
      <c r="Q165" s="55" t="n">
        <v>0</v>
      </c>
      <c r="R165" s="65" t="n">
        <v>883329</v>
      </c>
      <c r="S165" s="65" t="inlineStr">
        <is>
          <t>febrero 2025</t>
        </is>
      </c>
      <c r="T165" s="55" t="inlineStr">
        <is>
          <t>4903</t>
        </is>
      </c>
      <c r="U165" s="63" t="n"/>
      <c r="V165" s="63" t="n"/>
      <c r="W165" s="55" t="n"/>
      <c r="X165" s="55" t="n"/>
      <c r="Y165" s="55" t="n"/>
      <c r="Z165" s="63" t="n"/>
    </row>
    <row r="166">
      <c r="A166" s="64" t="n">
        <v>163</v>
      </c>
      <c r="B166" s="55" t="inlineStr">
        <is>
          <t>EDIFICIO CAPITAL TOWERS PROPIEDAD HORIZONTAL</t>
        </is>
      </c>
      <c r="C166" s="55" t="n"/>
      <c r="D166" s="65" t="inlineStr">
        <is>
          <t>GH</t>
        </is>
      </c>
      <c r="E166" s="65" t="n"/>
      <c r="F166" s="65" t="inlineStr">
        <is>
          <t>Plan estratégico en enero 2025</t>
        </is>
      </c>
      <c r="G166" s="65" t="n"/>
      <c r="H166" s="65" t="inlineStr">
        <is>
          <t>Variable</t>
        </is>
      </c>
      <c r="I166" s="55" t="inlineStr">
        <is>
          <t>ALQUILER SALA DE JUNTAS PRESENTACION VENTAS</t>
        </is>
      </c>
      <c r="J166" s="55" t="inlineStr">
        <is>
          <t>Transversal</t>
        </is>
      </c>
      <c r="K166" s="55" t="inlineStr">
        <is>
          <t>FE9943</t>
        </is>
      </c>
      <c r="L166" s="63" t="n"/>
      <c r="M166" s="63" t="n"/>
      <c r="N166" s="63" t="n"/>
      <c r="O166" s="66" t="n">
        <v>883329</v>
      </c>
      <c r="P166" s="55" t="n">
        <v>0</v>
      </c>
      <c r="Q166" s="55" t="n">
        <v>0</v>
      </c>
      <c r="R166" s="65" t="n">
        <v>883329</v>
      </c>
      <c r="S166" s="65" t="inlineStr">
        <is>
          <t>febrero 2025</t>
        </is>
      </c>
      <c r="T166" s="55" t="inlineStr">
        <is>
          <t>4904</t>
        </is>
      </c>
      <c r="U166" s="63" t="n"/>
      <c r="V166" s="63" t="n"/>
      <c r="W166" s="55" t="n"/>
      <c r="X166" s="55" t="n"/>
      <c r="Y166" s="55" t="n"/>
      <c r="Z166" s="63" t="n"/>
    </row>
    <row r="167">
      <c r="A167" s="64" t="n">
        <v>164</v>
      </c>
      <c r="B167" s="55" t="inlineStr">
        <is>
          <t>EDIFICIO CAPITAL TOWERS PROPIEDAD HORIZONTAL</t>
        </is>
      </c>
      <c r="C167" s="55" t="n"/>
      <c r="D167" s="65" t="inlineStr">
        <is>
          <t>ADM</t>
        </is>
      </c>
      <c r="E167" s="65" t="n"/>
      <c r="F167" s="65" t="inlineStr">
        <is>
          <t>Reuniones gerenciales CEM (Sala reuniones)</t>
        </is>
      </c>
      <c r="G167" s="65" t="n"/>
      <c r="H167" s="65" t="inlineStr">
        <is>
          <t>Fijo</t>
        </is>
      </c>
      <c r="I167" s="55" t="inlineStr">
        <is>
          <t xml:space="preserve">ALQUILER SALA DE JUNTAS REUNION CEM </t>
        </is>
      </c>
      <c r="J167" s="55" t="inlineStr">
        <is>
          <t>Calle 100</t>
        </is>
      </c>
      <c r="K167" s="55" t="inlineStr">
        <is>
          <t>FE9944</t>
        </is>
      </c>
      <c r="L167" s="63" t="n"/>
      <c r="M167" s="63" t="n"/>
      <c r="N167" s="63" t="n"/>
      <c r="O167" s="66" t="n">
        <v>883329</v>
      </c>
      <c r="P167" s="55" t="n">
        <v>0</v>
      </c>
      <c r="Q167" s="55" t="n">
        <v>0</v>
      </c>
      <c r="R167" s="65" t="n">
        <v>883329</v>
      </c>
      <c r="S167" s="65" t="inlineStr">
        <is>
          <t>febrero 2025</t>
        </is>
      </c>
      <c r="T167" s="55" t="inlineStr">
        <is>
          <t>4905</t>
        </is>
      </c>
      <c r="U167" s="63" t="n"/>
      <c r="V167" s="63" t="n"/>
      <c r="W167" s="55" t="n"/>
      <c r="X167" s="55" t="n"/>
      <c r="Y167" s="55" t="n"/>
      <c r="Z167" s="63" t="n"/>
    </row>
    <row r="168">
      <c r="A168" s="64" t="n">
        <v>165</v>
      </c>
      <c r="B168" s="55" t="inlineStr">
        <is>
          <t>EDIFICIO CAPITAL TOWERS PROPIEDAD HORIZONTAL</t>
        </is>
      </c>
      <c r="C168" s="55" t="n"/>
      <c r="D168" s="65" t="inlineStr">
        <is>
          <t>GH</t>
        </is>
      </c>
      <c r="E168" s="65" t="n"/>
      <c r="F168" s="65" t="inlineStr">
        <is>
          <t>Plan estratégico en enero 2025</t>
        </is>
      </c>
      <c r="G168" s="65" t="n"/>
      <c r="H168" s="65" t="inlineStr">
        <is>
          <t>Variable</t>
        </is>
      </c>
      <c r="I168" s="55" t="inlineStr">
        <is>
          <t>ALQUILER AUDITORIO REUNION HEADS</t>
        </is>
      </c>
      <c r="J168" s="55" t="inlineStr">
        <is>
          <t>Transversal</t>
        </is>
      </c>
      <c r="K168" s="55" t="inlineStr">
        <is>
          <t>FE9946</t>
        </is>
      </c>
      <c r="L168" s="63" t="n"/>
      <c r="M168" s="63" t="n"/>
      <c r="N168" s="63" t="n"/>
      <c r="O168" s="66" t="n">
        <v>1178100</v>
      </c>
      <c r="P168" s="55" t="n">
        <v>0</v>
      </c>
      <c r="Q168" s="55" t="n">
        <v>0</v>
      </c>
      <c r="R168" s="65" t="n">
        <v>1178100</v>
      </c>
      <c r="S168" s="65" t="inlineStr">
        <is>
          <t>febrero 2025</t>
        </is>
      </c>
      <c r="T168" s="55" t="inlineStr">
        <is>
          <t>4906</t>
        </is>
      </c>
      <c r="U168" s="63" t="n"/>
      <c r="V168" s="63" t="n"/>
      <c r="W168" s="55" t="n"/>
      <c r="X168" s="55" t="n"/>
      <c r="Y168" s="55" t="n"/>
      <c r="Z168" s="63" t="n"/>
    </row>
    <row r="169">
      <c r="A169" s="64" t="n">
        <v>166</v>
      </c>
      <c r="B169" s="55" t="inlineStr">
        <is>
          <t>TECNOLOGIA INFORMATICA TECINF SAS</t>
        </is>
      </c>
      <c r="C169" s="55" t="n"/>
      <c r="D169" s="65" t="inlineStr">
        <is>
          <t>IT</t>
        </is>
      </c>
      <c r="E169" s="65" t="n"/>
      <c r="F169" s="65" t="inlineStr">
        <is>
          <t>Insumos y perifericos</t>
        </is>
      </c>
      <c r="G169" s="65" t="n"/>
      <c r="H169" s="65" t="inlineStr">
        <is>
          <t>Variable</t>
        </is>
      </c>
      <c r="I169" s="55" t="inlineStr">
        <is>
          <t>AUDIFONOS BLUETOOTH PARA COLABORADORES EN CARTAGENA</t>
        </is>
      </c>
      <c r="J169" s="55" t="inlineStr">
        <is>
          <t>Cartagena</t>
        </is>
      </c>
      <c r="K169" s="55" t="inlineStr">
        <is>
          <t>FEB25595</t>
        </is>
      </c>
      <c r="L169" s="63" t="n"/>
      <c r="M169" s="63" t="n"/>
      <c r="N169" s="63" t="n"/>
      <c r="O169" s="66" t="n">
        <v>227043</v>
      </c>
      <c r="P169" s="55" t="n">
        <v>0</v>
      </c>
      <c r="Q169" s="55" t="n">
        <v>0</v>
      </c>
      <c r="R169" s="65" t="n">
        <v>227043</v>
      </c>
      <c r="S169" s="65" t="inlineStr">
        <is>
          <t>febrero 2025</t>
        </is>
      </c>
      <c r="T169" s="55" t="inlineStr">
        <is>
          <t>4907</t>
        </is>
      </c>
      <c r="U169" s="63" t="n"/>
      <c r="V169" s="63" t="n"/>
      <c r="W169" s="55" t="n"/>
      <c r="X169" s="55" t="n"/>
      <c r="Y169" s="55" t="n"/>
      <c r="Z169" s="63" t="n"/>
    </row>
    <row r="170">
      <c r="A170" s="64" t="n">
        <v>167</v>
      </c>
      <c r="B170" s="55" t="inlineStr">
        <is>
          <t>EDIFICIO CAPITAL TOWERS PROPIEDAD HORIZONTAL</t>
        </is>
      </c>
      <c r="C170" s="55" t="n"/>
      <c r="D170" s="65" t="n"/>
      <c r="E170" s="65" t="n"/>
      <c r="F170" s="65" t="n"/>
      <c r="G170" s="65" t="n"/>
      <c r="H170" s="65" t="inlineStr">
        <is>
          <t>Fijo</t>
        </is>
      </c>
      <c r="I170" s="55" t="inlineStr">
        <is>
          <t xml:space="preserve">RECHAZADA </t>
        </is>
      </c>
      <c r="J170" s="55" t="n"/>
      <c r="K170" s="55" t="inlineStr">
        <is>
          <t>FE9960</t>
        </is>
      </c>
      <c r="L170" s="63" t="n"/>
      <c r="M170" s="63" t="n"/>
      <c r="N170" s="63" t="n"/>
      <c r="O170" s="66" t="n">
        <v>159628</v>
      </c>
      <c r="P170" s="55" t="n">
        <v>0</v>
      </c>
      <c r="Q170" s="55" t="n">
        <v>0</v>
      </c>
      <c r="R170" s="65" t="n">
        <v>159628</v>
      </c>
      <c r="S170" s="65" t="inlineStr">
        <is>
          <t>febrero 2025</t>
        </is>
      </c>
      <c r="T170" s="55" t="n"/>
      <c r="U170" s="63" t="n"/>
      <c r="V170" s="63" t="n"/>
      <c r="W170" s="55" t="n"/>
      <c r="X170" s="55" t="n"/>
      <c r="Y170" s="55" t="n"/>
      <c r="Z170" s="63" t="n"/>
    </row>
    <row r="171">
      <c r="A171" s="64" t="n">
        <v>168</v>
      </c>
      <c r="B171" s="55" t="inlineStr">
        <is>
          <t>EDIFICIO CAPITAL TOWERS PROPIEDAD HORIZONTAL</t>
        </is>
      </c>
      <c r="C171" s="55" t="n"/>
      <c r="D171" s="65" t="n"/>
      <c r="E171" s="65" t="n"/>
      <c r="F171" s="65" t="n"/>
      <c r="G171" s="65" t="n"/>
      <c r="H171" s="65" t="inlineStr">
        <is>
          <t>Fijo</t>
        </is>
      </c>
      <c r="I171" s="55" t="inlineStr">
        <is>
          <t xml:space="preserve">RECHAZADA </t>
        </is>
      </c>
      <c r="J171" s="55" t="n"/>
      <c r="K171" s="55" t="inlineStr">
        <is>
          <t>FE9961</t>
        </is>
      </c>
      <c r="L171" s="63" t="n"/>
      <c r="M171" s="63" t="n"/>
      <c r="N171" s="63" t="n"/>
      <c r="O171" s="66" t="n">
        <v>159628</v>
      </c>
      <c r="P171" s="55" t="n">
        <v>0</v>
      </c>
      <c r="Q171" s="55" t="n">
        <v>0</v>
      </c>
      <c r="R171" s="65" t="n">
        <v>159628</v>
      </c>
      <c r="S171" s="65" t="inlineStr">
        <is>
          <t>febrero 2025</t>
        </is>
      </c>
      <c r="T171" s="55" t="n"/>
      <c r="U171" s="63" t="n"/>
      <c r="V171" s="63" t="n"/>
      <c r="W171" s="55" t="n"/>
      <c r="X171" s="55" t="n"/>
      <c r="Y171" s="55" t="n"/>
      <c r="Z171" s="63" t="n"/>
    </row>
    <row r="172">
      <c r="A172" s="64" t="n">
        <v>169</v>
      </c>
      <c r="B172" s="55" t="inlineStr">
        <is>
          <t>EDIFICIO PORTUS MANGA CARTAGENA</t>
        </is>
      </c>
      <c r="C172" s="55" t="n"/>
      <c r="D172" s="65" t="inlineStr">
        <is>
          <t>ADM</t>
        </is>
      </c>
      <c r="E172" s="65" t="n"/>
      <c r="F172" s="65" t="inlineStr">
        <is>
          <t>Luz</t>
        </is>
      </c>
      <c r="G172" s="65" t="n"/>
      <c r="H172" s="65" t="inlineStr">
        <is>
          <t>Fijo</t>
        </is>
      </c>
      <c r="I172" s="55" t="inlineStr">
        <is>
          <t>SERVICIO ENERGIA CRAFT CARTAGENA</t>
        </is>
      </c>
      <c r="J172" s="55" t="inlineStr">
        <is>
          <t>Cartagena</t>
        </is>
      </c>
      <c r="K172" s="55" t="inlineStr">
        <is>
          <t>59</t>
        </is>
      </c>
      <c r="L172" s="63" t="n"/>
      <c r="M172" s="63" t="n"/>
      <c r="N172" s="63" t="n"/>
      <c r="O172" s="66" t="n">
        <v>318042</v>
      </c>
      <c r="P172" s="55" t="n">
        <v>0</v>
      </c>
      <c r="Q172" s="55" t="n">
        <v>0</v>
      </c>
      <c r="R172" s="65" t="n">
        <v>318042</v>
      </c>
      <c r="S172" s="65" t="inlineStr">
        <is>
          <t>febrero 2025</t>
        </is>
      </c>
      <c r="T172" s="55" t="inlineStr">
        <is>
          <t>25</t>
        </is>
      </c>
      <c r="U172" s="63" t="n"/>
      <c r="V172" s="63" t="n"/>
      <c r="W172" s="55" t="n"/>
      <c r="X172" s="55" t="n"/>
      <c r="Y172" s="55" t="n"/>
      <c r="Z172" s="63" t="n"/>
    </row>
    <row r="173">
      <c r="A173" s="64" t="n">
        <v>170</v>
      </c>
      <c r="B173" s="55" t="inlineStr">
        <is>
          <t>EDIFICIO PORTUS MANGA CARTAGENA</t>
        </is>
      </c>
      <c r="C173" s="55" t="n"/>
      <c r="D173" s="65" t="inlineStr">
        <is>
          <t>ADM</t>
        </is>
      </c>
      <c r="E173" s="65" t="n"/>
      <c r="F173" s="65" t="inlineStr">
        <is>
          <t>Administración</t>
        </is>
      </c>
      <c r="G173" s="65" t="n"/>
      <c r="H173" s="65" t="inlineStr">
        <is>
          <t>Fijo</t>
        </is>
      </c>
      <c r="I173" s="55" t="inlineStr">
        <is>
          <t xml:space="preserve">EXPENSAS DE  ADMINISTRACION   CRAFT CARTAGENA  </t>
        </is>
      </c>
      <c r="J173" s="55" t="inlineStr">
        <is>
          <t>Cartagena</t>
        </is>
      </c>
      <c r="K173" s="55" t="inlineStr">
        <is>
          <t>981</t>
        </is>
      </c>
      <c r="L173" s="63" t="n"/>
      <c r="M173" s="63" t="n"/>
      <c r="N173" s="63" t="n"/>
      <c r="O173" s="66" t="n">
        <v>576439</v>
      </c>
      <c r="P173" s="55" t="n">
        <v>0</v>
      </c>
      <c r="Q173" s="55" t="n">
        <v>0</v>
      </c>
      <c r="R173" s="65" t="n">
        <v>576439</v>
      </c>
      <c r="S173" s="65" t="inlineStr">
        <is>
          <t>febrero 2025</t>
        </is>
      </c>
      <c r="T173" s="55" t="inlineStr">
        <is>
          <t>26</t>
        </is>
      </c>
      <c r="U173" s="63" t="n"/>
      <c r="V173" s="63" t="n"/>
      <c r="W173" s="55" t="n"/>
      <c r="X173" s="55" t="n"/>
      <c r="Y173" s="55" t="n"/>
      <c r="Z173" s="63" t="n"/>
    </row>
    <row r="174">
      <c r="A174" s="64" t="n">
        <v>171</v>
      </c>
      <c r="B174" s="55" t="inlineStr">
        <is>
          <t>EDIFICIO PORTUS MANGA CARTAGENA</t>
        </is>
      </c>
      <c r="C174" s="55" t="n"/>
      <c r="D174" s="65" t="inlineStr">
        <is>
          <t>ADM</t>
        </is>
      </c>
      <c r="E174" s="65" t="n"/>
      <c r="F174" s="65" t="inlineStr">
        <is>
          <t>Luz</t>
        </is>
      </c>
      <c r="G174" s="65" t="n"/>
      <c r="H174" s="65" t="inlineStr">
        <is>
          <t>Fijo</t>
        </is>
      </c>
      <c r="I174" s="55" t="inlineStr">
        <is>
          <t>SERVICIO ENERGIA CRAFT CARTAGENA</t>
        </is>
      </c>
      <c r="J174" s="55" t="inlineStr">
        <is>
          <t>Cartagena</t>
        </is>
      </c>
      <c r="K174" s="55" t="inlineStr">
        <is>
          <t>54</t>
        </is>
      </c>
      <c r="L174" s="63" t="n"/>
      <c r="M174" s="63" t="n"/>
      <c r="N174" s="63" t="n"/>
      <c r="O174" s="66" t="n">
        <v>219619</v>
      </c>
      <c r="P174" s="55" t="n">
        <v>0</v>
      </c>
      <c r="Q174" s="55" t="n">
        <v>0</v>
      </c>
      <c r="R174" s="65" t="n">
        <v>219619</v>
      </c>
      <c r="S174" s="65" t="inlineStr">
        <is>
          <t>febrero 2025</t>
        </is>
      </c>
      <c r="T174" s="55" t="inlineStr">
        <is>
          <t>24</t>
        </is>
      </c>
      <c r="U174" s="63" t="n"/>
      <c r="V174" s="63" t="n"/>
      <c r="W174" s="55" t="n"/>
      <c r="X174" s="55" t="n"/>
      <c r="Y174" s="55" t="n"/>
      <c r="Z174" s="63" t="n"/>
    </row>
    <row r="175">
      <c r="A175" s="64" t="n">
        <v>172</v>
      </c>
      <c r="B175" s="55" t="inlineStr">
        <is>
          <t>COMPAÑIA PAPELERA NACIONAL S.A.S</t>
        </is>
      </c>
      <c r="C175" s="55" t="n"/>
      <c r="D175" s="65" t="inlineStr">
        <is>
          <t>ADM</t>
        </is>
      </c>
      <c r="E175" s="65" t="n"/>
      <c r="F175" s="65" t="inlineStr">
        <is>
          <t>Material Copa/Cozinha</t>
        </is>
      </c>
      <c r="G175" s="65" t="n"/>
      <c r="H175" s="65" t="inlineStr">
        <is>
          <t>Variable</t>
        </is>
      </c>
      <c r="I175" s="55" t="inlineStr">
        <is>
          <t>PEDIDO ASEO Y CAFETERIA CRAFT CARTAGENA</t>
        </is>
      </c>
      <c r="J175" s="55" t="inlineStr">
        <is>
          <t>Cartagena</t>
        </is>
      </c>
      <c r="K175" s="55" t="inlineStr">
        <is>
          <t>CPFP201063</t>
        </is>
      </c>
      <c r="L175" s="63" t="n"/>
      <c r="M175" s="63" t="n"/>
      <c r="N175" s="63" t="n"/>
      <c r="O175" s="66" t="n">
        <v>834505</v>
      </c>
      <c r="P175" s="55" t="n">
        <v>0</v>
      </c>
      <c r="Q175" s="55" t="n">
        <v>0</v>
      </c>
      <c r="R175" s="65" t="n">
        <v>834505</v>
      </c>
      <c r="S175" s="65" t="inlineStr">
        <is>
          <t>febrero 2025</t>
        </is>
      </c>
      <c r="T175" s="55" t="inlineStr">
        <is>
          <t>22</t>
        </is>
      </c>
      <c r="U175" s="63" t="n"/>
      <c r="V175" s="63" t="n"/>
      <c r="W175" s="55" t="n"/>
      <c r="X175" s="55" t="n"/>
      <c r="Y175" s="55" t="n"/>
      <c r="Z175" s="63" t="n"/>
    </row>
    <row r="176">
      <c r="A176" s="64" t="n">
        <v>173</v>
      </c>
      <c r="B176" s="55" t="inlineStr">
        <is>
          <t>EDIFICIO CAPITAL TOWERS PROPIEDAD HORIZONTAL</t>
        </is>
      </c>
      <c r="C176" s="55" t="n"/>
      <c r="D176" s="65" t="inlineStr">
        <is>
          <t>GH</t>
        </is>
      </c>
      <c r="E176" s="65" t="n"/>
      <c r="F176" s="65" t="inlineStr">
        <is>
          <t>Carnet</t>
        </is>
      </c>
      <c r="G176" s="65" t="n"/>
      <c r="H176" s="65" t="inlineStr">
        <is>
          <t>Variable</t>
        </is>
      </c>
      <c r="I176" s="55" t="inlineStr">
        <is>
          <t>TARJETAS MAGNETICAS ACCESO EDIFICIO SEBASTIAN CASTRO Y&amp; INHOUSE OTM</t>
        </is>
      </c>
      <c r="J176" s="55" t="inlineStr">
        <is>
          <t>Calle 100</t>
        </is>
      </c>
      <c r="K176" s="55" t="inlineStr">
        <is>
          <t>FE9974</t>
        </is>
      </c>
      <c r="L176" s="63" t="n"/>
      <c r="M176" s="63" t="n"/>
      <c r="N176" s="63" t="n"/>
      <c r="O176" s="66" t="n">
        <v>84366</v>
      </c>
      <c r="P176" s="55" t="n">
        <v>0</v>
      </c>
      <c r="Q176" s="55" t="n">
        <v>0</v>
      </c>
      <c r="R176" s="65" t="n">
        <v>84366</v>
      </c>
      <c r="S176" s="65" t="inlineStr">
        <is>
          <t>febrero 2025</t>
        </is>
      </c>
      <c r="T176" s="55" t="inlineStr">
        <is>
          <t>5003</t>
        </is>
      </c>
      <c r="U176" s="63" t="n"/>
      <c r="V176" s="63" t="n"/>
      <c r="W176" s="55" t="n"/>
      <c r="X176" s="55" t="n"/>
      <c r="Y176" s="55" t="n"/>
      <c r="Z176" s="63" t="n"/>
    </row>
    <row r="177">
      <c r="A177" s="64" t="n">
        <v>174</v>
      </c>
      <c r="B177" s="55" t="inlineStr">
        <is>
          <t>CLARO S.A.</t>
        </is>
      </c>
      <c r="C177" s="55" t="n"/>
      <c r="D177" s="65" t="inlineStr">
        <is>
          <t>ADM</t>
        </is>
      </c>
      <c r="E177" s="65" t="n"/>
      <c r="F177" s="65" t="inlineStr">
        <is>
          <t>Celulares</t>
        </is>
      </c>
      <c r="G177" s="65" t="n"/>
      <c r="H177" s="65" t="inlineStr">
        <is>
          <t>Fijo</t>
        </is>
      </c>
      <c r="I177" s="55" t="inlineStr">
        <is>
          <t>SIM TABLET CTG</t>
        </is>
      </c>
      <c r="J177" s="55" t="inlineStr">
        <is>
          <t>Cartagena</t>
        </is>
      </c>
      <c r="K177" s="55" t="inlineStr">
        <is>
          <t>E6029724775</t>
        </is>
      </c>
      <c r="L177" s="63" t="n"/>
      <c r="M177" s="63" t="n"/>
      <c r="N177" s="63" t="n"/>
      <c r="O177" s="66" t="n">
        <v>192117</v>
      </c>
      <c r="P177" s="55" t="n">
        <v>0</v>
      </c>
      <c r="Q177" s="55" t="n">
        <v>0</v>
      </c>
      <c r="R177" s="65" t="n">
        <v>192117</v>
      </c>
      <c r="S177" s="65" t="inlineStr">
        <is>
          <t>febrero 2025</t>
        </is>
      </c>
      <c r="T177" s="55" t="inlineStr">
        <is>
          <t>23</t>
        </is>
      </c>
      <c r="U177" s="63" t="n"/>
      <c r="V177" s="63" t="n"/>
      <c r="W177" s="55" t="n"/>
      <c r="X177" s="55" t="n"/>
      <c r="Y177" s="55" t="n"/>
      <c r="Z177" s="63" t="n"/>
    </row>
    <row r="178">
      <c r="A178" s="64" t="n">
        <v>175</v>
      </c>
      <c r="B178" s="55" t="inlineStr">
        <is>
          <t>CLARO S.A.</t>
        </is>
      </c>
      <c r="C178" s="55" t="n"/>
      <c r="D178" s="65" t="inlineStr">
        <is>
          <t>ADM</t>
        </is>
      </c>
      <c r="E178" s="65" t="n"/>
      <c r="F178" s="65" t="inlineStr">
        <is>
          <t>Celulares</t>
        </is>
      </c>
      <c r="G178" s="65" t="n"/>
      <c r="H178" s="65" t="inlineStr">
        <is>
          <t>Fijo</t>
        </is>
      </c>
      <c r="I178" s="55" t="inlineStr">
        <is>
          <t xml:space="preserve">SIM TABLET BUN Y AEROPUERTO  </t>
        </is>
      </c>
      <c r="J178" s="55" t="inlineStr">
        <is>
          <t>Puertos</t>
        </is>
      </c>
      <c r="K178" s="55" t="inlineStr">
        <is>
          <t>E6029739049</t>
        </is>
      </c>
      <c r="L178" s="63" t="n"/>
      <c r="M178" s="63" t="n"/>
      <c r="N178" s="63" t="n"/>
      <c r="O178" s="66" t="n">
        <v>325398</v>
      </c>
      <c r="P178" s="55" t="n">
        <v>0</v>
      </c>
      <c r="Q178" s="55" t="n">
        <v>0</v>
      </c>
      <c r="R178" s="65" t="n">
        <v>325398</v>
      </c>
      <c r="S178" s="65" t="inlineStr">
        <is>
          <t>febrero 2025</t>
        </is>
      </c>
      <c r="T178" s="55" t="inlineStr">
        <is>
          <t>19</t>
        </is>
      </c>
      <c r="U178" s="63" t="n"/>
      <c r="V178" s="63" t="n"/>
      <c r="W178" s="55" t="n"/>
      <c r="X178" s="55" t="n"/>
      <c r="Y178" s="55" t="n"/>
      <c r="Z178" s="63" t="n"/>
    </row>
    <row r="179">
      <c r="A179" s="64" t="n">
        <v>176</v>
      </c>
      <c r="B179" s="55" t="inlineStr">
        <is>
          <t>MULTICOPY JV ZOMAC SAS</t>
        </is>
      </c>
      <c r="C179" s="55" t="n"/>
      <c r="D179" s="65" t="inlineStr">
        <is>
          <t>IT</t>
        </is>
      </c>
      <c r="E179" s="65" t="n"/>
      <c r="F179" s="65" t="inlineStr">
        <is>
          <t>Conservacion Y Manutenimiento De Oficina</t>
        </is>
      </c>
      <c r="G179" s="65" t="n"/>
      <c r="H179" s="65" t="n"/>
      <c r="I179" s="55" t="inlineStr">
        <is>
          <t>ALQUILER IMPRESORA CRAFT BUENAVENTURA</t>
        </is>
      </c>
      <c r="J179" s="55" t="inlineStr">
        <is>
          <t>Buenaventura</t>
        </is>
      </c>
      <c r="K179" s="55" t="inlineStr">
        <is>
          <t>FEMC9527</t>
        </is>
      </c>
      <c r="L179" s="63" t="n"/>
      <c r="M179" s="63" t="n"/>
      <c r="N179" s="63" t="n"/>
      <c r="O179" s="66" t="n">
        <v>196000</v>
      </c>
      <c r="P179" s="55" t="n">
        <v>0</v>
      </c>
      <c r="Q179" s="55" t="n">
        <v>0</v>
      </c>
      <c r="R179" s="65" t="n">
        <v>196000</v>
      </c>
      <c r="S179" s="65" t="inlineStr">
        <is>
          <t>febrero 2025</t>
        </is>
      </c>
      <c r="T179" s="55" t="inlineStr">
        <is>
          <t>20</t>
        </is>
      </c>
      <c r="U179" s="63" t="n"/>
      <c r="V179" s="63" t="n"/>
      <c r="W179" s="55" t="n"/>
      <c r="X179" s="55" t="n"/>
      <c r="Y179" s="55" t="n"/>
      <c r="Z179" s="63" t="n"/>
    </row>
    <row r="180">
      <c r="A180" s="64" t="n">
        <v>177</v>
      </c>
      <c r="B180" s="55" t="inlineStr">
        <is>
          <t>CLARO S.A.</t>
        </is>
      </c>
      <c r="C180" s="55" t="n"/>
      <c r="D180" s="65" t="inlineStr">
        <is>
          <t>ADM</t>
        </is>
      </c>
      <c r="E180" s="65" t="n"/>
      <c r="F180" s="65" t="inlineStr">
        <is>
          <t>Celulares</t>
        </is>
      </c>
      <c r="G180" s="65" t="n"/>
      <c r="H180" s="65" t="inlineStr">
        <is>
          <t>Fijo</t>
        </is>
      </c>
      <c r="I180" s="55" t="inlineStr">
        <is>
          <t>PLAN DATOS RAFAEL DE SA</t>
        </is>
      </c>
      <c r="J180" s="55" t="inlineStr">
        <is>
          <t>Transversal</t>
        </is>
      </c>
      <c r="K180" s="55" t="inlineStr">
        <is>
          <t>E6029701400</t>
        </is>
      </c>
      <c r="L180" s="63" t="n"/>
      <c r="M180" s="63" t="n"/>
      <c r="N180" s="63" t="n"/>
      <c r="O180" s="66" t="n">
        <v>107605</v>
      </c>
      <c r="P180" s="55" t="n">
        <v>0</v>
      </c>
      <c r="Q180" s="55" t="n">
        <v>0</v>
      </c>
      <c r="R180" s="65" t="n">
        <v>107605</v>
      </c>
      <c r="S180" s="65" t="inlineStr">
        <is>
          <t>febrero 2025</t>
        </is>
      </c>
      <c r="T180" s="55" t="inlineStr">
        <is>
          <t>5008</t>
        </is>
      </c>
      <c r="U180" s="63" t="n"/>
      <c r="V180" s="63" t="n"/>
      <c r="W180" s="55" t="n"/>
      <c r="X180" s="55" t="n"/>
      <c r="Y180" s="55" t="n"/>
      <c r="Z180" s="63" t="n"/>
    </row>
    <row r="181">
      <c r="A181" s="64" t="n">
        <v>178</v>
      </c>
      <c r="B181" s="55" t="inlineStr">
        <is>
          <t>TIGO</t>
        </is>
      </c>
      <c r="C181" s="55" t="n"/>
      <c r="D181" s="65" t="inlineStr">
        <is>
          <t>ADM</t>
        </is>
      </c>
      <c r="E181" s="65" t="n"/>
      <c r="F181" s="65" t="inlineStr">
        <is>
          <t>Telefono fijo</t>
        </is>
      </c>
      <c r="G181" s="65" t="n"/>
      <c r="H181" s="65" t="inlineStr">
        <is>
          <t>Fijo</t>
        </is>
      </c>
      <c r="I181" s="55" t="inlineStr">
        <is>
          <t>SERVICIO TELEFONIA CRAFT MEDELLIN</t>
        </is>
      </c>
      <c r="J181" s="55" t="inlineStr">
        <is>
          <t>Medellín</t>
        </is>
      </c>
      <c r="K181" s="55" t="inlineStr">
        <is>
          <t>BOPU131385893</t>
        </is>
      </c>
      <c r="L181" s="63" t="n"/>
      <c r="M181" s="63" t="n"/>
      <c r="N181" s="63" t="n"/>
      <c r="O181" s="66" t="n">
        <v>115030</v>
      </c>
      <c r="P181" s="55" t="n">
        <v>0</v>
      </c>
      <c r="Q181" s="55" t="n">
        <v>0</v>
      </c>
      <c r="R181" s="65" t="n">
        <v>115030</v>
      </c>
      <c r="S181" s="65" t="inlineStr">
        <is>
          <t>febrero 2025</t>
        </is>
      </c>
      <c r="T181" s="55" t="inlineStr">
        <is>
          <t>68</t>
        </is>
      </c>
      <c r="U181" s="63" t="n"/>
      <c r="V181" s="63" t="n"/>
      <c r="W181" s="55" t="n"/>
      <c r="X181" s="55" t="n"/>
      <c r="Y181" s="55" t="n"/>
      <c r="Z181" s="63" t="n"/>
    </row>
    <row r="182">
      <c r="A182" s="64" t="n">
        <v>179</v>
      </c>
      <c r="B182" s="55" t="inlineStr">
        <is>
          <t>TIGO</t>
        </is>
      </c>
      <c r="C182" s="55" t="n"/>
      <c r="D182" s="65" t="inlineStr">
        <is>
          <t>IT</t>
        </is>
      </c>
      <c r="E182" s="65" t="n"/>
      <c r="F182" s="65" t="inlineStr">
        <is>
          <t>Internet oficinas</t>
        </is>
      </c>
      <c r="G182" s="65" t="n"/>
      <c r="H182" s="65" t="inlineStr">
        <is>
          <t>Fijo</t>
        </is>
      </c>
      <c r="I182" s="55" t="inlineStr">
        <is>
          <t>SERVICIO INTERNET CRAFT MEDELLIN</t>
        </is>
      </c>
      <c r="J182" s="55" t="inlineStr">
        <is>
          <t>Medellín</t>
        </is>
      </c>
      <c r="K182" s="55" t="inlineStr">
        <is>
          <t>BOPU131341955</t>
        </is>
      </c>
      <c r="L182" s="63" t="n"/>
      <c r="M182" s="63" t="n"/>
      <c r="N182" s="63" t="n"/>
      <c r="O182" s="66" t="n">
        <v>143404</v>
      </c>
      <c r="P182" s="55" t="n">
        <v>0</v>
      </c>
      <c r="Q182" s="55" t="n">
        <v>0</v>
      </c>
      <c r="R182" s="65" t="n">
        <v>143404</v>
      </c>
      <c r="S182" s="65" t="inlineStr">
        <is>
          <t>febrero 2025</t>
        </is>
      </c>
      <c r="T182" s="55" t="inlineStr">
        <is>
          <t>69</t>
        </is>
      </c>
      <c r="U182" s="63" t="n"/>
      <c r="V182" s="63" t="n"/>
      <c r="W182" s="55" t="n"/>
      <c r="X182" s="55" t="n"/>
      <c r="Y182" s="55" t="n"/>
      <c r="Z182" s="63" t="n"/>
    </row>
    <row r="183">
      <c r="A183" s="64" t="n">
        <v>180</v>
      </c>
      <c r="B183" s="55" t="inlineStr">
        <is>
          <t>TIGO</t>
        </is>
      </c>
      <c r="C183" s="55" t="n"/>
      <c r="D183" s="65" t="inlineStr">
        <is>
          <t>ADM</t>
        </is>
      </c>
      <c r="E183" s="65" t="n"/>
      <c r="F183" s="65" t="inlineStr">
        <is>
          <t>Telefono fijo</t>
        </is>
      </c>
      <c r="G183" s="65" t="n"/>
      <c r="H183" s="65" t="inlineStr">
        <is>
          <t>Fijo</t>
        </is>
      </c>
      <c r="I183" s="55" t="inlineStr">
        <is>
          <t>SERVICIO NUMERO UNICO CRAFT MEDELLIN</t>
        </is>
      </c>
      <c r="J183" s="55" t="inlineStr">
        <is>
          <t>Medellín</t>
        </is>
      </c>
      <c r="K183" s="55" t="inlineStr">
        <is>
          <t>BOPU131331423</t>
        </is>
      </c>
      <c r="L183" s="63" t="n"/>
      <c r="M183" s="63" t="n"/>
      <c r="N183" s="63" t="n"/>
      <c r="O183" s="66" t="n">
        <v>27351</v>
      </c>
      <c r="P183" s="55" t="n">
        <v>0</v>
      </c>
      <c r="Q183" s="55" t="n">
        <v>0</v>
      </c>
      <c r="R183" s="65" t="n">
        <v>27351</v>
      </c>
      <c r="S183" s="65" t="inlineStr">
        <is>
          <t>febrero 2025</t>
        </is>
      </c>
      <c r="T183" s="55" t="inlineStr">
        <is>
          <t>70</t>
        </is>
      </c>
      <c r="U183" s="63" t="n"/>
      <c r="V183" s="63" t="n"/>
      <c r="W183" s="55" t="n"/>
      <c r="X183" s="55" t="n"/>
      <c r="Y183" s="55" t="n"/>
      <c r="Z183" s="63" t="n"/>
    </row>
    <row r="184">
      <c r="A184" s="64" t="n">
        <v>181</v>
      </c>
      <c r="B184" s="55" t="inlineStr">
        <is>
          <t>INVERSIONES HOTELERAS BUENAVENTURA S.A.S.</t>
        </is>
      </c>
      <c r="C184" s="55" t="n"/>
      <c r="D184" s="65" t="inlineStr">
        <is>
          <t>ADM</t>
        </is>
      </c>
      <c r="E184" s="65" t="n"/>
      <c r="F184" s="65" t="inlineStr">
        <is>
          <t>Agua</t>
        </is>
      </c>
      <c r="G184" s="65" t="n"/>
      <c r="H184" s="65" t="inlineStr">
        <is>
          <t>Fijo</t>
        </is>
      </c>
      <c r="I184" s="55" t="inlineStr">
        <is>
          <t xml:space="preserve">RECOBRO SERVICIOS PUBLICOS  DE CRAFT BUENAVENTURA  </t>
        </is>
      </c>
      <c r="J184" s="55" t="inlineStr">
        <is>
          <t>Buenaventura</t>
        </is>
      </c>
      <c r="K184" s="55" t="inlineStr">
        <is>
          <t>RCE4739</t>
        </is>
      </c>
      <c r="L184" s="63" t="n"/>
      <c r="M184" s="63" t="n"/>
      <c r="N184" s="63" t="n"/>
      <c r="O184" s="66" t="n">
        <v>566854</v>
      </c>
      <c r="P184" s="55" t="n">
        <v>0</v>
      </c>
      <c r="Q184" s="55" t="n">
        <v>0</v>
      </c>
      <c r="R184" s="65" t="n">
        <v>566854</v>
      </c>
      <c r="S184" s="65" t="inlineStr">
        <is>
          <t>febrero 2025</t>
        </is>
      </c>
      <c r="T184" s="55" t="inlineStr">
        <is>
          <t>22</t>
        </is>
      </c>
      <c r="U184" s="63" t="n"/>
      <c r="V184" s="63" t="n"/>
      <c r="W184" s="55" t="n"/>
      <c r="X184" s="55" t="n"/>
      <c r="Y184" s="55" t="n"/>
      <c r="Z184" s="63" t="n"/>
    </row>
    <row r="185">
      <c r="A185" s="64" t="n">
        <v>182</v>
      </c>
      <c r="B185" s="55" t="inlineStr">
        <is>
          <t>GRUPO HAKIM &amp;amp; CARVAJAL SAS</t>
        </is>
      </c>
      <c r="C185" s="55" t="n"/>
      <c r="D185" s="65" t="inlineStr">
        <is>
          <t>ADM</t>
        </is>
      </c>
      <c r="E185" s="65" t="n"/>
      <c r="F185" s="65" t="inlineStr">
        <is>
          <t>Regalos clientes</t>
        </is>
      </c>
      <c r="G185" s="65" t="n"/>
      <c r="H185" s="65" t="inlineStr">
        <is>
          <t>Variable</t>
        </is>
      </c>
      <c r="I185" s="55" t="inlineStr">
        <is>
          <t xml:space="preserve">OBSEQUIOS DE CLIENTES VIVIANA LEON </t>
        </is>
      </c>
      <c r="J185" s="55" t="inlineStr">
        <is>
          <t>Transversal</t>
        </is>
      </c>
      <c r="K185" s="55" t="inlineStr">
        <is>
          <t>GHCA26343</t>
        </is>
      </c>
      <c r="L185" s="63" t="n"/>
      <c r="M185" s="63" t="n"/>
      <c r="N185" s="63" t="n"/>
      <c r="O185" s="66" t="n">
        <v>4460000</v>
      </c>
      <c r="P185" s="55" t="n">
        <v>0</v>
      </c>
      <c r="Q185" s="55" t="n">
        <v>0</v>
      </c>
      <c r="R185" s="65" t="n">
        <v>4460000</v>
      </c>
      <c r="S185" s="65" t="inlineStr">
        <is>
          <t>febrero 2025</t>
        </is>
      </c>
      <c r="T185" s="55" t="inlineStr">
        <is>
          <t>5230</t>
        </is>
      </c>
      <c r="U185" s="63" t="n"/>
      <c r="V185" s="63" t="n"/>
      <c r="W185" s="55" t="n"/>
      <c r="X185" s="55" t="n"/>
      <c r="Y185" s="55" t="n"/>
      <c r="Z185" s="63" t="n"/>
    </row>
    <row r="186">
      <c r="A186" s="64" t="n">
        <v>183</v>
      </c>
      <c r="B186" s="55" t="inlineStr">
        <is>
          <t>Henry de jesus Sarmiento Rodriguez</t>
        </is>
      </c>
      <c r="C186" s="55" t="n"/>
      <c r="D186" s="65" t="inlineStr">
        <is>
          <t>ADM</t>
        </is>
      </c>
      <c r="E186" s="65" t="n"/>
      <c r="F186" s="65" t="inlineStr">
        <is>
          <t>Conducao E Taxi</t>
        </is>
      </c>
      <c r="G186" s="65" t="n"/>
      <c r="H186" s="65" t="inlineStr">
        <is>
          <t>Variable</t>
        </is>
      </c>
      <c r="I186" s="55" t="inlineStr">
        <is>
          <t>SERVICIO TRANSPORTE COLABORADORES CRAFT EN BOGOTA</t>
        </is>
      </c>
      <c r="J186" s="55" t="inlineStr">
        <is>
          <t>Calle 100</t>
        </is>
      </c>
      <c r="K186" s="55" t="inlineStr">
        <is>
          <t>FE32</t>
        </is>
      </c>
      <c r="L186" s="63" t="n"/>
      <c r="M186" s="63" t="n"/>
      <c r="N186" s="63" t="n"/>
      <c r="O186" s="66" t="n">
        <v>588000</v>
      </c>
      <c r="P186" s="55" t="n">
        <v>0</v>
      </c>
      <c r="Q186" s="55" t="n">
        <v>0</v>
      </c>
      <c r="R186" s="65" t="n">
        <v>588000</v>
      </c>
      <c r="S186" s="65" t="inlineStr">
        <is>
          <t>febrero 2025</t>
        </is>
      </c>
      <c r="T186" s="55" t="inlineStr">
        <is>
          <t>5032</t>
        </is>
      </c>
      <c r="U186" s="63" t="n"/>
      <c r="V186" s="63" t="n"/>
      <c r="W186" s="55" t="n"/>
      <c r="X186" s="55" t="n"/>
      <c r="Y186" s="55" t="n"/>
      <c r="Z186" s="63" t="n"/>
    </row>
    <row r="187">
      <c r="A187" s="64" t="n">
        <v>184</v>
      </c>
      <c r="B187" s="55" t="inlineStr">
        <is>
          <t>LUZ DARY MINA GARCES</t>
        </is>
      </c>
      <c r="C187" s="55" t="n"/>
      <c r="D187" s="65" t="inlineStr">
        <is>
          <t>ADM</t>
        </is>
      </c>
      <c r="E187" s="65" t="n"/>
      <c r="F187" s="65" t="inlineStr">
        <is>
          <t>Otros Gastos CASA LIMPIA PLANILLA AC OTROS</t>
        </is>
      </c>
      <c r="G187" s="65" t="n"/>
      <c r="H187" s="65" t="inlineStr">
        <is>
          <t>Fijo</t>
        </is>
      </c>
      <c r="I187" s="55" t="inlineStr">
        <is>
          <t>SERVICIO ASEO GENERAL OFICINA CRAFT BUENAVENTURA</t>
        </is>
      </c>
      <c r="J187" s="55" t="inlineStr">
        <is>
          <t>Buenaventura</t>
        </is>
      </c>
      <c r="K187" s="55" t="inlineStr">
        <is>
          <t>171</t>
        </is>
      </c>
      <c r="L187" s="63" t="n"/>
      <c r="M187" s="63" t="n"/>
      <c r="N187" s="63" t="n"/>
      <c r="O187" s="66" t="n">
        <v>1000000</v>
      </c>
      <c r="P187" s="55" t="n">
        <v>0</v>
      </c>
      <c r="Q187" s="55" t="n">
        <v>0</v>
      </c>
      <c r="R187" s="65" t="n">
        <v>1000000</v>
      </c>
      <c r="S187" s="65" t="inlineStr">
        <is>
          <t>febrero 2025</t>
        </is>
      </c>
      <c r="T187" s="55" t="inlineStr">
        <is>
          <t>21</t>
        </is>
      </c>
      <c r="U187" s="63" t="n"/>
      <c r="V187" s="63" t="n"/>
      <c r="W187" s="55" t="n"/>
      <c r="X187" s="55" t="n"/>
      <c r="Y187" s="55" t="n"/>
      <c r="Z187" s="63" t="n"/>
    </row>
    <row r="188">
      <c r="A188" s="64" t="n">
        <v>185</v>
      </c>
      <c r="B188" s="55" t="inlineStr">
        <is>
          <t>ETB</t>
        </is>
      </c>
      <c r="C188" s="55" t="n"/>
      <c r="D188" s="65" t="inlineStr">
        <is>
          <t>ADM</t>
        </is>
      </c>
      <c r="E188" s="65" t="n"/>
      <c r="F188" s="65" t="inlineStr">
        <is>
          <t>Telefono fijo</t>
        </is>
      </c>
      <c r="G188" s="65" t="n"/>
      <c r="H188" s="65" t="inlineStr">
        <is>
          <t>Fijo</t>
        </is>
      </c>
      <c r="I188" s="55" t="inlineStr">
        <is>
          <t>SERVICIO DE TELEFONIA LOCAL PBX</t>
        </is>
      </c>
      <c r="J188" s="55" t="inlineStr">
        <is>
          <t>Transversal</t>
        </is>
      </c>
      <c r="K188" s="55" t="inlineStr">
        <is>
          <t>FC1000343924</t>
        </is>
      </c>
      <c r="L188" s="63" t="n"/>
      <c r="M188" s="63" t="n"/>
      <c r="N188" s="63" t="n"/>
      <c r="O188" s="66" t="n">
        <v>1010511</v>
      </c>
      <c r="P188" s="55" t="n">
        <v>0</v>
      </c>
      <c r="Q188" s="55" t="n">
        <v>0</v>
      </c>
      <c r="R188" s="65" t="n">
        <v>1010511</v>
      </c>
      <c r="S188" s="65" t="inlineStr">
        <is>
          <t>febrero 2025</t>
        </is>
      </c>
      <c r="T188" s="55" t="inlineStr">
        <is>
          <t>5034</t>
        </is>
      </c>
      <c r="U188" s="63" t="n"/>
      <c r="V188" s="63" t="n"/>
      <c r="W188" s="55" t="n"/>
      <c r="X188" s="55" t="n"/>
      <c r="Y188" s="55" t="n"/>
      <c r="Z188" s="63" t="n"/>
    </row>
    <row r="189">
      <c r="A189" s="64" t="n">
        <v>186</v>
      </c>
      <c r="B189" s="55" t="inlineStr">
        <is>
          <t>JAVIER ANTONIO SANCHEZ</t>
        </is>
      </c>
      <c r="C189" s="55" t="n"/>
      <c r="D189" s="65" t="inlineStr">
        <is>
          <t>ADM</t>
        </is>
      </c>
      <c r="E189" s="65" t="n"/>
      <c r="F189" s="65" t="inlineStr">
        <is>
          <t>Bodegas</t>
        </is>
      </c>
      <c r="G189" s="65" t="n"/>
      <c r="H189" s="65" t="n"/>
      <c r="I189" s="55" t="inlineStr">
        <is>
          <t>ARRIENDO CUARTO DE BODEGA CRAFT BUENAVENTURA</t>
        </is>
      </c>
      <c r="J189" s="55" t="inlineStr">
        <is>
          <t>Buenaventura</t>
        </is>
      </c>
      <c r="K189" s="55" t="inlineStr">
        <is>
          <t>2026-02</t>
        </is>
      </c>
      <c r="L189" s="63" t="n"/>
      <c r="M189" s="63" t="n"/>
      <c r="N189" s="63" t="n"/>
      <c r="O189" s="66" t="n">
        <v>250000</v>
      </c>
      <c r="P189" s="55" t="n">
        <v>0</v>
      </c>
      <c r="Q189" s="55" t="n">
        <v>0</v>
      </c>
      <c r="R189" s="65" t="n">
        <v>250000</v>
      </c>
      <c r="S189" s="65" t="inlineStr">
        <is>
          <t>febrero 2025</t>
        </is>
      </c>
      <c r="T189" s="55" t="inlineStr">
        <is>
          <t>24</t>
        </is>
      </c>
      <c r="U189" s="63" t="n"/>
      <c r="V189" s="63" t="n"/>
      <c r="W189" s="55" t="n"/>
      <c r="X189" s="55" t="n"/>
      <c r="Y189" s="55" t="n"/>
      <c r="Z189" s="63" t="n"/>
    </row>
    <row r="190">
      <c r="A190" s="64" t="n">
        <v>187</v>
      </c>
      <c r="B190" s="55" t="inlineStr">
        <is>
          <t>SERVIDOMESTICAS SAS</t>
        </is>
      </c>
      <c r="C190" s="55" t="n"/>
      <c r="D190" s="65" t="inlineStr">
        <is>
          <t>ADM</t>
        </is>
      </c>
      <c r="E190" s="65" t="n"/>
      <c r="F190" s="65" t="inlineStr">
        <is>
          <t>Otros Gastos CASA LIMPIA PLANILLA AC OTROS</t>
        </is>
      </c>
      <c r="G190" s="65" t="n"/>
      <c r="H190" s="65" t="inlineStr">
        <is>
          <t>Fijo</t>
        </is>
      </c>
      <c r="I190" s="55" t="inlineStr">
        <is>
          <t>LIMPIEZA OFICINA SUCURSAL CRAFT MEDELLIN</t>
        </is>
      </c>
      <c r="J190" s="55" t="inlineStr">
        <is>
          <t>Medellín</t>
        </is>
      </c>
      <c r="K190" s="55" t="inlineStr">
        <is>
          <t>VP32279</t>
        </is>
      </c>
      <c r="L190" s="63" t="n"/>
      <c r="M190" s="63" t="n"/>
      <c r="N190" s="63" t="n"/>
      <c r="O190" s="66" t="n">
        <v>1142550</v>
      </c>
      <c r="P190" s="55" t="n">
        <v>0</v>
      </c>
      <c r="Q190" s="55" t="n">
        <v>0</v>
      </c>
      <c r="R190" s="65" t="n">
        <v>1142550</v>
      </c>
      <c r="S190" s="65" t="inlineStr">
        <is>
          <t>marzo 2025</t>
        </is>
      </c>
      <c r="T190" s="55" t="inlineStr">
        <is>
          <t>8</t>
        </is>
      </c>
      <c r="U190" s="63" t="n"/>
      <c r="V190" s="63" t="n"/>
      <c r="W190" s="55" t="n"/>
      <c r="X190" s="55" t="n"/>
      <c r="Y190" s="55" t="n"/>
      <c r="Z190" s="63" t="n"/>
    </row>
    <row r="191">
      <c r="A191" s="64" t="n">
        <v>188</v>
      </c>
      <c r="B191" s="55" t="inlineStr">
        <is>
          <t>IFX NETWORKS COLOMBIA S.A.S.</t>
        </is>
      </c>
      <c r="C191" s="55" t="n"/>
      <c r="D191" s="65" t="inlineStr">
        <is>
          <t>IT</t>
        </is>
      </c>
      <c r="E191" s="65" t="n"/>
      <c r="F191" s="65" t="inlineStr">
        <is>
          <t>Internet oficinas</t>
        </is>
      </c>
      <c r="G191" s="65" t="n"/>
      <c r="H191" s="65" t="inlineStr">
        <is>
          <t>Fijo</t>
        </is>
      </c>
      <c r="I191" s="55" t="inlineStr">
        <is>
          <t>SERVICO DE INTERNET EN TODAS LAS SUCURSALES</t>
        </is>
      </c>
      <c r="J191" s="55" t="inlineStr">
        <is>
          <t>Transversal</t>
        </is>
      </c>
      <c r="K191" s="55" t="inlineStr">
        <is>
          <t>IFXC455453</t>
        </is>
      </c>
      <c r="L191" s="63" t="n"/>
      <c r="M191" s="63" t="n"/>
      <c r="N191" s="63" t="n"/>
      <c r="O191" s="66" t="n">
        <v>12101082</v>
      </c>
      <c r="P191" s="55" t="n">
        <v>0</v>
      </c>
      <c r="Q191" s="55" t="n">
        <v>0</v>
      </c>
      <c r="R191" s="65" t="n">
        <v>12101082</v>
      </c>
      <c r="S191" s="65" t="inlineStr">
        <is>
          <t>marzo 2025</t>
        </is>
      </c>
      <c r="T191" s="55" t="inlineStr">
        <is>
          <t>351</t>
        </is>
      </c>
      <c r="U191" s="63" t="n"/>
      <c r="V191" s="63" t="n"/>
      <c r="W191" s="55" t="n"/>
      <c r="X191" s="55" t="n"/>
      <c r="Y191" s="55" t="n"/>
      <c r="Z191" s="63" t="n"/>
    </row>
    <row r="192">
      <c r="A192" s="64" t="n">
        <v>189</v>
      </c>
      <c r="B192" s="55" t="inlineStr">
        <is>
          <t>IFX NETWORKS COLOMBIA S.A.S.</t>
        </is>
      </c>
      <c r="C192" s="55" t="n"/>
      <c r="D192" s="65" t="inlineStr">
        <is>
          <t>IT</t>
        </is>
      </c>
      <c r="E192" s="65" t="n"/>
      <c r="F192" s="65" t="inlineStr">
        <is>
          <t>Internet oficinas</t>
        </is>
      </c>
      <c r="G192" s="65" t="n"/>
      <c r="H192" s="65" t="inlineStr">
        <is>
          <t>Fijo</t>
        </is>
      </c>
      <c r="I192" s="55" t="inlineStr">
        <is>
          <t>SERVICIO SD WAN</t>
        </is>
      </c>
      <c r="J192" s="55" t="inlineStr">
        <is>
          <t>Transversal</t>
        </is>
      </c>
      <c r="K192" s="55" t="inlineStr">
        <is>
          <t>IFXC455450</t>
        </is>
      </c>
      <c r="L192" s="63" t="n"/>
      <c r="M192" s="63" t="n"/>
      <c r="N192" s="63" t="n"/>
      <c r="O192" s="66" t="n">
        <v>3488538</v>
      </c>
      <c r="P192" s="55" t="n">
        <v>0</v>
      </c>
      <c r="Q192" s="55" t="n">
        <v>0</v>
      </c>
      <c r="R192" s="65" t="n">
        <v>3488538</v>
      </c>
      <c r="S192" s="65" t="inlineStr">
        <is>
          <t>marzo 2025</t>
        </is>
      </c>
      <c r="T192" s="55" t="inlineStr">
        <is>
          <t>352</t>
        </is>
      </c>
      <c r="U192" s="63" t="n"/>
      <c r="V192" s="63" t="n"/>
      <c r="W192" s="55" t="n"/>
      <c r="X192" s="55" t="n"/>
      <c r="Y192" s="55" t="n"/>
      <c r="Z192" s="63" t="n"/>
    </row>
    <row r="193">
      <c r="A193" s="64" t="n">
        <v>190</v>
      </c>
      <c r="B193" s="55" t="inlineStr">
        <is>
          <t>EDIFICIO TORRES DEL ATLANTICO</t>
        </is>
      </c>
      <c r="C193" s="55" t="n"/>
      <c r="D193" s="65" t="inlineStr">
        <is>
          <t>ADM</t>
        </is>
      </c>
      <c r="E193" s="65" t="n"/>
      <c r="F193" s="65" t="inlineStr">
        <is>
          <t>Administración</t>
        </is>
      </c>
      <c r="G193" s="65" t="n"/>
      <c r="H193" s="65" t="n"/>
      <c r="I193" s="55" t="inlineStr">
        <is>
          <t>CUOTA DE ADMINISTRACION CRAFT BARRANQUILLA</t>
        </is>
      </c>
      <c r="J193" s="55" t="inlineStr">
        <is>
          <t>Barranquilla</t>
        </is>
      </c>
      <c r="K193" s="55" t="inlineStr">
        <is>
          <t>TDA7747</t>
        </is>
      </c>
      <c r="L193" s="63" t="n"/>
      <c r="M193" s="63" t="n"/>
      <c r="N193" s="63" t="n"/>
      <c r="O193" s="66" t="n">
        <v>860510</v>
      </c>
      <c r="P193" s="55" t="n">
        <v>0</v>
      </c>
      <c r="Q193" s="55" t="n">
        <v>0</v>
      </c>
      <c r="R193" s="65" t="n">
        <v>860510</v>
      </c>
      <c r="S193" s="65" t="inlineStr">
        <is>
          <t>marzo 2025</t>
        </is>
      </c>
      <c r="T193" s="55" t="inlineStr">
        <is>
          <t>1</t>
        </is>
      </c>
      <c r="U193" s="63" t="n"/>
      <c r="V193" s="63" t="n"/>
      <c r="W193" s="55" t="n"/>
      <c r="X193" s="55" t="n"/>
      <c r="Y193" s="55" t="n"/>
      <c r="Z193" s="63" t="n"/>
    </row>
    <row r="194">
      <c r="A194" s="64" t="n">
        <v>191</v>
      </c>
      <c r="B194" s="55" t="inlineStr">
        <is>
          <t>JCO INVERSIONES S.A.S</t>
        </is>
      </c>
      <c r="C194" s="55" t="n"/>
      <c r="D194" s="65" t="inlineStr">
        <is>
          <t>ADM</t>
        </is>
      </c>
      <c r="E194" s="65" t="n"/>
      <c r="F194" s="65" t="inlineStr">
        <is>
          <t>Parqueaderos</t>
        </is>
      </c>
      <c r="G194" s="65" t="n"/>
      <c r="H194" s="65" t="inlineStr">
        <is>
          <t>Fijo</t>
        </is>
      </c>
      <c r="I194" s="55" t="inlineStr">
        <is>
          <t>CANON ARRENDAMIENTO 2 ESPACIOS DE PARQUEADERO CRAFT BOGOTA</t>
        </is>
      </c>
      <c r="J194" s="55" t="inlineStr">
        <is>
          <t>Calle 100</t>
        </is>
      </c>
      <c r="K194" s="55" t="inlineStr">
        <is>
          <t>695903</t>
        </is>
      </c>
      <c r="L194" s="63" t="n"/>
      <c r="M194" s="63" t="n"/>
      <c r="N194" s="63" t="n"/>
      <c r="O194" s="66" t="n">
        <v>711870</v>
      </c>
      <c r="P194" s="55" t="n">
        <v>0</v>
      </c>
      <c r="Q194" s="55" t="n">
        <v>0</v>
      </c>
      <c r="R194" s="65" t="n">
        <v>711870</v>
      </c>
      <c r="S194" s="65" t="inlineStr">
        <is>
          <t>marzo 2025</t>
        </is>
      </c>
      <c r="T194" s="55" t="inlineStr">
        <is>
          <t>353</t>
        </is>
      </c>
      <c r="U194" s="63" t="n"/>
      <c r="V194" s="63" t="n"/>
      <c r="W194" s="55" t="n"/>
      <c r="X194" s="55" t="n"/>
      <c r="Y194" s="55" t="n"/>
      <c r="Z194" s="63" t="n"/>
    </row>
    <row r="195">
      <c r="A195" s="64" t="n">
        <v>192</v>
      </c>
      <c r="B195" s="55" t="inlineStr">
        <is>
          <t>PALAN SOCIEDAD POR ACCIONES SIMPLIFICADA</t>
        </is>
      </c>
      <c r="C195" s="55" t="n"/>
      <c r="D195" s="65" t="inlineStr">
        <is>
          <t>ADM</t>
        </is>
      </c>
      <c r="E195" s="65" t="n"/>
      <c r="F195" s="65" t="inlineStr">
        <is>
          <t>Arriendos</t>
        </is>
      </c>
      <c r="G195" s="65" t="n"/>
      <c r="H195" s="65" t="inlineStr">
        <is>
          <t>Fijo</t>
        </is>
      </c>
      <c r="I195" s="55" t="inlineStr">
        <is>
          <t>CANON ARRENDAMIENTO OF 802 SUC CRAFT BOGOTA</t>
        </is>
      </c>
      <c r="J195" s="55" t="inlineStr">
        <is>
          <t>Calle 100</t>
        </is>
      </c>
      <c r="K195" s="55" t="inlineStr">
        <is>
          <t>FE280</t>
        </is>
      </c>
      <c r="L195" s="63" t="n"/>
      <c r="M195" s="63" t="n"/>
      <c r="N195" s="63" t="n"/>
      <c r="O195" s="66" t="n">
        <v>28741955</v>
      </c>
      <c r="P195" s="55" t="n">
        <v>0</v>
      </c>
      <c r="Q195" s="55" t="n">
        <v>0</v>
      </c>
      <c r="R195" s="65" t="n">
        <v>28741955</v>
      </c>
      <c r="S195" s="65" t="inlineStr">
        <is>
          <t>marzo 2025</t>
        </is>
      </c>
      <c r="T195" s="55" t="inlineStr">
        <is>
          <t>354</t>
        </is>
      </c>
      <c r="U195" s="63" t="n"/>
      <c r="V195" s="63" t="n"/>
      <c r="W195" s="55" t="n"/>
      <c r="X195" s="55" t="n"/>
      <c r="Y195" s="55" t="n"/>
      <c r="Z195" s="63" t="n"/>
    </row>
    <row r="196">
      <c r="A196" s="64" t="n">
        <v>193</v>
      </c>
      <c r="B196" s="55" t="inlineStr">
        <is>
          <t>PC QUICK SAS</t>
        </is>
      </c>
      <c r="C196" s="55" t="n"/>
      <c r="D196" s="65" t="inlineStr">
        <is>
          <t>ADM</t>
        </is>
      </c>
      <c r="E196" s="65" t="n"/>
      <c r="F196" s="65" t="inlineStr">
        <is>
          <t>Conservacion Y Manutenimiento De Oficina</t>
        </is>
      </c>
      <c r="G196" s="65" t="n"/>
      <c r="H196" s="65" t="n"/>
      <c r="I196" s="55" t="inlineStr">
        <is>
          <t>DIAGNOSTICO IMPRESORA RICOH AEROPUERTO</t>
        </is>
      </c>
      <c r="J196" s="55" t="inlineStr">
        <is>
          <t>Aeropuerto</t>
        </is>
      </c>
      <c r="K196" s="55" t="inlineStr">
        <is>
          <t>PFE9898</t>
        </is>
      </c>
      <c r="L196" s="63" t="n"/>
      <c r="M196" s="63" t="n"/>
      <c r="N196" s="63" t="n"/>
      <c r="O196" s="66" t="n">
        <v>65450</v>
      </c>
      <c r="P196" s="55" t="n">
        <v>0</v>
      </c>
      <c r="Q196" s="55" t="n">
        <v>0</v>
      </c>
      <c r="R196" s="65" t="n">
        <v>65450</v>
      </c>
      <c r="S196" s="65" t="inlineStr">
        <is>
          <t>marzo 2025</t>
        </is>
      </c>
      <c r="T196" s="55" t="inlineStr">
        <is>
          <t>430</t>
        </is>
      </c>
      <c r="U196" s="63" t="n"/>
      <c r="V196" s="63" t="n"/>
      <c r="W196" s="55" t="n"/>
      <c r="X196" s="55" t="n"/>
      <c r="Y196" s="55" t="n"/>
      <c r="Z196" s="63" t="n"/>
    </row>
    <row r="197">
      <c r="A197" s="64" t="n">
        <v>194</v>
      </c>
      <c r="B197" s="55" t="inlineStr">
        <is>
          <t>LI STORAGE SAS</t>
        </is>
      </c>
      <c r="C197" s="55" t="n"/>
      <c r="D197" s="65" t="inlineStr">
        <is>
          <t>ADM</t>
        </is>
      </c>
      <c r="E197" s="65" t="n"/>
      <c r="F197" s="65" t="inlineStr">
        <is>
          <t>Bodegas</t>
        </is>
      </c>
      <c r="G197" s="65" t="n"/>
      <c r="H197" s="65" t="inlineStr">
        <is>
          <t>Fijo</t>
        </is>
      </c>
      <c r="I197" s="55" t="inlineStr">
        <is>
          <t>ALMACENAMIENTO EN BODEGA  CRAFT BOGOTA</t>
        </is>
      </c>
      <c r="J197" s="55" t="inlineStr">
        <is>
          <t>Transversal</t>
        </is>
      </c>
      <c r="K197" s="55" t="inlineStr">
        <is>
          <t>FE5240</t>
        </is>
      </c>
      <c r="L197" s="63" t="n"/>
      <c r="M197" s="63" t="n"/>
      <c r="N197" s="63" t="n"/>
      <c r="O197" s="66" t="n">
        <v>715547</v>
      </c>
      <c r="P197" s="55" t="n">
        <v>0</v>
      </c>
      <c r="Q197" s="55" t="n">
        <v>0</v>
      </c>
      <c r="R197" s="65" t="n">
        <v>715547</v>
      </c>
      <c r="S197" s="65" t="inlineStr">
        <is>
          <t>marzo 2025</t>
        </is>
      </c>
      <c r="T197" s="55" t="inlineStr">
        <is>
          <t>355</t>
        </is>
      </c>
      <c r="U197" s="63" t="n"/>
      <c r="V197" s="63" t="n"/>
      <c r="W197" s="55" t="n"/>
      <c r="X197" s="55" t="n"/>
      <c r="Y197" s="55" t="n"/>
      <c r="Z197" s="63" t="n"/>
    </row>
    <row r="198">
      <c r="A198" s="64" t="n">
        <v>195</v>
      </c>
      <c r="B198" s="55" t="inlineStr">
        <is>
          <t>CONTRATOS Y FIANZAS DE ARRENDAMIENTO S.A.S.</t>
        </is>
      </c>
      <c r="C198" s="55" t="n"/>
      <c r="D198" s="65" t="inlineStr">
        <is>
          <t>ADM</t>
        </is>
      </c>
      <c r="E198" s="65" t="n"/>
      <c r="F198" s="65" t="inlineStr">
        <is>
          <t>Arriendos</t>
        </is>
      </c>
      <c r="G198" s="65" t="n"/>
      <c r="H198" s="65" t="inlineStr">
        <is>
          <t>Fijo</t>
        </is>
      </c>
      <c r="I198" s="55" t="inlineStr">
        <is>
          <t>CANON DE ARRENDAMIENTO CRAFT MEDELLIN</t>
        </is>
      </c>
      <c r="J198" s="55" t="inlineStr">
        <is>
          <t>Medellín</t>
        </is>
      </c>
      <c r="K198" s="55" t="inlineStr">
        <is>
          <t>FE581186</t>
        </is>
      </c>
      <c r="L198" s="63" t="n"/>
      <c r="M198" s="63" t="n"/>
      <c r="N198" s="63" t="n"/>
      <c r="O198" s="66" t="n">
        <v>6682717</v>
      </c>
      <c r="P198" s="55" t="n">
        <v>0</v>
      </c>
      <c r="Q198" s="55" t="n">
        <v>0</v>
      </c>
      <c r="R198" s="65" t="n">
        <v>6682717</v>
      </c>
      <c r="S198" s="65" t="inlineStr">
        <is>
          <t>marzo 2025</t>
        </is>
      </c>
      <c r="T198" s="55" t="inlineStr">
        <is>
          <t>9</t>
        </is>
      </c>
      <c r="U198" s="63" t="n"/>
      <c r="V198" s="63" t="n"/>
      <c r="W198" s="55" t="n"/>
      <c r="X198" s="55" t="n"/>
      <c r="Y198" s="55" t="n"/>
      <c r="Z198" s="63" t="n"/>
    </row>
    <row r="199">
      <c r="A199" s="64" t="n">
        <v>196</v>
      </c>
      <c r="B199" s="55" t="inlineStr">
        <is>
          <t>SUMAR INVERSIONES Y PROYECTOS S.A.S.</t>
        </is>
      </c>
      <c r="C199" s="55" t="n"/>
      <c r="D199" s="65" t="inlineStr">
        <is>
          <t>ADM</t>
        </is>
      </c>
      <c r="E199" s="65" t="n"/>
      <c r="F199" s="65" t="inlineStr">
        <is>
          <t>Arriendos</t>
        </is>
      </c>
      <c r="G199" s="65" t="n"/>
      <c r="H199" s="65" t="inlineStr">
        <is>
          <t>Fijo</t>
        </is>
      </c>
      <c r="I199" s="55" t="inlineStr">
        <is>
          <t>CANON DE ARRENDAMIENTO Y ADMON CRAFT CALI</t>
        </is>
      </c>
      <c r="J199" s="55" t="inlineStr">
        <is>
          <t>Cali</t>
        </is>
      </c>
      <c r="K199" s="55" t="inlineStr">
        <is>
          <t>FESU261</t>
        </is>
      </c>
      <c r="L199" s="63" t="n"/>
      <c r="M199" s="63" t="n"/>
      <c r="N199" s="63" t="n"/>
      <c r="O199" s="66" t="n">
        <v>5310474</v>
      </c>
      <c r="P199" s="55" t="n">
        <v>0</v>
      </c>
      <c r="Q199" s="55" t="n">
        <v>0</v>
      </c>
      <c r="R199" s="65" t="n">
        <v>5310474</v>
      </c>
      <c r="S199" s="65" t="inlineStr">
        <is>
          <t>marzo 2025</t>
        </is>
      </c>
      <c r="T199" s="55" t="inlineStr">
        <is>
          <t>1</t>
        </is>
      </c>
      <c r="U199" s="63" t="n"/>
      <c r="V199" s="63" t="n"/>
      <c r="W199" s="55" t="n"/>
      <c r="X199" s="55" t="n"/>
      <c r="Y199" s="55" t="n"/>
      <c r="Z199" s="63" t="n"/>
    </row>
    <row r="200">
      <c r="A200" s="64" t="n">
        <v>197</v>
      </c>
      <c r="B200" s="55" t="inlineStr">
        <is>
          <t>ASTURIAS SOLUCIONES DE INGENIERIA BUCEO COMERCIAL Y DRAGADO SAS</t>
        </is>
      </c>
      <c r="C200" s="55" t="n"/>
      <c r="D200" s="65" t="inlineStr">
        <is>
          <t>ADM</t>
        </is>
      </c>
      <c r="E200" s="65" t="n"/>
      <c r="F200" s="65" t="inlineStr">
        <is>
          <t>Administración</t>
        </is>
      </c>
      <c r="G200" s="65" t="n"/>
      <c r="H200" s="65" t="inlineStr">
        <is>
          <t>Fijo</t>
        </is>
      </c>
      <c r="I200" s="55" t="inlineStr">
        <is>
          <t>CUOTA ADMINISTRCION OF 501 CRAFT BUENAVENTURA</t>
        </is>
      </c>
      <c r="J200" s="55" t="inlineStr">
        <is>
          <t>Buenaventura</t>
        </is>
      </c>
      <c r="K200" s="55" t="inlineStr">
        <is>
          <t>FVEL2774</t>
        </is>
      </c>
      <c r="L200" s="63" t="n"/>
      <c r="M200" s="63" t="n"/>
      <c r="N200" s="63" t="n"/>
      <c r="O200" s="66" t="n">
        <v>680090</v>
      </c>
      <c r="P200" s="55" t="n">
        <v>0</v>
      </c>
      <c r="Q200" s="55" t="n">
        <v>0</v>
      </c>
      <c r="R200" s="65" t="n">
        <v>680090</v>
      </c>
      <c r="S200" s="65" t="inlineStr">
        <is>
          <t>marzo 2025</t>
        </is>
      </c>
      <c r="T200" s="55" t="inlineStr">
        <is>
          <t>2</t>
        </is>
      </c>
      <c r="U200" s="63" t="n"/>
      <c r="V200" s="63" t="n"/>
      <c r="W200" s="55" t="n"/>
      <c r="X200" s="55" t="n"/>
      <c r="Y200" s="55" t="n"/>
      <c r="Z200" s="63" t="n"/>
    </row>
    <row r="201">
      <c r="A201" s="64" t="n">
        <v>198</v>
      </c>
      <c r="B201" s="55" t="inlineStr">
        <is>
          <t>ASTURIAS SOLUCIONES DE INGENIERIA BUCEO COMERCIAL Y DRAGADO SAS</t>
        </is>
      </c>
      <c r="C201" s="55" t="n"/>
      <c r="D201" s="65" t="inlineStr">
        <is>
          <t>ADM</t>
        </is>
      </c>
      <c r="E201" s="65" t="n"/>
      <c r="F201" s="65" t="inlineStr">
        <is>
          <t>Arriendos</t>
        </is>
      </c>
      <c r="G201" s="65" t="n"/>
      <c r="H201" s="65" t="inlineStr">
        <is>
          <t>Fijo</t>
        </is>
      </c>
      <c r="I201" s="55" t="inlineStr">
        <is>
          <t>ALQUILER OFICINA 501 SUC CRAFT BUENAVENTURA</t>
        </is>
      </c>
      <c r="J201" s="55" t="inlineStr">
        <is>
          <t>Buenaventura</t>
        </is>
      </c>
      <c r="K201" s="55" t="inlineStr">
        <is>
          <t>FVEL2775</t>
        </is>
      </c>
      <c r="L201" s="63" t="n"/>
      <c r="M201" s="63" t="n"/>
      <c r="N201" s="63" t="n"/>
      <c r="O201" s="66" t="n">
        <v>7042846</v>
      </c>
      <c r="P201" s="55" t="n">
        <v>0</v>
      </c>
      <c r="Q201" s="55" t="n">
        <v>0</v>
      </c>
      <c r="R201" s="65" t="n">
        <v>7042846</v>
      </c>
      <c r="S201" s="65" t="inlineStr">
        <is>
          <t>marzo 2025</t>
        </is>
      </c>
      <c r="T201" s="55" t="inlineStr">
        <is>
          <t>3</t>
        </is>
      </c>
      <c r="U201" s="63" t="n"/>
      <c r="V201" s="63" t="n"/>
      <c r="W201" s="55" t="n"/>
      <c r="X201" s="55" t="n"/>
      <c r="Y201" s="55" t="n"/>
      <c r="Z201" s="63" t="n"/>
    </row>
    <row r="202">
      <c r="A202" s="64" t="n">
        <v>199</v>
      </c>
      <c r="B202" s="55" t="inlineStr">
        <is>
          <t>TECNOLOGIA INFORMATICA TECINF SAS</t>
        </is>
      </c>
      <c r="C202" s="55" t="n"/>
      <c r="D202" s="65" t="inlineStr">
        <is>
          <t>IT</t>
        </is>
      </c>
      <c r="E202" s="65" t="n"/>
      <c r="F202" s="65" t="inlineStr">
        <is>
          <t>Insumos y perifericos</t>
        </is>
      </c>
      <c r="G202" s="65" t="n"/>
      <c r="H202" s="65" t="n"/>
      <c r="I202" s="55" t="inlineStr">
        <is>
          <t>BATERIA PARA PC NATALIA PALACIOS</t>
        </is>
      </c>
      <c r="J202" s="55" t="inlineStr">
        <is>
          <t>Calle 100</t>
        </is>
      </c>
      <c r="K202" s="55" t="inlineStr">
        <is>
          <t>FEB25765</t>
        </is>
      </c>
      <c r="L202" s="63" t="n"/>
      <c r="M202" s="63" t="n"/>
      <c r="N202" s="63" t="n"/>
      <c r="O202" s="66" t="n">
        <v>304261</v>
      </c>
      <c r="P202" s="55" t="n">
        <v>0</v>
      </c>
      <c r="Q202" s="55" t="n">
        <v>0</v>
      </c>
      <c r="R202" s="65" t="n">
        <v>304261</v>
      </c>
      <c r="S202" s="65" t="inlineStr">
        <is>
          <t>febrero 2025</t>
        </is>
      </c>
      <c r="T202" s="55" t="inlineStr">
        <is>
          <t>6212</t>
        </is>
      </c>
      <c r="U202" s="63" t="n"/>
      <c r="V202" s="63" t="n"/>
      <c r="W202" s="55" t="n"/>
      <c r="X202" s="55" t="n"/>
      <c r="Y202" s="55" t="n"/>
      <c r="Z202" s="63" t="n"/>
    </row>
    <row r="203">
      <c r="A203" s="64" t="n">
        <v>200</v>
      </c>
      <c r="B203" s="55" t="inlineStr">
        <is>
          <t>COMPUASOCIADOS</t>
        </is>
      </c>
      <c r="C203" s="55" t="n"/>
      <c r="D203" s="65" t="inlineStr">
        <is>
          <t>IT</t>
        </is>
      </c>
      <c r="E203" s="65" t="n"/>
      <c r="F203" s="65" t="inlineStr">
        <is>
          <t>Conservacion Y Manutenimiento De Oficina</t>
        </is>
      </c>
      <c r="G203" s="65" t="n"/>
      <c r="H203" s="65" t="inlineStr">
        <is>
          <t>Fijo</t>
        </is>
      </c>
      <c r="I203" s="55" t="inlineStr">
        <is>
          <t>SOPORTE TECNICO IT EQUPOS CCTV E IMPRESORA EN CRAFT BUENAVENTURA</t>
        </is>
      </c>
      <c r="J203" s="55" t="inlineStr">
        <is>
          <t>Buenaventura</t>
        </is>
      </c>
      <c r="K203" s="55" t="inlineStr">
        <is>
          <t>3818</t>
        </is>
      </c>
      <c r="L203" s="63" t="n"/>
      <c r="M203" s="63" t="n"/>
      <c r="N203" s="63" t="n"/>
      <c r="O203" s="66" t="n">
        <v>390000</v>
      </c>
      <c r="P203" s="55" t="n">
        <v>0</v>
      </c>
      <c r="Q203" s="55" t="n">
        <v>0</v>
      </c>
      <c r="R203" s="65" t="n">
        <v>390000</v>
      </c>
      <c r="S203" s="65" t="inlineStr">
        <is>
          <t>marzo 2025</t>
        </is>
      </c>
      <c r="T203" s="55" t="inlineStr">
        <is>
          <t>4</t>
        </is>
      </c>
      <c r="U203" s="63" t="n"/>
      <c r="V203" s="63" t="n"/>
      <c r="W203" s="55" t="n"/>
      <c r="X203" s="55" t="n"/>
      <c r="Y203" s="55" t="n"/>
      <c r="Z203" s="63" t="n"/>
    </row>
    <row r="204">
      <c r="A204" s="64" t="n">
        <v>201</v>
      </c>
      <c r="B204" s="55" t="inlineStr">
        <is>
          <t>EDIFICIO CAPITAL TOWERS PROPIEDAD HORIZONTAL</t>
        </is>
      </c>
      <c r="C204" s="55" t="n"/>
      <c r="D204" s="65" t="inlineStr">
        <is>
          <t>ADM</t>
        </is>
      </c>
      <c r="E204" s="65" t="n"/>
      <c r="F204" s="65" t="inlineStr">
        <is>
          <t>Administración</t>
        </is>
      </c>
      <c r="G204" s="65" t="n"/>
      <c r="H204" s="65" t="inlineStr">
        <is>
          <t>Fijo</t>
        </is>
      </c>
      <c r="I204" s="55" t="inlineStr">
        <is>
          <t>DESCUENTO POR PRONTO PAGO ADMON CRAFT BOGOTA</t>
        </is>
      </c>
      <c r="J204" s="55" t="inlineStr">
        <is>
          <t>Calle 100</t>
        </is>
      </c>
      <c r="K204" s="55" t="inlineStr">
        <is>
          <t>CNFE1949</t>
        </is>
      </c>
      <c r="L204" s="63" t="n"/>
      <c r="M204" s="63" t="n"/>
      <c r="N204" s="63" t="n"/>
      <c r="O204" s="66" t="n">
        <v>250018</v>
      </c>
      <c r="P204" s="55" t="n">
        <v>0</v>
      </c>
      <c r="Q204" s="55" t="n">
        <v>0</v>
      </c>
      <c r="R204" s="65" t="n">
        <v>250018</v>
      </c>
      <c r="S204" s="65" t="inlineStr">
        <is>
          <t>marzo 2025</t>
        </is>
      </c>
      <c r="T204" s="55" t="inlineStr">
        <is>
          <t>6256</t>
        </is>
      </c>
      <c r="U204" s="63" t="n"/>
      <c r="V204" s="63" t="n"/>
      <c r="W204" s="55" t="n"/>
      <c r="X204" s="55" t="n"/>
      <c r="Y204" s="55" t="n"/>
      <c r="Z204" s="63" t="n"/>
    </row>
    <row r="205">
      <c r="A205" s="64" t="n">
        <v>202</v>
      </c>
      <c r="B205" s="55" t="inlineStr">
        <is>
          <t>PORTUS GLOBAL SAS</t>
        </is>
      </c>
      <c r="C205" s="55" t="n"/>
      <c r="D205" s="65" t="inlineStr">
        <is>
          <t>ADM</t>
        </is>
      </c>
      <c r="E205" s="65" t="n"/>
      <c r="F205" s="65" t="inlineStr">
        <is>
          <t>Arriendos</t>
        </is>
      </c>
      <c r="G205" s="65" t="n"/>
      <c r="H205" s="65" t="inlineStr">
        <is>
          <t>Fijo</t>
        </is>
      </c>
      <c r="I205" s="55" t="inlineStr">
        <is>
          <t>CANON DE ARRENDAMIENTO OF 1502 SUC CRAFT CARTAGENA</t>
        </is>
      </c>
      <c r="J205" s="55" t="inlineStr">
        <is>
          <t>Cartagena</t>
        </is>
      </c>
      <c r="K205" s="55" t="inlineStr">
        <is>
          <t>723</t>
        </is>
      </c>
      <c r="L205" s="63" t="n"/>
      <c r="M205" s="63" t="n"/>
      <c r="N205" s="63" t="n"/>
      <c r="O205" s="66" t="n">
        <v>8477869</v>
      </c>
      <c r="P205" s="55" t="n">
        <v>0</v>
      </c>
      <c r="Q205" s="55" t="n">
        <v>0</v>
      </c>
      <c r="R205" s="65" t="n">
        <v>8477869</v>
      </c>
      <c r="S205" s="65" t="inlineStr">
        <is>
          <t>marzo 2025</t>
        </is>
      </c>
      <c r="T205" s="55" t="inlineStr">
        <is>
          <t>2</t>
        </is>
      </c>
      <c r="U205" s="63" t="n"/>
      <c r="V205" s="63" t="n"/>
      <c r="W205" s="55" t="n"/>
      <c r="X205" s="55" t="n"/>
      <c r="Y205" s="55" t="n"/>
      <c r="Z205" s="63" t="n"/>
    </row>
    <row r="206">
      <c r="A206" s="64" t="n">
        <v>203</v>
      </c>
      <c r="B206" s="55" t="inlineStr">
        <is>
          <t>CLARO S.A.</t>
        </is>
      </c>
      <c r="C206" s="55" t="n"/>
      <c r="D206" s="65" t="inlineStr">
        <is>
          <t>IT</t>
        </is>
      </c>
      <c r="E206" s="65" t="n"/>
      <c r="F206" s="65" t="inlineStr">
        <is>
          <t>Internet oficinas</t>
        </is>
      </c>
      <c r="G206" s="65" t="n"/>
      <c r="H206" s="65" t="inlineStr">
        <is>
          <t>Fijo</t>
        </is>
      </c>
      <c r="I206" s="55" t="inlineStr">
        <is>
          <t>SERVICIO TV, INTERNET Y TELEFONIA CRAFT CALI</t>
        </is>
      </c>
      <c r="J206" s="55" t="inlineStr">
        <is>
          <t>Cali</t>
        </is>
      </c>
      <c r="K206" s="55" t="inlineStr">
        <is>
          <t>R1142943063</t>
        </is>
      </c>
      <c r="L206" s="63" t="n"/>
      <c r="M206" s="63" t="n"/>
      <c r="N206" s="63" t="n"/>
      <c r="O206" s="66" t="n">
        <v>170501</v>
      </c>
      <c r="P206" s="55" t="n">
        <v>0</v>
      </c>
      <c r="Q206" s="55" t="n">
        <v>0</v>
      </c>
      <c r="R206" s="65" t="n">
        <v>170501</v>
      </c>
      <c r="S206" s="65" t="inlineStr">
        <is>
          <t>marzo 2025</t>
        </is>
      </c>
      <c r="T206" s="55" t="inlineStr">
        <is>
          <t>2</t>
        </is>
      </c>
      <c r="U206" s="63" t="n"/>
      <c r="V206" s="63" t="n"/>
      <c r="W206" s="55" t="n"/>
      <c r="X206" s="55" t="n"/>
      <c r="Y206" s="55" t="n"/>
      <c r="Z206" s="63" t="n"/>
    </row>
    <row r="207">
      <c r="A207" s="64" t="n">
        <v>204</v>
      </c>
      <c r="B207" s="55" t="inlineStr">
        <is>
          <t>EDIFICIO CAPITAL TOWERS PROPIEDAD HORIZONTAL</t>
        </is>
      </c>
      <c r="C207" s="55" t="n"/>
      <c r="D207" s="65" t="inlineStr">
        <is>
          <t>ADM</t>
        </is>
      </c>
      <c r="E207" s="65" t="n"/>
      <c r="F207" s="65" t="inlineStr">
        <is>
          <t>Administración</t>
        </is>
      </c>
      <c r="G207" s="65" t="n"/>
      <c r="H207" s="65" t="inlineStr">
        <is>
          <t>Fijo</t>
        </is>
      </c>
      <c r="I207" s="55" t="inlineStr">
        <is>
          <t>CUOTA DE ADMINISTRACION TORRE 1 CRAFT BOGOTA</t>
        </is>
      </c>
      <c r="J207" s="55" t="inlineStr">
        <is>
          <t>Calle 100</t>
        </is>
      </c>
      <c r="K207" s="55" t="inlineStr">
        <is>
          <t>FE10000</t>
        </is>
      </c>
      <c r="L207" s="63" t="n"/>
      <c r="M207" s="63" t="n"/>
      <c r="N207" s="63" t="n"/>
      <c r="O207" s="66" t="n">
        <v>5000363</v>
      </c>
      <c r="P207" s="55" t="n">
        <v>0</v>
      </c>
      <c r="Q207" s="55" t="n">
        <v>0</v>
      </c>
      <c r="R207" s="65" t="n">
        <v>5000363</v>
      </c>
      <c r="S207" s="65" t="inlineStr">
        <is>
          <t>marzo 2025</t>
        </is>
      </c>
      <c r="T207" s="55" t="inlineStr">
        <is>
          <t>383</t>
        </is>
      </c>
      <c r="U207" s="63" t="n"/>
      <c r="V207" s="63" t="n"/>
      <c r="W207" s="55" t="n"/>
      <c r="X207" s="55" t="n"/>
      <c r="Y207" s="55" t="n"/>
      <c r="Z207" s="63" t="n"/>
    </row>
    <row r="208">
      <c r="A208" s="64" t="n">
        <v>205</v>
      </c>
      <c r="B208" s="55" t="inlineStr">
        <is>
          <t>EDIFICIO CAPITAL TOWERS PROPIEDAD HORIZONTAL</t>
        </is>
      </c>
      <c r="C208" s="55" t="n"/>
      <c r="D208" s="65" t="inlineStr">
        <is>
          <t>ADM</t>
        </is>
      </c>
      <c r="E208" s="65" t="n"/>
      <c r="F208" s="65" t="inlineStr">
        <is>
          <t>Bodegas</t>
        </is>
      </c>
      <c r="G208" s="65" t="n"/>
      <c r="H208" s="65" t="inlineStr">
        <is>
          <t>Fijo</t>
        </is>
      </c>
      <c r="I208" s="55" t="inlineStr">
        <is>
          <t>BODEGAS Y DEPOSITOS PISO 21 CRAFT BOGOTA</t>
        </is>
      </c>
      <c r="J208" s="55" t="inlineStr">
        <is>
          <t>Transversal</t>
        </is>
      </c>
      <c r="K208" s="55" t="inlineStr">
        <is>
          <t>FE10027</t>
        </is>
      </c>
      <c r="L208" s="63" t="n"/>
      <c r="M208" s="63" t="n"/>
      <c r="N208" s="63" t="n"/>
      <c r="O208" s="66" t="n">
        <v>1372245</v>
      </c>
      <c r="P208" s="55" t="n">
        <v>0</v>
      </c>
      <c r="Q208" s="55" t="n">
        <v>0</v>
      </c>
      <c r="R208" s="65" t="n">
        <v>1372245</v>
      </c>
      <c r="S208" s="65" t="inlineStr">
        <is>
          <t>marzo 2025</t>
        </is>
      </c>
      <c r="T208" s="55" t="inlineStr">
        <is>
          <t>386</t>
        </is>
      </c>
      <c r="U208" s="63" t="n"/>
      <c r="V208" s="63" t="n"/>
      <c r="W208" s="55" t="n"/>
      <c r="X208" s="55" t="n"/>
      <c r="Y208" s="55" t="n"/>
      <c r="Z208" s="63" t="n"/>
    </row>
    <row r="209">
      <c r="A209" s="64" t="n">
        <v>206</v>
      </c>
      <c r="B209" s="55" t="inlineStr">
        <is>
          <t>TRANS INTERNATIONAL COURIER S.A.S</t>
        </is>
      </c>
      <c r="C209" s="55" t="n"/>
      <c r="D209" s="65" t="inlineStr">
        <is>
          <t>ADM</t>
        </is>
      </c>
      <c r="E209" s="65" t="n"/>
      <c r="F209" s="65" t="inlineStr">
        <is>
          <t>Malote</t>
        </is>
      </c>
      <c r="G209" s="65" t="n"/>
      <c r="H209" s="65" t="inlineStr">
        <is>
          <t>Variable</t>
        </is>
      </c>
      <c r="I209" s="55" t="inlineStr">
        <is>
          <t>SERVICIO DE MENSAJERIA NACIONAL Y URBANA CRAFT COLOMBIA</t>
        </is>
      </c>
      <c r="J209" s="55" t="inlineStr">
        <is>
          <t>Transversal</t>
        </is>
      </c>
      <c r="K209" s="55" t="inlineStr">
        <is>
          <t>TIC11605</t>
        </is>
      </c>
      <c r="L209" s="63" t="n"/>
      <c r="M209" s="63" t="n"/>
      <c r="N209" s="63" t="n"/>
      <c r="O209" s="66" t="n">
        <v>1388556</v>
      </c>
      <c r="P209" s="55" t="n">
        <v>0</v>
      </c>
      <c r="Q209" s="55" t="n">
        <v>0</v>
      </c>
      <c r="R209" s="65" t="n">
        <v>1388556</v>
      </c>
      <c r="S209" s="65" t="inlineStr">
        <is>
          <t>marzo 2025</t>
        </is>
      </c>
      <c r="T209" s="55" t="inlineStr">
        <is>
          <t>461</t>
        </is>
      </c>
      <c r="U209" s="63" t="n"/>
      <c r="V209" s="63" t="n"/>
      <c r="W209" s="55" t="n"/>
      <c r="X209" s="55" t="n"/>
      <c r="Y209" s="55" t="n"/>
      <c r="Z209" s="63" t="n"/>
    </row>
    <row r="210">
      <c r="A210" s="64" t="n">
        <v>207</v>
      </c>
      <c r="B210" s="55" t="inlineStr">
        <is>
          <t>O'CLOCK TRANSPORTES S.A.S.</t>
        </is>
      </c>
      <c r="C210" s="55" t="n"/>
      <c r="D210" s="65" t="inlineStr">
        <is>
          <t>ADM</t>
        </is>
      </c>
      <c r="E210" s="65" t="n"/>
      <c r="F210" s="65" t="inlineStr">
        <is>
          <t>Conducao E Taxi</t>
        </is>
      </c>
      <c r="G210" s="65" t="n"/>
      <c r="H210" s="65" t="inlineStr">
        <is>
          <t>Variable</t>
        </is>
      </c>
      <c r="I210" s="55" t="inlineStr">
        <is>
          <t xml:space="preserve">SERVICIO TRANSPORTE COLABORADORES CRAFT EN CALI, BARRANQUILLA , CARTAGENA </t>
        </is>
      </c>
      <c r="J210" s="55" t="inlineStr">
        <is>
          <t>Transversal</t>
        </is>
      </c>
      <c r="K210" s="55" t="inlineStr">
        <is>
          <t>FE587</t>
        </is>
      </c>
      <c r="L210" s="63" t="n"/>
      <c r="M210" s="63" t="n"/>
      <c r="N210" s="63" t="n"/>
      <c r="O210" s="66" t="n">
        <v>490000</v>
      </c>
      <c r="P210" s="55" t="n">
        <v>0</v>
      </c>
      <c r="Q210" s="55" t="n">
        <v>0</v>
      </c>
      <c r="R210" s="65" t="n">
        <v>490000</v>
      </c>
      <c r="S210" s="65" t="inlineStr">
        <is>
          <t>marzo 2025</t>
        </is>
      </c>
      <c r="T210" s="55" t="inlineStr">
        <is>
          <t>3</t>
        </is>
      </c>
      <c r="U210" s="63" t="n"/>
      <c r="V210" s="63" t="n"/>
      <c r="W210" s="55" t="n"/>
      <c r="X210" s="55" t="n"/>
      <c r="Y210" s="55" t="n"/>
      <c r="Z210" s="63" t="n"/>
    </row>
    <row r="211">
      <c r="A211" s="64" t="n">
        <v>208</v>
      </c>
      <c r="B211" s="55" t="inlineStr">
        <is>
          <t>HARDSOFT SOLUTIONS INTEGRAL SAS</t>
        </is>
      </c>
      <c r="C211" s="55" t="n"/>
      <c r="D211" s="65" t="inlineStr">
        <is>
          <t>IT</t>
        </is>
      </c>
      <c r="E211" s="65" t="n"/>
      <c r="F211" s="65" t="inlineStr">
        <is>
          <t>Conservacion Y Manutenimiento De Oficina</t>
        </is>
      </c>
      <c r="G211" s="65" t="n"/>
      <c r="H211" s="65" t="n"/>
      <c r="I211" s="55" t="inlineStr">
        <is>
          <t xml:space="preserve">MANTENIMIENTO IT EN CTG </t>
        </is>
      </c>
      <c r="J211" s="55" t="inlineStr">
        <is>
          <t>Cartagena</t>
        </is>
      </c>
      <c r="K211" s="55" t="inlineStr">
        <is>
          <t>HS605</t>
        </is>
      </c>
      <c r="L211" s="63" t="n"/>
      <c r="M211" s="63" t="n"/>
      <c r="N211" s="63" t="n"/>
      <c r="O211" s="66" t="n">
        <v>581938</v>
      </c>
      <c r="P211" s="55" t="n">
        <v>0</v>
      </c>
      <c r="Q211" s="55" t="n">
        <v>0</v>
      </c>
      <c r="R211" s="65" t="n">
        <v>581938</v>
      </c>
      <c r="S211" s="65" t="inlineStr">
        <is>
          <t>marzo 2025</t>
        </is>
      </c>
      <c r="T211" s="55" t="inlineStr">
        <is>
          <t>3</t>
        </is>
      </c>
      <c r="U211" s="63" t="n"/>
      <c r="V211" s="63" t="n"/>
      <c r="W211" s="55" t="n"/>
      <c r="X211" s="55" t="n"/>
      <c r="Y211" s="55" t="n"/>
      <c r="Z211" s="63" t="n"/>
    </row>
    <row r="212">
      <c r="A212" s="64" t="n">
        <v>209</v>
      </c>
      <c r="B212" s="55" t="inlineStr">
        <is>
          <t>MARVAL S.A.S.</t>
        </is>
      </c>
      <c r="C212" s="55" t="n"/>
      <c r="D212" s="65" t="inlineStr">
        <is>
          <t>ADM</t>
        </is>
      </c>
      <c r="E212" s="65" t="n"/>
      <c r="F212" s="65" t="inlineStr">
        <is>
          <t>Arriendos</t>
        </is>
      </c>
      <c r="G212" s="65" t="n"/>
      <c r="H212" s="65" t="inlineStr">
        <is>
          <t>Fijo</t>
        </is>
      </c>
      <c r="I212" s="55" t="inlineStr">
        <is>
          <t>CANON DE ARRENDAMIENTO OF CRAFT BARRANQUILLA</t>
        </is>
      </c>
      <c r="J212" s="55" t="inlineStr">
        <is>
          <t>Barranquilla</t>
        </is>
      </c>
      <c r="K212" s="55" t="inlineStr">
        <is>
          <t>MAVF509</t>
        </is>
      </c>
      <c r="L212" s="63" t="n"/>
      <c r="M212" s="63" t="n"/>
      <c r="N212" s="63" t="n"/>
      <c r="O212" s="66" t="n">
        <v>3685223</v>
      </c>
      <c r="P212" s="55" t="n">
        <v>0</v>
      </c>
      <c r="Q212" s="55" t="n">
        <v>0</v>
      </c>
      <c r="R212" s="65" t="n">
        <v>3685223</v>
      </c>
      <c r="S212" s="65" t="inlineStr">
        <is>
          <t>marzo 2025</t>
        </is>
      </c>
      <c r="T212" s="55" t="inlineStr">
        <is>
          <t>2</t>
        </is>
      </c>
      <c r="U212" s="63" t="n"/>
      <c r="V212" s="63" t="n"/>
      <c r="W212" s="55" t="n"/>
      <c r="X212" s="55" t="n"/>
      <c r="Y212" s="55" t="n"/>
      <c r="Z212" s="63" t="n"/>
    </row>
    <row r="213">
      <c r="A213" s="64" t="n">
        <v>210</v>
      </c>
      <c r="B213" s="55" t="inlineStr">
        <is>
          <t>OPAIN SA AEROPUERTO EL DORADO</t>
        </is>
      </c>
      <c r="C213" s="55" t="n"/>
      <c r="D213" s="65" t="inlineStr">
        <is>
          <t>ADM</t>
        </is>
      </c>
      <c r="E213" s="65" t="n"/>
      <c r="F213" s="65" t="inlineStr">
        <is>
          <t>Administración</t>
        </is>
      </c>
      <c r="G213" s="65" t="n"/>
      <c r="H213" s="65" t="inlineStr">
        <is>
          <t>Fijo</t>
        </is>
      </c>
      <c r="I213" s="55" t="inlineStr">
        <is>
          <t>GASTOS REEMBOLSABLES CRAFT AEROPUERTO</t>
        </is>
      </c>
      <c r="J213" s="55" t="inlineStr">
        <is>
          <t>Aeropuerto</t>
        </is>
      </c>
      <c r="K213" s="55" t="inlineStr">
        <is>
          <t>CCG21861</t>
        </is>
      </c>
      <c r="L213" s="63" t="n"/>
      <c r="M213" s="63" t="n"/>
      <c r="N213" s="63" t="n"/>
      <c r="O213" s="66" t="n">
        <v>636316</v>
      </c>
      <c r="P213" s="55" t="n">
        <v>0</v>
      </c>
      <c r="Q213" s="55" t="n">
        <v>0</v>
      </c>
      <c r="R213" s="65" t="n">
        <v>636316</v>
      </c>
      <c r="S213" s="65" t="inlineStr">
        <is>
          <t>marzo 2025</t>
        </is>
      </c>
      <c r="T213" s="55" t="inlineStr">
        <is>
          <t>2</t>
        </is>
      </c>
      <c r="U213" s="63" t="n"/>
      <c r="V213" s="63" t="n"/>
      <c r="W213" s="55" t="n"/>
      <c r="X213" s="55" t="n"/>
      <c r="Y213" s="55" t="n"/>
      <c r="Z213" s="63" t="n"/>
    </row>
    <row r="214">
      <c r="A214" s="64" t="n">
        <v>211</v>
      </c>
      <c r="B214" s="55" t="inlineStr">
        <is>
          <t>LUZ DARY MINA GARCES</t>
        </is>
      </c>
      <c r="C214" s="55" t="n"/>
      <c r="D214" s="65" t="inlineStr">
        <is>
          <t>ADM</t>
        </is>
      </c>
      <c r="E214" s="65" t="n"/>
      <c r="F214" s="65" t="inlineStr">
        <is>
          <t>Otros Gastos CASA LIMPIA PLANILLA AC OTROS</t>
        </is>
      </c>
      <c r="G214" s="65" t="n"/>
      <c r="H214" s="65" t="n"/>
      <c r="I214" s="55" t="inlineStr">
        <is>
          <t>SERVICIO ASEO GENERAL OFICINA CRAFT BUENAVENTURA</t>
        </is>
      </c>
      <c r="J214" s="55" t="inlineStr">
        <is>
          <t>Buenaventura</t>
        </is>
      </c>
      <c r="K214" s="55" t="inlineStr">
        <is>
          <t>172</t>
        </is>
      </c>
      <c r="L214" s="63" t="n"/>
      <c r="M214" s="63" t="n"/>
      <c r="N214" s="63" t="n"/>
      <c r="O214" s="66" t="n">
        <v>1000000</v>
      </c>
      <c r="P214" s="55" t="n">
        <v>0</v>
      </c>
      <c r="Q214" s="55" t="n">
        <v>0</v>
      </c>
      <c r="R214" s="65" t="n">
        <v>1000000</v>
      </c>
      <c r="S214" s="65" t="inlineStr">
        <is>
          <t>marzo 2025</t>
        </is>
      </c>
      <c r="T214" s="55" t="inlineStr">
        <is>
          <t>7</t>
        </is>
      </c>
      <c r="U214" s="63" t="n"/>
      <c r="V214" s="63" t="n"/>
      <c r="W214" s="55" t="n"/>
      <c r="X214" s="55" t="n"/>
      <c r="Y214" s="55" t="n"/>
      <c r="Z214" s="63" t="n"/>
    </row>
    <row r="215">
      <c r="A215" s="64" t="n">
        <v>212</v>
      </c>
      <c r="B215" s="55" t="inlineStr">
        <is>
          <t>CLARO S.A.</t>
        </is>
      </c>
      <c r="C215" s="55" t="n"/>
      <c r="D215" s="65" t="inlineStr">
        <is>
          <t>IT</t>
        </is>
      </c>
      <c r="E215" s="65" t="n"/>
      <c r="F215" s="65" t="inlineStr">
        <is>
          <t>Internet oficinas</t>
        </is>
      </c>
      <c r="G215" s="65" t="n"/>
      <c r="H215" s="65" t="n"/>
      <c r="I215" s="55" t="inlineStr">
        <is>
          <t>INTERNET EN BUN Y CTG</t>
        </is>
      </c>
      <c r="J215" s="55" t="inlineStr">
        <is>
          <t>Buenaventura</t>
        </is>
      </c>
      <c r="K215" s="55" t="inlineStr">
        <is>
          <t>3292540267</t>
        </is>
      </c>
      <c r="L215" s="63" t="n"/>
      <c r="M215" s="63" t="n"/>
      <c r="N215" s="63" t="n"/>
      <c r="O215" s="66" t="n">
        <v>585411</v>
      </c>
      <c r="P215" s="55" t="n">
        <v>0</v>
      </c>
      <c r="Q215" s="55" t="n">
        <v>0</v>
      </c>
      <c r="R215" s="65" t="n">
        <v>585411</v>
      </c>
      <c r="S215" s="65" t="inlineStr">
        <is>
          <t>marzo 2025</t>
        </is>
      </c>
      <c r="T215" s="55" t="inlineStr">
        <is>
          <t>9</t>
        </is>
      </c>
      <c r="U215" s="63" t="n"/>
      <c r="V215" s="63" t="n"/>
      <c r="W215" s="55" t="n"/>
      <c r="X215" s="55" t="n"/>
      <c r="Y215" s="55" t="n"/>
      <c r="Z215" s="63" t="n"/>
    </row>
    <row r="216">
      <c r="A216" s="64" t="n">
        <v>213</v>
      </c>
      <c r="B216" s="55" t="inlineStr">
        <is>
          <t>PATRIMONIOS AUTONOMOS FIDUCIARIA BANCOLOMBIA S A SOCIEDAD FIDUCIARIA</t>
        </is>
      </c>
      <c r="C216" s="55" t="n"/>
      <c r="D216" s="65" t="inlineStr">
        <is>
          <t>ADM</t>
        </is>
      </c>
      <c r="E216" s="65" t="n"/>
      <c r="F216" s="65" t="inlineStr">
        <is>
          <t>Arriendos</t>
        </is>
      </c>
      <c r="G216" s="65" t="n"/>
      <c r="H216" s="65" t="n"/>
      <c r="I216" s="55" t="inlineStr">
        <is>
          <t>CANON ARRENDAMIENTO SUCURSAL CRAFT AEROPUERTO</t>
        </is>
      </c>
      <c r="J216" s="55" t="inlineStr">
        <is>
          <t>Aeropuerto</t>
        </is>
      </c>
      <c r="K216" s="55" t="inlineStr">
        <is>
          <t>AR3172058</t>
        </is>
      </c>
      <c r="L216" s="63" t="n"/>
      <c r="M216" s="63" t="n"/>
      <c r="N216" s="63" t="n"/>
      <c r="O216" s="66" t="n">
        <v>7341058</v>
      </c>
      <c r="P216" s="55" t="n">
        <v>0</v>
      </c>
      <c r="Q216" s="55" t="n">
        <v>0</v>
      </c>
      <c r="R216" s="65" t="n">
        <v>7341058</v>
      </c>
      <c r="S216" s="65" t="inlineStr">
        <is>
          <t>marzo 2025</t>
        </is>
      </c>
      <c r="T216" s="55" t="inlineStr">
        <is>
          <t>1</t>
        </is>
      </c>
      <c r="U216" s="63" t="n"/>
      <c r="V216" s="63" t="n"/>
      <c r="W216" s="55" t="n"/>
      <c r="X216" s="55" t="n"/>
      <c r="Y216" s="55" t="n"/>
      <c r="Z216" s="63" t="n"/>
    </row>
    <row r="217">
      <c r="A217" s="64" t="n">
        <v>214</v>
      </c>
      <c r="B217" s="55" t="inlineStr">
        <is>
          <t>EMCALI</t>
        </is>
      </c>
      <c r="C217" s="55" t="n"/>
      <c r="D217" s="65" t="inlineStr">
        <is>
          <t>ADM</t>
        </is>
      </c>
      <c r="E217" s="65" t="n"/>
      <c r="F217" s="65" t="inlineStr">
        <is>
          <t>Agua</t>
        </is>
      </c>
      <c r="G217" s="65" t="n"/>
      <c r="H217" s="65" t="inlineStr">
        <is>
          <t>Fijo</t>
        </is>
      </c>
      <c r="I217" s="55" t="inlineStr">
        <is>
          <t>SERVICIOS PUBLICOS CRAFT CALI</t>
        </is>
      </c>
      <c r="J217" s="55" t="inlineStr">
        <is>
          <t>Cali</t>
        </is>
      </c>
      <c r="K217" s="55" t="inlineStr">
        <is>
          <t>13298302</t>
        </is>
      </c>
      <c r="L217" s="63" t="n"/>
      <c r="M217" s="63" t="n"/>
      <c r="N217" s="63" t="n"/>
      <c r="O217" s="66" t="n">
        <v>291971</v>
      </c>
      <c r="P217" s="55" t="n">
        <v>0</v>
      </c>
      <c r="Q217" s="55" t="n">
        <v>0</v>
      </c>
      <c r="R217" s="65" t="n">
        <v>291971</v>
      </c>
      <c r="S217" s="65" t="inlineStr">
        <is>
          <t>marzo 2025</t>
        </is>
      </c>
      <c r="T217" s="55" t="inlineStr">
        <is>
          <t>4</t>
        </is>
      </c>
      <c r="U217" s="63" t="n"/>
      <c r="V217" s="63" t="n"/>
      <c r="W217" s="55" t="n"/>
      <c r="X217" s="55" t="n"/>
      <c r="Y217" s="55" t="n"/>
      <c r="Z217" s="63" t="n"/>
    </row>
    <row r="218">
      <c r="A218" s="64" t="n">
        <v>215</v>
      </c>
      <c r="B218" s="55" t="inlineStr">
        <is>
          <t>CLARO S.A.</t>
        </is>
      </c>
      <c r="C218" s="55" t="n"/>
      <c r="D218" s="65" t="inlineStr">
        <is>
          <t>IT</t>
        </is>
      </c>
      <c r="E218" s="65" t="n"/>
      <c r="F218" s="65" t="inlineStr">
        <is>
          <t>Internet oficinas</t>
        </is>
      </c>
      <c r="G218" s="65" t="n"/>
      <c r="H218" s="65" t="inlineStr">
        <is>
          <t>Fijo</t>
        </is>
      </c>
      <c r="I218" s="55" t="inlineStr">
        <is>
          <t>SERVICIO INTERNET Y TELEFONIA CRAFT BARRANQUILLA</t>
        </is>
      </c>
      <c r="J218" s="55" t="inlineStr">
        <is>
          <t>Barranquilla</t>
        </is>
      </c>
      <c r="K218" s="55" t="inlineStr">
        <is>
          <t>R1142324274</t>
        </is>
      </c>
      <c r="L218" s="63" t="n"/>
      <c r="M218" s="63" t="n"/>
      <c r="N218" s="63" t="n"/>
      <c r="O218" s="66" t="n">
        <v>132985</v>
      </c>
      <c r="P218" s="55" t="n">
        <v>0</v>
      </c>
      <c r="Q218" s="55" t="n">
        <v>0</v>
      </c>
      <c r="R218" s="65" t="n">
        <v>132985</v>
      </c>
      <c r="S218" s="65" t="inlineStr">
        <is>
          <t>marzo 2025</t>
        </is>
      </c>
      <c r="T218" s="55" t="inlineStr">
        <is>
          <t>3</t>
        </is>
      </c>
      <c r="U218" s="63" t="n"/>
      <c r="V218" s="63" t="n"/>
      <c r="W218" s="55" t="n"/>
      <c r="X218" s="55" t="n"/>
      <c r="Y218" s="55" t="n"/>
      <c r="Z218" s="63" t="n"/>
    </row>
    <row r="219">
      <c r="A219" s="64" t="n">
        <v>216</v>
      </c>
      <c r="B219" s="55" t="inlineStr">
        <is>
          <t>TRIPLE AAA</t>
        </is>
      </c>
      <c r="C219" s="55" t="n"/>
      <c r="D219" s="65" t="inlineStr">
        <is>
          <t>ADM</t>
        </is>
      </c>
      <c r="E219" s="65" t="n"/>
      <c r="F219" s="65" t="inlineStr">
        <is>
          <t>Agua</t>
        </is>
      </c>
      <c r="G219" s="65" t="n"/>
      <c r="H219" s="65" t="inlineStr">
        <is>
          <t>Fijo</t>
        </is>
      </c>
      <c r="I219" s="55" t="inlineStr">
        <is>
          <t>SERVICIO ACUEDUCTO CRAFT BARRANQUILLA</t>
        </is>
      </c>
      <c r="J219" s="55" t="inlineStr">
        <is>
          <t>Barranquilla</t>
        </is>
      </c>
      <c r="K219" s="55" t="inlineStr">
        <is>
          <t>70552635</t>
        </is>
      </c>
      <c r="L219" s="63" t="n"/>
      <c r="M219" s="63" t="n"/>
      <c r="N219" s="63" t="n"/>
      <c r="O219" s="66" t="n">
        <v>273874</v>
      </c>
      <c r="P219" s="55" t="n">
        <v>0</v>
      </c>
      <c r="Q219" s="55" t="n">
        <v>0</v>
      </c>
      <c r="R219" s="65" t="n">
        <v>273874</v>
      </c>
      <c r="S219" s="65" t="inlineStr">
        <is>
          <t>marzo 2025</t>
        </is>
      </c>
      <c r="T219" s="55" t="inlineStr">
        <is>
          <t>10</t>
        </is>
      </c>
      <c r="U219" s="63" t="n"/>
      <c r="V219" s="63" t="n"/>
      <c r="W219" s="55" t="n"/>
      <c r="X219" s="55" t="n"/>
      <c r="Y219" s="55" t="n"/>
      <c r="Z219" s="63" t="n"/>
    </row>
    <row r="220">
      <c r="A220" s="64" t="n">
        <v>217</v>
      </c>
      <c r="B220" s="55" t="inlineStr">
        <is>
          <t>ETB</t>
        </is>
      </c>
      <c r="C220" s="55" t="n"/>
      <c r="D220" s="65" t="inlineStr">
        <is>
          <t>ADM</t>
        </is>
      </c>
      <c r="E220" s="65" t="n"/>
      <c r="F220" s="65" t="inlineStr">
        <is>
          <t>Telefono fijo</t>
        </is>
      </c>
      <c r="G220" s="65" t="n"/>
      <c r="H220" s="65" t="inlineStr">
        <is>
          <t>Fijo</t>
        </is>
      </c>
      <c r="I220" s="55" t="inlineStr">
        <is>
          <t>SERVICIO DE TELEFONIA LOCAL PBX</t>
        </is>
      </c>
      <c r="J220" s="55" t="inlineStr">
        <is>
          <t>Transversal</t>
        </is>
      </c>
      <c r="K220" s="55" t="inlineStr">
        <is>
          <t>FC1000358493</t>
        </is>
      </c>
      <c r="L220" s="63" t="n"/>
      <c r="M220" s="63" t="n"/>
      <c r="N220" s="63" t="n"/>
      <c r="O220" s="66" t="n">
        <v>1012420</v>
      </c>
      <c r="P220" s="55" t="n">
        <v>0</v>
      </c>
      <c r="Q220" s="55" t="n">
        <v>0</v>
      </c>
      <c r="R220" s="65" t="n">
        <v>1012420</v>
      </c>
      <c r="S220" s="65" t="inlineStr">
        <is>
          <t>marzo 2025</t>
        </is>
      </c>
      <c r="T220" s="55" t="inlineStr">
        <is>
          <t>1819</t>
        </is>
      </c>
      <c r="U220" s="63" t="n"/>
      <c r="V220" s="63" t="n"/>
      <c r="W220" s="55" t="n"/>
      <c r="X220" s="55" t="n"/>
      <c r="Y220" s="55" t="n"/>
      <c r="Z220" s="63" t="n"/>
    </row>
    <row r="221">
      <c r="A221" s="64" t="n">
        <v>218</v>
      </c>
      <c r="B221" s="55" t="inlineStr">
        <is>
          <t>CONTRATOS Y FIANZAS DE ARRENDAMIENTO S.A.S.</t>
        </is>
      </c>
      <c r="C221" s="55" t="n"/>
      <c r="D221" s="65" t="inlineStr">
        <is>
          <t>ADM</t>
        </is>
      </c>
      <c r="E221" s="65" t="n"/>
      <c r="F221" s="65" t="inlineStr">
        <is>
          <t>Arriendos</t>
        </is>
      </c>
      <c r="G221" s="65" t="n"/>
      <c r="H221" s="65" t="inlineStr">
        <is>
          <t>Fijo</t>
        </is>
      </c>
      <c r="I221" s="55" t="inlineStr">
        <is>
          <t>SERVICIO ZONA VIRTUAL CRAFT MEDELLIN</t>
        </is>
      </c>
      <c r="J221" s="55" t="inlineStr">
        <is>
          <t>Medellín</t>
        </is>
      </c>
      <c r="K221" s="55" t="inlineStr">
        <is>
          <t>FE582068</t>
        </is>
      </c>
      <c r="L221" s="63" t="n"/>
      <c r="M221" s="63" t="n"/>
      <c r="N221" s="63" t="n"/>
      <c r="O221" s="66" t="n">
        <v>5200</v>
      </c>
      <c r="P221" s="55" t="n">
        <v>0</v>
      </c>
      <c r="Q221" s="55" t="n">
        <v>0</v>
      </c>
      <c r="R221" s="65" t="n">
        <v>5200</v>
      </c>
      <c r="S221" s="65" t="inlineStr">
        <is>
          <t>marzo 2025</t>
        </is>
      </c>
      <c r="T221" s="55" t="inlineStr">
        <is>
          <t>21</t>
        </is>
      </c>
      <c r="U221" s="63" t="n"/>
      <c r="V221" s="63" t="n"/>
      <c r="W221" s="55" t="n"/>
      <c r="X221" s="55" t="n"/>
      <c r="Y221" s="55" t="n"/>
      <c r="Z221" s="63" t="n"/>
    </row>
    <row r="222">
      <c r="A222" s="64" t="n">
        <v>219</v>
      </c>
      <c r="B222" s="55" t="inlineStr">
        <is>
          <t>JAVIER ANTONIO SANCHEZ</t>
        </is>
      </c>
      <c r="C222" s="55" t="n"/>
      <c r="D222" s="65" t="inlineStr">
        <is>
          <t>ADM</t>
        </is>
      </c>
      <c r="E222" s="65" t="n"/>
      <c r="F222" s="65" t="inlineStr">
        <is>
          <t>Bodegas</t>
        </is>
      </c>
      <c r="G222" s="65" t="n"/>
      <c r="H222" s="65" t="n"/>
      <c r="I222" s="55" t="inlineStr">
        <is>
          <t>DESTRUCCION ARVHIVO CRAFT BUENVENTURA</t>
        </is>
      </c>
      <c r="J222" s="55" t="inlineStr">
        <is>
          <t>Buenaventura</t>
        </is>
      </c>
      <c r="K222" s="55" t="inlineStr">
        <is>
          <t>202601</t>
        </is>
      </c>
      <c r="L222" s="63" t="n"/>
      <c r="M222" s="63" t="n"/>
      <c r="N222" s="63" t="n"/>
      <c r="O222" s="66" t="n">
        <v>3344000</v>
      </c>
      <c r="P222" s="55" t="n">
        <v>0</v>
      </c>
      <c r="Q222" s="55" t="n">
        <v>0</v>
      </c>
      <c r="R222" s="65" t="n">
        <v>3344000</v>
      </c>
      <c r="S222" s="65" t="inlineStr">
        <is>
          <t>marzo 2025</t>
        </is>
      </c>
      <c r="T222" s="55" t="inlineStr">
        <is>
          <t>8</t>
        </is>
      </c>
      <c r="U222" s="63" t="n"/>
      <c r="V222" s="63" t="n"/>
      <c r="W222" s="55" t="n"/>
      <c r="X222" s="55" t="n"/>
      <c r="Y222" s="55" t="n"/>
      <c r="Z222" s="63" t="n"/>
    </row>
    <row r="223">
      <c r="A223" s="64" t="n">
        <v>220</v>
      </c>
      <c r="B223" s="55" t="inlineStr">
        <is>
          <t>EPM MEDELLIN</t>
        </is>
      </c>
      <c r="C223" s="55" t="n"/>
      <c r="D223" s="65" t="inlineStr">
        <is>
          <t>ADM</t>
        </is>
      </c>
      <c r="E223" s="65" t="n"/>
      <c r="F223" s="65" t="inlineStr">
        <is>
          <t>Agua</t>
        </is>
      </c>
      <c r="G223" s="65" t="n"/>
      <c r="H223" s="65" t="inlineStr">
        <is>
          <t>Fijo</t>
        </is>
      </c>
      <c r="I223" s="55" t="inlineStr">
        <is>
          <t>SERVICOS PUBLICOS CRAFT MEDELLIN</t>
        </is>
      </c>
      <c r="J223" s="55" t="inlineStr">
        <is>
          <t>Medellín</t>
        </is>
      </c>
      <c r="K223" s="55" t="inlineStr">
        <is>
          <t>DEE44673146</t>
        </is>
      </c>
      <c r="L223" s="63" t="n"/>
      <c r="M223" s="63" t="n"/>
      <c r="N223" s="63" t="n"/>
      <c r="O223" s="66" t="n">
        <v>302832</v>
      </c>
      <c r="P223" s="55" t="n">
        <v>0</v>
      </c>
      <c r="Q223" s="55" t="n">
        <v>0</v>
      </c>
      <c r="R223" s="65" t="n">
        <v>302832</v>
      </c>
      <c r="S223" s="65" t="inlineStr">
        <is>
          <t>marzo 2025</t>
        </is>
      </c>
      <c r="T223" s="55" t="inlineStr">
        <is>
          <t>35</t>
        </is>
      </c>
      <c r="U223" s="63" t="n"/>
      <c r="V223" s="63" t="n"/>
      <c r="W223" s="55" t="n"/>
      <c r="X223" s="55" t="n"/>
      <c r="Y223" s="55" t="n"/>
      <c r="Z223" s="63" t="n"/>
    </row>
    <row r="224">
      <c r="A224" s="64" t="n">
        <v>221</v>
      </c>
      <c r="B224" s="55" t="inlineStr">
        <is>
          <t>CLARO S.A.</t>
        </is>
      </c>
      <c r="C224" s="55" t="n"/>
      <c r="D224" s="65" t="inlineStr">
        <is>
          <t>ADM</t>
        </is>
      </c>
      <c r="E224" s="65" t="n"/>
      <c r="F224" s="65" t="inlineStr">
        <is>
          <t>Telefono fijo</t>
        </is>
      </c>
      <c r="G224" s="65" t="n"/>
      <c r="H224" s="65" t="inlineStr">
        <is>
          <t>Fijo</t>
        </is>
      </c>
      <c r="I224" s="55" t="inlineStr">
        <is>
          <t>SERVICIO DE TELEFONIA FIJA BUN Y CTG</t>
        </is>
      </c>
      <c r="J224" s="55" t="inlineStr">
        <is>
          <t>Puertos</t>
        </is>
      </c>
      <c r="K224" s="55" t="inlineStr">
        <is>
          <t>3292543593</t>
        </is>
      </c>
      <c r="L224" s="63" t="n"/>
      <c r="M224" s="63" t="n"/>
      <c r="N224" s="63" t="n"/>
      <c r="O224" s="66" t="n">
        <v>170395</v>
      </c>
      <c r="P224" s="55" t="n">
        <v>0</v>
      </c>
      <c r="Q224" s="55" t="n">
        <v>0</v>
      </c>
      <c r="R224" s="65" t="n">
        <v>170395</v>
      </c>
      <c r="S224" s="65" t="inlineStr">
        <is>
          <t>marzo 2025</t>
        </is>
      </c>
      <c r="T224" s="55" t="inlineStr">
        <is>
          <t>13</t>
        </is>
      </c>
      <c r="U224" s="63" t="n"/>
      <c r="V224" s="63" t="n"/>
      <c r="W224" s="55" t="n"/>
      <c r="X224" s="55" t="n"/>
      <c r="Y224" s="55" t="n"/>
      <c r="Z224" s="63" t="n"/>
    </row>
    <row r="225">
      <c r="A225" s="64" t="n">
        <v>222</v>
      </c>
      <c r="B225" s="55" t="inlineStr">
        <is>
          <t>EDIFICIO CAPITAL TOWERS PROPIEDAD HORIZONTAL</t>
        </is>
      </c>
      <c r="C225" s="55" t="n"/>
      <c r="D225" s="65" t="inlineStr">
        <is>
          <t>ADM</t>
        </is>
      </c>
      <c r="E225" s="65" t="n"/>
      <c r="F225" s="65" t="inlineStr">
        <is>
          <t>Agua</t>
        </is>
      </c>
      <c r="G225" s="65" t="n"/>
      <c r="H225" s="65" t="inlineStr">
        <is>
          <t>Fijo</t>
        </is>
      </c>
      <c r="I225" s="55" t="inlineStr">
        <is>
          <t>RECOBRO SERVICIOS PUBLICOS CRAFT BOGOTA</t>
        </is>
      </c>
      <c r="J225" s="55" t="inlineStr">
        <is>
          <t>Calle 100</t>
        </is>
      </c>
      <c r="K225" s="55" t="inlineStr">
        <is>
          <t>FE10063</t>
        </is>
      </c>
      <c r="L225" s="63" t="n"/>
      <c r="M225" s="63" t="n"/>
      <c r="N225" s="63" t="n"/>
      <c r="O225" s="66" t="n">
        <v>657091</v>
      </c>
      <c r="P225" s="55" t="n">
        <v>0</v>
      </c>
      <c r="Q225" s="55" t="n">
        <v>0</v>
      </c>
      <c r="R225" s="65" t="n">
        <v>657091</v>
      </c>
      <c r="S225" s="65" t="inlineStr">
        <is>
          <t>marzo 2025</t>
        </is>
      </c>
      <c r="T225" s="55" t="inlineStr">
        <is>
          <t>3389</t>
        </is>
      </c>
      <c r="U225" s="63" t="n"/>
      <c r="V225" s="63" t="n"/>
      <c r="W225" s="55" t="n"/>
      <c r="X225" s="55" t="n"/>
      <c r="Y225" s="55" t="n"/>
      <c r="Z225" s="63" t="n"/>
    </row>
    <row r="226">
      <c r="A226" s="64" t="n">
        <v>223</v>
      </c>
      <c r="B226" s="55" t="inlineStr">
        <is>
          <t>CASALIMPIA SA</t>
        </is>
      </c>
      <c r="C226" s="55" t="n"/>
      <c r="D226" s="65" t="inlineStr">
        <is>
          <t>ADM</t>
        </is>
      </c>
      <c r="E226" s="65" t="n"/>
      <c r="F226" s="65" t="inlineStr">
        <is>
          <t>Otros Gastos CASA LIMPIA PLANILLA AC OTROS</t>
        </is>
      </c>
      <c r="G226" s="65" t="n"/>
      <c r="H226" s="65" t="inlineStr">
        <is>
          <t>Fijo</t>
        </is>
      </c>
      <c r="I226" s="55" t="inlineStr">
        <is>
          <t>SERVICIO DE ASEO GENERAL OFICINA CRAFT CARTAGENA</t>
        </is>
      </c>
      <c r="J226" s="55" t="inlineStr">
        <is>
          <t>Cartagena</t>
        </is>
      </c>
      <c r="K226" s="55" t="inlineStr">
        <is>
          <t>1759278</t>
        </is>
      </c>
      <c r="L226" s="63" t="n"/>
      <c r="M226" s="63" t="n"/>
      <c r="N226" s="63" t="n"/>
      <c r="O226" s="66" t="n">
        <v>2088787</v>
      </c>
      <c r="P226" s="55" t="n">
        <v>0</v>
      </c>
      <c r="Q226" s="55" t="n">
        <v>0</v>
      </c>
      <c r="R226" s="65" t="n">
        <v>2088787</v>
      </c>
      <c r="S226" s="65" t="inlineStr">
        <is>
          <t>marzo 2025</t>
        </is>
      </c>
      <c r="T226" s="55" t="inlineStr">
        <is>
          <t>14</t>
        </is>
      </c>
      <c r="U226" s="63" t="n"/>
      <c r="V226" s="63" t="n"/>
      <c r="W226" s="55" t="n"/>
      <c r="X226" s="55" t="n"/>
      <c r="Y226" s="55" t="n"/>
      <c r="Z226" s="63" t="n"/>
    </row>
    <row r="227">
      <c r="A227" s="64" t="n">
        <v>224</v>
      </c>
      <c r="B227" s="55" t="inlineStr">
        <is>
          <t>CLARO S.A.</t>
        </is>
      </c>
      <c r="C227" s="55" t="n"/>
      <c r="D227" s="65" t="inlineStr">
        <is>
          <t>ADM</t>
        </is>
      </c>
      <c r="E227" s="65" t="n"/>
      <c r="F227" s="65" t="inlineStr">
        <is>
          <t>Celulares</t>
        </is>
      </c>
      <c r="G227" s="65" t="n"/>
      <c r="H227" s="65" t="inlineStr">
        <is>
          <t>Fijo</t>
        </is>
      </c>
      <c r="I227" s="55" t="inlineStr">
        <is>
          <t>SERVICIO TELEFONIA CELULAR COLABORADORES CRAFT</t>
        </is>
      </c>
      <c r="J227" s="55" t="inlineStr">
        <is>
          <t>Transversal</t>
        </is>
      </c>
      <c r="K227" s="55" t="inlineStr">
        <is>
          <t>E6038764750</t>
        </is>
      </c>
      <c r="L227" s="63" t="n"/>
      <c r="M227" s="63" t="n"/>
      <c r="N227" s="63" t="n"/>
      <c r="O227" s="66" t="n">
        <v>3054468</v>
      </c>
      <c r="P227" s="55" t="n">
        <v>0</v>
      </c>
      <c r="Q227" s="55" t="n">
        <v>0</v>
      </c>
      <c r="R227" s="65" t="n">
        <v>3054468</v>
      </c>
      <c r="S227" s="65" t="inlineStr">
        <is>
          <t>marzo 2025</t>
        </is>
      </c>
      <c r="T227" s="55" t="inlineStr">
        <is>
          <t>3393</t>
        </is>
      </c>
      <c r="U227" s="63" t="n"/>
      <c r="V227" s="63" t="n"/>
      <c r="W227" s="55" t="n"/>
      <c r="X227" s="55" t="n"/>
      <c r="Y227" s="55" t="n"/>
      <c r="Z227" s="63" t="n"/>
    </row>
    <row r="228">
      <c r="A228" s="64" t="n">
        <v>225</v>
      </c>
      <c r="B228" s="55" t="inlineStr">
        <is>
          <t>EDIFICIO CAPITAL TOWERS PROPIEDAD HORIZONTAL</t>
        </is>
      </c>
      <c r="C228" s="55" t="n"/>
      <c r="D228" s="65" t="inlineStr">
        <is>
          <t>ADM</t>
        </is>
      </c>
      <c r="E228" s="65" t="n"/>
      <c r="F228" s="65" t="inlineStr">
        <is>
          <t>Reuniones gerenciales CEM (Sala reuniones)</t>
        </is>
      </c>
      <c r="G228" s="65" t="n"/>
      <c r="H228" s="65" t="inlineStr">
        <is>
          <t>Fijo</t>
        </is>
      </c>
      <c r="I228" s="55" t="inlineStr">
        <is>
          <t xml:space="preserve">ALQUILER SALA DE JUNTAS REUNION CEM </t>
        </is>
      </c>
      <c r="J228" s="55" t="inlineStr">
        <is>
          <t>Calle 100</t>
        </is>
      </c>
      <c r="K228" s="55" t="inlineStr">
        <is>
          <t>FE10093</t>
        </is>
      </c>
      <c r="L228" s="63" t="n"/>
      <c r="M228" s="63" t="n"/>
      <c r="N228" s="63" t="n"/>
      <c r="O228" s="66" t="n">
        <v>883329</v>
      </c>
      <c r="P228" s="55" t="n">
        <v>0</v>
      </c>
      <c r="Q228" s="55" t="n">
        <v>0</v>
      </c>
      <c r="R228" s="65" t="n">
        <v>883329</v>
      </c>
      <c r="S228" s="65" t="inlineStr">
        <is>
          <t>marzo 2025</t>
        </is>
      </c>
      <c r="T228" s="55" t="inlineStr">
        <is>
          <t>3415</t>
        </is>
      </c>
      <c r="U228" s="63" t="n"/>
      <c r="V228" s="63" t="n"/>
      <c r="W228" s="55" t="n"/>
      <c r="X228" s="55" t="n"/>
      <c r="Y228" s="55" t="n"/>
      <c r="Z228" s="63" t="n"/>
    </row>
    <row r="229">
      <c r="A229" s="64" t="n">
        <v>226</v>
      </c>
      <c r="B229" s="55" t="inlineStr">
        <is>
          <t>5D DISEÑADORES ASOCIADOS S.A.S</t>
        </is>
      </c>
      <c r="C229" s="55" t="n"/>
      <c r="D229" s="65" t="inlineStr">
        <is>
          <t>IT</t>
        </is>
      </c>
      <c r="E229" s="65" t="n"/>
      <c r="F229" s="65" t="n"/>
      <c r="G229" s="65" t="inlineStr">
        <is>
          <t>5 bases portatil y 5 bases monitor para puestos de trabajo</t>
        </is>
      </c>
      <c r="H229" s="65" t="inlineStr">
        <is>
          <t>Variable</t>
        </is>
      </c>
      <c r="I229" s="55" t="inlineStr">
        <is>
          <t>Insumos y perifericos</t>
        </is>
      </c>
      <c r="J229" s="55" t="inlineStr">
        <is>
          <t>Transversal</t>
        </is>
      </c>
      <c r="K229" s="55" t="inlineStr">
        <is>
          <t>FE25837</t>
        </is>
      </c>
      <c r="L229" s="63" t="n"/>
      <c r="M229" s="63" t="n"/>
      <c r="N229" s="63" t="n"/>
      <c r="O229" s="66" t="n">
        <v>1035300</v>
      </c>
      <c r="P229" s="55" t="n">
        <v>0</v>
      </c>
      <c r="Q229" s="55" t="n">
        <v>0</v>
      </c>
      <c r="R229" s="65" t="n">
        <v>1035300</v>
      </c>
      <c r="S229" s="65" t="inlineStr">
        <is>
          <t>marzo 2025</t>
        </is>
      </c>
      <c r="T229" s="55" t="inlineStr">
        <is>
          <t>3384</t>
        </is>
      </c>
      <c r="U229" s="63" t="n"/>
      <c r="V229" s="63" t="n"/>
      <c r="W229" s="55" t="n"/>
      <c r="X229" s="55" t="n"/>
      <c r="Y229" s="55" t="n"/>
      <c r="Z229" s="63" t="n"/>
    </row>
    <row r="230">
      <c r="A230" s="64" t="n">
        <v>227</v>
      </c>
      <c r="B230" s="55" t="inlineStr">
        <is>
          <t>PEOPLE PASS S.A.S</t>
        </is>
      </c>
      <c r="C230" s="55" t="n"/>
      <c r="D230" s="65" t="inlineStr">
        <is>
          <t>ADM</t>
        </is>
      </c>
      <c r="E230" s="65" t="n"/>
      <c r="F230" s="65" t="inlineStr">
        <is>
          <t>Gastos De Representacion</t>
        </is>
      </c>
      <c r="G230" s="65" t="n"/>
      <c r="H230" s="65" t="inlineStr">
        <is>
          <t>Variable</t>
        </is>
      </c>
      <c r="I230" s="55" t="inlineStr">
        <is>
          <t>RECARGA TARJETA PEOPLE PASS GINNA CASTRO GASTOS VARIOS</t>
        </is>
      </c>
      <c r="J230" s="55" t="inlineStr">
        <is>
          <t>Transversal</t>
        </is>
      </c>
      <c r="K230" s="55" t="inlineStr">
        <is>
          <t>FPP462016</t>
        </is>
      </c>
      <c r="L230" s="63" t="n"/>
      <c r="M230" s="63" t="n"/>
      <c r="N230" s="63" t="n"/>
      <c r="O230" s="66" t="n">
        <v>1038080</v>
      </c>
      <c r="P230" s="55" t="n">
        <v>0</v>
      </c>
      <c r="Q230" s="55" t="n">
        <v>0</v>
      </c>
      <c r="R230" s="65" t="n">
        <v>1038080</v>
      </c>
      <c r="S230" s="65" t="inlineStr">
        <is>
          <t>marzo 2025</t>
        </is>
      </c>
      <c r="T230" s="55" t="inlineStr">
        <is>
          <t>4725</t>
        </is>
      </c>
      <c r="U230" s="63" t="n"/>
      <c r="V230" s="63" t="n"/>
      <c r="W230" s="55" t="n"/>
      <c r="X230" s="55" t="n"/>
      <c r="Y230" s="55" t="n"/>
      <c r="Z230" s="63" t="n"/>
    </row>
    <row r="231">
      <c r="A231" s="64" t="n">
        <v>228</v>
      </c>
      <c r="B231" s="55" t="inlineStr">
        <is>
          <t>TIGO</t>
        </is>
      </c>
      <c r="C231" s="55" t="n"/>
      <c r="D231" s="65" t="inlineStr">
        <is>
          <t>ADM</t>
        </is>
      </c>
      <c r="E231" s="65" t="n"/>
      <c r="F231" s="65" t="inlineStr">
        <is>
          <t>Telefono fijo</t>
        </is>
      </c>
      <c r="G231" s="65" t="n"/>
      <c r="H231" s="65" t="inlineStr">
        <is>
          <t>Fijo</t>
        </is>
      </c>
      <c r="I231" s="55" t="inlineStr">
        <is>
          <t>SERVICIO NUMERO UNICO CRAFT MEDELLIN</t>
        </is>
      </c>
      <c r="J231" s="55" t="inlineStr">
        <is>
          <t>Medellín</t>
        </is>
      </c>
      <c r="K231" s="55" t="inlineStr">
        <is>
          <t>BOPU132577334</t>
        </is>
      </c>
      <c r="L231" s="63" t="n"/>
      <c r="M231" s="63" t="n"/>
      <c r="N231" s="63" t="n"/>
      <c r="O231" s="66" t="n">
        <v>27351</v>
      </c>
      <c r="P231" s="55" t="n">
        <v>0</v>
      </c>
      <c r="Q231" s="55" t="n">
        <v>0</v>
      </c>
      <c r="R231" s="65" t="n">
        <v>27351</v>
      </c>
      <c r="S231" s="65" t="inlineStr">
        <is>
          <t>marzo 2025</t>
        </is>
      </c>
      <c r="T231" s="55" t="inlineStr">
        <is>
          <t>46</t>
        </is>
      </c>
      <c r="U231" s="63" t="n"/>
      <c r="V231" s="63" t="n"/>
      <c r="W231" s="55" t="n"/>
      <c r="X231" s="55" t="n"/>
      <c r="Y231" s="55" t="n"/>
      <c r="Z231" s="63" t="n"/>
    </row>
    <row r="232">
      <c r="A232" s="64" t="n">
        <v>229</v>
      </c>
      <c r="B232" s="55" t="inlineStr">
        <is>
          <t>TIGO</t>
        </is>
      </c>
      <c r="C232" s="55" t="n"/>
      <c r="D232" s="65" t="inlineStr">
        <is>
          <t>ADM</t>
        </is>
      </c>
      <c r="E232" s="65" t="n"/>
      <c r="F232" s="65" t="inlineStr">
        <is>
          <t>Telefono fijo</t>
        </is>
      </c>
      <c r="G232" s="65" t="n"/>
      <c r="H232" s="65" t="inlineStr">
        <is>
          <t>Fijo</t>
        </is>
      </c>
      <c r="I232" s="55" t="inlineStr">
        <is>
          <t>SERVICIO TELEFONIA CRAFT MEDELLIN</t>
        </is>
      </c>
      <c r="J232" s="55" t="inlineStr">
        <is>
          <t>Medellín</t>
        </is>
      </c>
      <c r="K232" s="55" t="inlineStr">
        <is>
          <t>BOPU132628285</t>
        </is>
      </c>
      <c r="L232" s="63" t="n"/>
      <c r="M232" s="63" t="n"/>
      <c r="N232" s="63" t="n"/>
      <c r="O232" s="66" t="n">
        <v>116630</v>
      </c>
      <c r="P232" s="55" t="n">
        <v>0</v>
      </c>
      <c r="Q232" s="55" t="n">
        <v>0</v>
      </c>
      <c r="R232" s="65" t="n">
        <v>116630</v>
      </c>
      <c r="S232" s="65" t="inlineStr">
        <is>
          <t>marzo 2025</t>
        </is>
      </c>
      <c r="T232" s="55" t="inlineStr">
        <is>
          <t>48</t>
        </is>
      </c>
      <c r="U232" s="63" t="n"/>
      <c r="V232" s="63" t="n"/>
      <c r="W232" s="55" t="n"/>
      <c r="X232" s="55" t="n"/>
      <c r="Y232" s="55" t="n"/>
      <c r="Z232" s="63" t="n"/>
    </row>
    <row r="233">
      <c r="A233" s="64" t="n">
        <v>230</v>
      </c>
      <c r="B233" s="55" t="inlineStr">
        <is>
          <t>TIGO</t>
        </is>
      </c>
      <c r="C233" s="55" t="n"/>
      <c r="D233" s="65" t="inlineStr">
        <is>
          <t>IT</t>
        </is>
      </c>
      <c r="E233" s="65" t="n"/>
      <c r="F233" s="65" t="inlineStr">
        <is>
          <t>Internet oficinas</t>
        </is>
      </c>
      <c r="G233" s="65" t="n"/>
      <c r="H233" s="65" t="inlineStr">
        <is>
          <t>Fijo</t>
        </is>
      </c>
      <c r="I233" s="55" t="inlineStr">
        <is>
          <t>SERVICIO INTERNET CRAFT MEDELLIN</t>
        </is>
      </c>
      <c r="J233" s="55" t="inlineStr">
        <is>
          <t>Medellín</t>
        </is>
      </c>
      <c r="K233" s="55" t="inlineStr">
        <is>
          <t>BOPU132587895</t>
        </is>
      </c>
      <c r="L233" s="63" t="n"/>
      <c r="M233" s="63" t="n"/>
      <c r="N233" s="63" t="n"/>
      <c r="O233" s="66" t="n">
        <v>143404</v>
      </c>
      <c r="P233" s="55" t="n">
        <v>0</v>
      </c>
      <c r="Q233" s="55" t="n">
        <v>0</v>
      </c>
      <c r="R233" s="65" t="n">
        <v>143404</v>
      </c>
      <c r="S233" s="65" t="inlineStr">
        <is>
          <t>marzo 2025</t>
        </is>
      </c>
      <c r="T233" s="55" t="inlineStr">
        <is>
          <t>47</t>
        </is>
      </c>
      <c r="U233" s="63" t="n"/>
      <c r="V233" s="63" t="n"/>
      <c r="W233" s="55" t="n"/>
      <c r="X233" s="55" t="n"/>
      <c r="Y233" s="55" t="n"/>
      <c r="Z233" s="63" t="n"/>
    </row>
    <row r="234">
      <c r="A234" s="64" t="n">
        <v>231</v>
      </c>
      <c r="B234" s="55" t="inlineStr">
        <is>
          <t>COMPAÑIA PAPELERA NACIONAL S.A.S</t>
        </is>
      </c>
      <c r="C234" s="55" t="n"/>
      <c r="D234" s="65" t="inlineStr">
        <is>
          <t>ADM</t>
        </is>
      </c>
      <c r="E234" s="65" t="n"/>
      <c r="F234" s="65" t="inlineStr">
        <is>
          <t>Material Copa/Cozinha</t>
        </is>
      </c>
      <c r="G234" s="65" t="n"/>
      <c r="H234" s="65" t="inlineStr">
        <is>
          <t>Variable</t>
        </is>
      </c>
      <c r="I234" s="55" t="inlineStr">
        <is>
          <t>PEDIDO CAFETERIA CRAFT AEROPUERTO</t>
        </is>
      </c>
      <c r="J234" s="55" t="inlineStr">
        <is>
          <t>Aeropuerto</t>
        </is>
      </c>
      <c r="K234" s="55" t="inlineStr">
        <is>
          <t>CPFP204405</t>
        </is>
      </c>
      <c r="L234" s="63" t="n"/>
      <c r="M234" s="63" t="n"/>
      <c r="N234" s="63" t="n"/>
      <c r="O234" s="66" t="n">
        <v>246040</v>
      </c>
      <c r="P234" s="55" t="n">
        <v>0</v>
      </c>
      <c r="Q234" s="55" t="n">
        <v>0</v>
      </c>
      <c r="R234" s="65" t="n">
        <v>246040</v>
      </c>
      <c r="S234" s="65" t="inlineStr">
        <is>
          <t>marzo 2025</t>
        </is>
      </c>
      <c r="T234" s="55" t="inlineStr">
        <is>
          <t>9</t>
        </is>
      </c>
      <c r="U234" s="63" t="n"/>
      <c r="V234" s="63" t="n"/>
      <c r="W234" s="55" t="n"/>
      <c r="X234" s="55" t="n"/>
      <c r="Y234" s="55" t="n"/>
      <c r="Z234" s="63" t="n"/>
    </row>
    <row r="235">
      <c r="A235" s="64" t="n">
        <v>232</v>
      </c>
      <c r="B235" s="55" t="inlineStr">
        <is>
          <t>COMPAÑIA PAPELERA NACIONAL S.A.S</t>
        </is>
      </c>
      <c r="C235" s="55" t="n"/>
      <c r="D235" s="65" t="inlineStr">
        <is>
          <t>ADM</t>
        </is>
      </c>
      <c r="E235" s="65" t="n"/>
      <c r="F235" s="65" t="inlineStr">
        <is>
          <t>Material Copa/Cozinha</t>
        </is>
      </c>
      <c r="G235" s="65" t="n"/>
      <c r="H235" s="65" t="inlineStr">
        <is>
          <t>Variable</t>
        </is>
      </c>
      <c r="I235" s="55" t="inlineStr">
        <is>
          <t>PEDIDO ASEO Y CAFETERIA CRAFT BUENAVENTURA</t>
        </is>
      </c>
      <c r="J235" s="55" t="inlineStr">
        <is>
          <t>Buenaventura</t>
        </is>
      </c>
      <c r="K235" s="55" t="inlineStr">
        <is>
          <t>CPFP204449</t>
        </is>
      </c>
      <c r="L235" s="63" t="n"/>
      <c r="M235" s="63" t="n"/>
      <c r="N235" s="63" t="n"/>
      <c r="O235" s="66" t="n">
        <v>911369</v>
      </c>
      <c r="P235" s="55" t="n">
        <v>0</v>
      </c>
      <c r="Q235" s="55" t="n">
        <v>0</v>
      </c>
      <c r="R235" s="65" t="n">
        <v>911369</v>
      </c>
      <c r="S235" s="65" t="inlineStr">
        <is>
          <t>marzo 2025</t>
        </is>
      </c>
      <c r="T235" s="55" t="inlineStr">
        <is>
          <t>16</t>
        </is>
      </c>
      <c r="U235" s="63" t="n"/>
      <c r="V235" s="63" t="n"/>
      <c r="W235" s="55" t="n"/>
      <c r="X235" s="55" t="n"/>
      <c r="Y235" s="55" t="n"/>
      <c r="Z235" s="63" t="n"/>
    </row>
    <row r="236">
      <c r="A236" s="64" t="n">
        <v>233</v>
      </c>
      <c r="B236" s="55" t="inlineStr">
        <is>
          <t>COMPAÑIA PAPELERA NACIONAL S.A.S</t>
        </is>
      </c>
      <c r="C236" s="55" t="n"/>
      <c r="D236" s="65" t="inlineStr">
        <is>
          <t>ADM</t>
        </is>
      </c>
      <c r="E236" s="65" t="n"/>
      <c r="F236" s="65" t="inlineStr">
        <is>
          <t>Material Copa/Cozinha</t>
        </is>
      </c>
      <c r="G236" s="65" t="n"/>
      <c r="H236" s="65" t="inlineStr">
        <is>
          <t>Variable</t>
        </is>
      </c>
      <c r="I236" s="55" t="inlineStr">
        <is>
          <t>PEDIDO CAFETERIA CRAFT AEROPUERTO</t>
        </is>
      </c>
      <c r="J236" s="55" t="inlineStr">
        <is>
          <t>Aeropuerto</t>
        </is>
      </c>
      <c r="K236" s="55" t="inlineStr">
        <is>
          <t>CPFP204450</t>
        </is>
      </c>
      <c r="L236" s="63" t="n"/>
      <c r="M236" s="63" t="n"/>
      <c r="N236" s="63" t="n"/>
      <c r="O236" s="66" t="n">
        <v>123007</v>
      </c>
      <c r="P236" s="55" t="n">
        <v>0</v>
      </c>
      <c r="Q236" s="55" t="n">
        <v>0</v>
      </c>
      <c r="R236" s="65" t="n">
        <v>123007</v>
      </c>
      <c r="S236" s="65" t="inlineStr">
        <is>
          <t>marzo 2025</t>
        </is>
      </c>
      <c r="T236" s="55" t="inlineStr">
        <is>
          <t>10</t>
        </is>
      </c>
      <c r="U236" s="63" t="n"/>
      <c r="V236" s="63" t="n"/>
      <c r="W236" s="55" t="n"/>
      <c r="X236" s="55" t="n"/>
      <c r="Y236" s="55" t="n"/>
      <c r="Z236" s="63" t="n"/>
    </row>
    <row r="237">
      <c r="A237" s="64" t="n">
        <v>234</v>
      </c>
      <c r="B237" s="55" t="inlineStr">
        <is>
          <t>COMPAÑIA PAPELERA NACIONAL S.A.S</t>
        </is>
      </c>
      <c r="C237" s="55" t="n"/>
      <c r="D237" s="65" t="inlineStr">
        <is>
          <t>ADM</t>
        </is>
      </c>
      <c r="E237" s="65" t="n"/>
      <c r="F237" s="65" t="inlineStr">
        <is>
          <t>Material De Escritorio</t>
        </is>
      </c>
      <c r="G237" s="65" t="n"/>
      <c r="H237" s="65" t="inlineStr">
        <is>
          <t>Variable</t>
        </is>
      </c>
      <c r="I237" s="55" t="inlineStr">
        <is>
          <t>PEDIDO PAPELERIA CRAFT AEROPUERTO</t>
        </is>
      </c>
      <c r="J237" s="55" t="inlineStr">
        <is>
          <t>Aeropuerto</t>
        </is>
      </c>
      <c r="K237" s="55" t="inlineStr">
        <is>
          <t>CPFP204448</t>
        </is>
      </c>
      <c r="L237" s="63" t="n"/>
      <c r="M237" s="63" t="n"/>
      <c r="N237" s="63" t="n"/>
      <c r="O237" s="66" t="n">
        <v>294339</v>
      </c>
      <c r="P237" s="55" t="n">
        <v>0</v>
      </c>
      <c r="Q237" s="55" t="n">
        <v>0</v>
      </c>
      <c r="R237" s="65" t="n">
        <v>294339</v>
      </c>
      <c r="S237" s="65" t="inlineStr">
        <is>
          <t>marzo 2025</t>
        </is>
      </c>
      <c r="T237" s="55" t="inlineStr">
        <is>
          <t>11</t>
        </is>
      </c>
      <c r="U237" s="63" t="n"/>
      <c r="V237" s="63" t="n"/>
      <c r="W237" s="55" t="n"/>
      <c r="X237" s="55" t="n"/>
      <c r="Y237" s="55" t="n"/>
      <c r="Z237" s="63" t="n"/>
    </row>
    <row r="238">
      <c r="A238" s="64" t="n">
        <v>235</v>
      </c>
      <c r="B238" s="55" t="inlineStr">
        <is>
          <t>CLARO S.A.</t>
        </is>
      </c>
      <c r="C238" s="55" t="n"/>
      <c r="D238" s="65" t="inlineStr">
        <is>
          <t>ADM</t>
        </is>
      </c>
      <c r="E238" s="65" t="n"/>
      <c r="F238" s="65" t="inlineStr">
        <is>
          <t>Celulares</t>
        </is>
      </c>
      <c r="G238" s="65" t="n"/>
      <c r="H238" s="65" t="inlineStr">
        <is>
          <t>Fijo</t>
        </is>
      </c>
      <c r="I238" s="55" t="inlineStr">
        <is>
          <t xml:space="preserve">SIM TABLET BUN Y AEROPUERTO  </t>
        </is>
      </c>
      <c r="J238" s="55" t="inlineStr">
        <is>
          <t>Puertos</t>
        </is>
      </c>
      <c r="K238" s="55" t="inlineStr">
        <is>
          <t>E6040528718</t>
        </is>
      </c>
      <c r="L238" s="63" t="n"/>
      <c r="M238" s="63" t="n"/>
      <c r="N238" s="63" t="n"/>
      <c r="O238" s="66" t="n">
        <v>325398</v>
      </c>
      <c r="P238" s="55" t="n">
        <v>0</v>
      </c>
      <c r="Q238" s="55" t="n">
        <v>0</v>
      </c>
      <c r="R238" s="65" t="n">
        <v>325398</v>
      </c>
      <c r="S238" s="65" t="inlineStr">
        <is>
          <t>marzo 2025</t>
        </is>
      </c>
      <c r="T238" s="55" t="inlineStr">
        <is>
          <t>17</t>
        </is>
      </c>
      <c r="U238" s="63" t="n"/>
      <c r="V238" s="63" t="n"/>
      <c r="W238" s="55" t="n"/>
      <c r="X238" s="55" t="n"/>
      <c r="Y238" s="55" t="n"/>
      <c r="Z238" s="63" t="n"/>
    </row>
    <row r="239">
      <c r="A239" s="64" t="n">
        <v>236</v>
      </c>
      <c r="B239" s="55" t="inlineStr">
        <is>
          <t>CLARO S.A.</t>
        </is>
      </c>
      <c r="C239" s="55" t="n"/>
      <c r="D239" s="65" t="inlineStr">
        <is>
          <t>ADM</t>
        </is>
      </c>
      <c r="E239" s="65" t="n"/>
      <c r="F239" s="65" t="inlineStr">
        <is>
          <t>Celulares</t>
        </is>
      </c>
      <c r="G239" s="65" t="n"/>
      <c r="H239" s="65" t="inlineStr">
        <is>
          <t>Fijo</t>
        </is>
      </c>
      <c r="I239" s="55" t="inlineStr">
        <is>
          <t>PLAN DATOS RAFAEL DE SA</t>
        </is>
      </c>
      <c r="J239" s="55" t="inlineStr">
        <is>
          <t>Transversal</t>
        </is>
      </c>
      <c r="K239" s="55" t="inlineStr">
        <is>
          <t>E6040528906</t>
        </is>
      </c>
      <c r="L239" s="63" t="n"/>
      <c r="M239" s="63" t="n"/>
      <c r="N239" s="63" t="n"/>
      <c r="O239" s="66" t="n">
        <v>178924</v>
      </c>
      <c r="P239" s="55" t="n">
        <v>0</v>
      </c>
      <c r="Q239" s="55" t="n">
        <v>0</v>
      </c>
      <c r="R239" s="65" t="n">
        <v>178924</v>
      </c>
      <c r="S239" s="65" t="inlineStr">
        <is>
          <t>marzo 2025</t>
        </is>
      </c>
      <c r="T239" s="55" t="inlineStr">
        <is>
          <t>4749</t>
        </is>
      </c>
      <c r="U239" s="63" t="n"/>
      <c r="V239" s="63" t="n"/>
      <c r="W239" s="55" t="n"/>
      <c r="X239" s="55" t="n"/>
      <c r="Y239" s="55" t="n"/>
      <c r="Z239" s="63" t="n"/>
    </row>
    <row r="240">
      <c r="A240" s="64" t="n">
        <v>237</v>
      </c>
      <c r="B240" s="55" t="inlineStr">
        <is>
          <t>CLARO S.A.</t>
        </is>
      </c>
      <c r="C240" s="55" t="n"/>
      <c r="D240" s="65" t="inlineStr">
        <is>
          <t>ADM</t>
        </is>
      </c>
      <c r="E240" s="65" t="n"/>
      <c r="F240" s="65" t="inlineStr">
        <is>
          <t>Celulares</t>
        </is>
      </c>
      <c r="G240" s="65" t="n"/>
      <c r="H240" s="65" t="inlineStr">
        <is>
          <t>Fijo</t>
        </is>
      </c>
      <c r="I240" s="55" t="inlineStr">
        <is>
          <t>SIM TABLET CTG</t>
        </is>
      </c>
      <c r="J240" s="55" t="inlineStr">
        <is>
          <t>Cartagena</t>
        </is>
      </c>
      <c r="K240" s="55" t="inlineStr">
        <is>
          <t>E6040516159</t>
        </is>
      </c>
      <c r="L240" s="63" t="n"/>
      <c r="M240" s="63" t="n"/>
      <c r="N240" s="63" t="n"/>
      <c r="O240" s="66" t="n">
        <v>192117</v>
      </c>
      <c r="P240" s="55" t="n">
        <v>0</v>
      </c>
      <c r="Q240" s="55" t="n">
        <v>0</v>
      </c>
      <c r="R240" s="65" t="n">
        <v>192117</v>
      </c>
      <c r="S240" s="65" t="inlineStr">
        <is>
          <t>marzo 2025</t>
        </is>
      </c>
      <c r="T240" s="55" t="inlineStr">
        <is>
          <t>17</t>
        </is>
      </c>
      <c r="U240" s="63" t="n"/>
      <c r="V240" s="63" t="n"/>
      <c r="W240" s="55" t="n"/>
      <c r="X240" s="55" t="n"/>
      <c r="Y240" s="55" t="n"/>
      <c r="Z240" s="63" t="n"/>
    </row>
    <row r="241">
      <c r="A241" s="64" t="n">
        <v>238</v>
      </c>
      <c r="B241" s="55" t="inlineStr">
        <is>
          <t>TECNOLOGIA INFORMATICA TECINF SAS</t>
        </is>
      </c>
      <c r="C241" s="55" t="n"/>
      <c r="D241" s="65" t="inlineStr">
        <is>
          <t>IT</t>
        </is>
      </c>
      <c r="E241" s="65" t="n"/>
      <c r="F241" s="65" t="inlineStr">
        <is>
          <t>Repositorio Veembackup</t>
        </is>
      </c>
      <c r="G241" s="65" t="n"/>
      <c r="H241" s="65" t="inlineStr">
        <is>
          <t>Fijo</t>
        </is>
      </c>
      <c r="I241" s="55" t="inlineStr">
        <is>
          <t>SERVICIOS VEAM BACKUP</t>
        </is>
      </c>
      <c r="J241" s="55" t="inlineStr">
        <is>
          <t>Transversal</t>
        </is>
      </c>
      <c r="K241" s="55" t="inlineStr">
        <is>
          <t>FEB26256</t>
        </is>
      </c>
      <c r="L241" s="63" t="n"/>
      <c r="M241" s="63" t="n"/>
      <c r="N241" s="63" t="n"/>
      <c r="O241" s="66" t="n">
        <v>2666664</v>
      </c>
      <c r="P241" s="55" t="n">
        <v>0</v>
      </c>
      <c r="Q241" s="55" t="n">
        <v>0</v>
      </c>
      <c r="R241" s="65" t="n">
        <v>2666664</v>
      </c>
      <c r="S241" s="65" t="inlineStr">
        <is>
          <t>marzo 2025</t>
        </is>
      </c>
      <c r="T241" s="55" t="inlineStr">
        <is>
          <t>4753</t>
        </is>
      </c>
      <c r="U241" s="63" t="n"/>
      <c r="V241" s="63" t="n"/>
      <c r="W241" s="55" t="n"/>
      <c r="X241" s="55" t="n"/>
      <c r="Y241" s="55" t="n"/>
      <c r="Z241" s="63" t="n"/>
    </row>
    <row r="242">
      <c r="A242" s="64" t="n">
        <v>239</v>
      </c>
      <c r="B242" s="55" t="inlineStr">
        <is>
          <t>EDIFICIO CAPITAL TOWERS PROPIEDAD HORIZONTAL</t>
        </is>
      </c>
      <c r="C242" s="55" t="n"/>
      <c r="D242" s="65" t="inlineStr">
        <is>
          <t>ADM</t>
        </is>
      </c>
      <c r="E242" s="65" t="n"/>
      <c r="F242" s="65" t="inlineStr">
        <is>
          <t>Administración</t>
        </is>
      </c>
      <c r="G242" s="65" t="n"/>
      <c r="H242" s="65" t="inlineStr">
        <is>
          <t>Fijo</t>
        </is>
      </c>
      <c r="I242" s="55" t="inlineStr">
        <is>
          <t>DESCUENTO POR PRONTO PAGO ADMON CRAFT BOGOTA</t>
        </is>
      </c>
      <c r="J242" s="55" t="inlineStr">
        <is>
          <t>Calle 100</t>
        </is>
      </c>
      <c r="K242" s="55" t="inlineStr">
        <is>
          <t>CNFE1959</t>
        </is>
      </c>
      <c r="L242" s="63" t="n"/>
      <c r="M242" s="63" t="n"/>
      <c r="N242" s="63" t="n"/>
      <c r="O242" s="66" t="n">
        <v>250018</v>
      </c>
      <c r="P242" s="55" t="n">
        <v>0</v>
      </c>
      <c r="Q242" s="55" t="n">
        <v>0</v>
      </c>
      <c r="R242" s="65" t="n">
        <v>250018</v>
      </c>
      <c r="S242" s="65" t="inlineStr">
        <is>
          <t>marzo 2025</t>
        </is>
      </c>
      <c r="T242" s="55" t="inlineStr">
        <is>
          <t>4805</t>
        </is>
      </c>
      <c r="U242" s="63" t="n"/>
      <c r="V242" s="63" t="n"/>
      <c r="W242" s="55" t="n"/>
      <c r="X242" s="55" t="n"/>
      <c r="Y242" s="55" t="n"/>
      <c r="Z242" s="63" t="n"/>
    </row>
    <row r="243">
      <c r="A243" s="64" t="n">
        <v>240</v>
      </c>
      <c r="B243" s="55" t="inlineStr">
        <is>
          <t>PC QUICK SAS</t>
        </is>
      </c>
      <c r="C243" s="55" t="n"/>
      <c r="D243" s="65" t="inlineStr">
        <is>
          <t>IT</t>
        </is>
      </c>
      <c r="E243" s="65" t="n"/>
      <c r="F243" s="65" t="inlineStr">
        <is>
          <t>PC + 5 años</t>
        </is>
      </c>
      <c r="G243" s="65" t="n"/>
      <c r="H243" s="65" t="inlineStr">
        <is>
          <t>Variable</t>
        </is>
      </c>
      <c r="I243" s="55" t="inlineStr">
        <is>
          <t xml:space="preserve">COMPRA SOLICITADA POR BRASIL  PARA IT  JHON ESPINOSA  DE BOGOTA  DE 6 COMPUTADORES PORTATILES DELL / 6 MEMORIAS RAM  / 6 DELL 1Y NEXT BUS </t>
        </is>
      </c>
      <c r="J243" s="55" t="inlineStr">
        <is>
          <t>Calle 100</t>
        </is>
      </c>
      <c r="K243" s="55" t="inlineStr">
        <is>
          <t>PFE9980</t>
        </is>
      </c>
      <c r="L243" s="63" t="n"/>
      <c r="M243" s="63" t="n"/>
      <c r="N243" s="63" t="n"/>
      <c r="O243" s="66" t="n">
        <v>20613180</v>
      </c>
      <c r="P243" s="55" t="n">
        <v>0</v>
      </c>
      <c r="Q243" s="55" t="n">
        <v>0</v>
      </c>
      <c r="R243" s="65" t="n">
        <v>20613180</v>
      </c>
      <c r="S243" s="65" t="inlineStr">
        <is>
          <t>marzo 2025</t>
        </is>
      </c>
      <c r="T243" s="55" t="inlineStr">
        <is>
          <t>7163</t>
        </is>
      </c>
      <c r="U243" s="63" t="n"/>
      <c r="V243" s="63" t="n"/>
      <c r="W243" s="55" t="n"/>
      <c r="X243" s="55" t="n"/>
      <c r="Y243" s="55" t="n"/>
      <c r="Z243" s="63" t="n"/>
    </row>
    <row r="244">
      <c r="A244" s="64" t="n">
        <v>241</v>
      </c>
      <c r="B244" s="55" t="inlineStr">
        <is>
          <t>CHATOBRAND SAS</t>
        </is>
      </c>
      <c r="C244" s="55" t="n"/>
      <c r="D244" s="65" t="inlineStr">
        <is>
          <t>GH</t>
        </is>
      </c>
      <c r="E244" s="65" t="n"/>
      <c r="F244" s="65" t="inlineStr">
        <is>
          <t>Kit Ingreso</t>
        </is>
      </c>
      <c r="G244" s="65" t="n"/>
      <c r="H244" s="65" t="inlineStr">
        <is>
          <t>Variable</t>
        </is>
      </c>
      <c r="I244" s="55" t="inlineStr">
        <is>
          <t xml:space="preserve">COMPRA DE TULAS ROJAS EN POLIESTER PARA KIT DE BIENVENIDAS   Y UN MAPAMUNDI  CON RETABLO  PARA CLIENTE DE ANGIE GOMEZ </t>
        </is>
      </c>
      <c r="J244" s="55" t="inlineStr">
        <is>
          <t>Transversal</t>
        </is>
      </c>
      <c r="K244" s="55" t="inlineStr">
        <is>
          <t>FEV276</t>
        </is>
      </c>
      <c r="L244" s="63" t="n"/>
      <c r="M244" s="63" t="n"/>
      <c r="N244" s="63" t="n"/>
      <c r="O244" s="66" t="n">
        <v>841925</v>
      </c>
      <c r="P244" s="55" t="n">
        <v>0</v>
      </c>
      <c r="Q244" s="55" t="n">
        <v>0</v>
      </c>
      <c r="R244" s="65" t="n">
        <v>841925</v>
      </c>
      <c r="S244" s="65" t="inlineStr">
        <is>
          <t>marzo 2025</t>
        </is>
      </c>
      <c r="T244" s="55" t="inlineStr">
        <is>
          <t>4790</t>
        </is>
      </c>
      <c r="U244" s="63" t="n"/>
      <c r="V244" s="63" t="n"/>
      <c r="W244" s="55" t="n"/>
      <c r="X244" s="55" t="n"/>
      <c r="Y244" s="55" t="n"/>
      <c r="Z244" s="63" t="n"/>
    </row>
    <row r="245">
      <c r="A245" s="64" t="n">
        <v>242</v>
      </c>
      <c r="B245" s="55" t="inlineStr">
        <is>
          <t>EDIFICIO CAPITAL TOWERS PROPIEDAD HORIZONTAL</t>
        </is>
      </c>
      <c r="C245" s="55" t="n"/>
      <c r="D245" s="65" t="inlineStr">
        <is>
          <t>ADM</t>
        </is>
      </c>
      <c r="E245" s="65" t="n"/>
      <c r="F245" s="65" t="inlineStr">
        <is>
          <t>Administración</t>
        </is>
      </c>
      <c r="G245" s="65" t="n"/>
      <c r="H245" s="65" t="inlineStr">
        <is>
          <t>Fijo</t>
        </is>
      </c>
      <c r="I245" s="55" t="inlineStr">
        <is>
          <t>RECHAZO FACTURA   FE9961</t>
        </is>
      </c>
      <c r="J245" s="55" t="inlineStr">
        <is>
          <t>Calle 100</t>
        </is>
      </c>
      <c r="K245" s="55" t="inlineStr">
        <is>
          <t>CNFE1955</t>
        </is>
      </c>
      <c r="L245" s="63" t="n"/>
      <c r="M245" s="63" t="n"/>
      <c r="N245" s="63" t="n"/>
      <c r="O245" s="66" t="n">
        <v>159628</v>
      </c>
      <c r="P245" s="55" t="n">
        <v>0</v>
      </c>
      <c r="Q245" s="55" t="n">
        <v>0</v>
      </c>
      <c r="R245" s="65" t="n">
        <v>159628</v>
      </c>
      <c r="S245" s="65" t="inlineStr">
        <is>
          <t>marzo 2025</t>
        </is>
      </c>
      <c r="T245" s="55" t="n"/>
      <c r="U245" s="63" t="n"/>
      <c r="V245" s="63" t="n"/>
      <c r="W245" s="55" t="n"/>
      <c r="X245" s="55" t="n"/>
      <c r="Y245" s="55" t="n"/>
      <c r="Z245" s="63" t="n"/>
    </row>
    <row r="246">
      <c r="A246" s="64" t="n">
        <v>243</v>
      </c>
      <c r="B246" s="55" t="inlineStr">
        <is>
          <t>EDIFICIO CAPITAL TOWERS PROPIEDAD HORIZONTAL</t>
        </is>
      </c>
      <c r="C246" s="55" t="n"/>
      <c r="D246" s="65" t="inlineStr">
        <is>
          <t>ADM</t>
        </is>
      </c>
      <c r="E246" s="65" t="n"/>
      <c r="F246" s="65" t="inlineStr">
        <is>
          <t>Administración</t>
        </is>
      </c>
      <c r="G246" s="65" t="n"/>
      <c r="H246" s="65" t="inlineStr">
        <is>
          <t>Fijo</t>
        </is>
      </c>
      <c r="I246" s="55" t="inlineStr">
        <is>
          <t>RECHAZO FACTURA   FE9960</t>
        </is>
      </c>
      <c r="J246" s="55" t="inlineStr">
        <is>
          <t>Calle 100</t>
        </is>
      </c>
      <c r="K246" s="55" t="inlineStr">
        <is>
          <t>CNFE1956</t>
        </is>
      </c>
      <c r="L246" s="63" t="n"/>
      <c r="M246" s="63" t="n"/>
      <c r="N246" s="63" t="n"/>
      <c r="O246" s="66" t="n">
        <v>159628</v>
      </c>
      <c r="P246" s="55" t="n">
        <v>0</v>
      </c>
      <c r="Q246" s="55" t="n">
        <v>0</v>
      </c>
      <c r="R246" s="65" t="n">
        <v>159628</v>
      </c>
      <c r="S246" s="65" t="inlineStr">
        <is>
          <t>marzo 2025</t>
        </is>
      </c>
      <c r="T246" s="55" t="n"/>
      <c r="U246" s="63" t="n"/>
      <c r="V246" s="63" t="n"/>
      <c r="W246" s="55" t="n"/>
      <c r="X246" s="55" t="n"/>
      <c r="Y246" s="55" t="n"/>
      <c r="Z246" s="63" t="n"/>
    </row>
    <row r="247">
      <c r="A247" s="64" t="n">
        <v>244</v>
      </c>
      <c r="B247" s="55" t="inlineStr">
        <is>
          <t>FUNDACION UN TECHO PARA MI PAIS COLOMBIA</t>
        </is>
      </c>
      <c r="C247" s="55" t="n"/>
      <c r="D247" s="65" t="inlineStr">
        <is>
          <t>ADM</t>
        </is>
      </c>
      <c r="E247" s="65" t="n"/>
      <c r="F247" s="65" t="inlineStr">
        <is>
          <t>Fundación Techo para mi país</t>
        </is>
      </c>
      <c r="G247" s="65" t="inlineStr">
        <is>
          <t>DE FEBRERO</t>
        </is>
      </c>
      <c r="H247" s="65" t="n"/>
      <c r="I247" s="55" t="inlineStr">
        <is>
          <t>DONACION POR TRABAJOS ASOCIADOS CON LA RAZON SOCIAL DE LA FUNDACION</t>
        </is>
      </c>
      <c r="J247" s="55" t="inlineStr">
        <is>
          <t>Transversal</t>
        </is>
      </c>
      <c r="K247" s="55" t="inlineStr">
        <is>
          <t>FS122</t>
        </is>
      </c>
      <c r="L247" s="63" t="n"/>
      <c r="M247" s="63" t="n"/>
      <c r="N247" s="63" t="n"/>
      <c r="O247" s="66" t="n">
        <v>100000</v>
      </c>
      <c r="P247" s="55" t="n">
        <v>0</v>
      </c>
      <c r="Q247" s="55" t="n">
        <v>0</v>
      </c>
      <c r="R247" s="65" t="n">
        <v>100000</v>
      </c>
      <c r="S247" s="65" t="inlineStr">
        <is>
          <t>febrero 2025</t>
        </is>
      </c>
      <c r="T247" s="55" t="inlineStr">
        <is>
          <t>4777</t>
        </is>
      </c>
      <c r="U247" s="63" t="n"/>
      <c r="V247" s="63" t="n"/>
      <c r="W247" s="55" t="n"/>
      <c r="X247" s="55" t="n"/>
      <c r="Y247" s="55" t="n"/>
      <c r="Z247" s="63" t="n"/>
    </row>
    <row r="248">
      <c r="A248" s="64" t="n">
        <v>245</v>
      </c>
      <c r="B248" s="55" t="inlineStr">
        <is>
          <t>FUNDACION UN TECHO PARA MI PAIS COLOMBIA</t>
        </is>
      </c>
      <c r="C248" s="55" t="n"/>
      <c r="D248" s="65" t="inlineStr">
        <is>
          <t>ADM</t>
        </is>
      </c>
      <c r="E248" s="65" t="n"/>
      <c r="F248" s="65" t="inlineStr">
        <is>
          <t>Fundación Techo para mi país</t>
        </is>
      </c>
      <c r="G248" s="65" t="n"/>
      <c r="H248" s="65" t="n"/>
      <c r="I248" s="55" t="inlineStr">
        <is>
          <t>DONACION POR TRABAJOS ASOCIADOS CON LA RAZON SOCIAL DE LA FUNDACION</t>
        </is>
      </c>
      <c r="J248" s="55" t="inlineStr">
        <is>
          <t>Transversal</t>
        </is>
      </c>
      <c r="K248" s="55" t="inlineStr">
        <is>
          <t>FS124</t>
        </is>
      </c>
      <c r="L248" s="63" t="n"/>
      <c r="M248" s="63" t="n"/>
      <c r="N248" s="63" t="n"/>
      <c r="O248" s="66" t="n">
        <v>100000</v>
      </c>
      <c r="P248" s="55" t="n">
        <v>0</v>
      </c>
      <c r="Q248" s="55" t="n">
        <v>0</v>
      </c>
      <c r="R248" s="65" t="n">
        <v>100000</v>
      </c>
      <c r="S248" s="65" t="inlineStr">
        <is>
          <t>marzo 2025</t>
        </is>
      </c>
      <c r="T248" s="55" t="inlineStr">
        <is>
          <t>4778</t>
        </is>
      </c>
      <c r="U248" s="63" t="n"/>
      <c r="V248" s="63" t="n"/>
      <c r="W248" s="55" t="n"/>
      <c r="X248" s="55" t="n"/>
      <c r="Y248" s="55" t="n"/>
      <c r="Z248" s="63" t="n"/>
    </row>
    <row r="249">
      <c r="A249" s="64" t="n">
        <v>246</v>
      </c>
      <c r="B249" s="55" t="inlineStr">
        <is>
          <t>LUZ DARY MINA GARCES</t>
        </is>
      </c>
      <c r="C249" s="55" t="n"/>
      <c r="D249" s="65" t="inlineStr">
        <is>
          <t>ADM</t>
        </is>
      </c>
      <c r="E249" s="65" t="n"/>
      <c r="F249" s="65" t="inlineStr">
        <is>
          <t>Otros Gastos CASA LIMPIA PLANILLA AC OTROS</t>
        </is>
      </c>
      <c r="G249" s="65" t="n"/>
      <c r="H249" s="65" t="inlineStr">
        <is>
          <t>Fijo</t>
        </is>
      </c>
      <c r="I249" s="55" t="inlineStr">
        <is>
          <t>SERVICIO ASEO GENERAL OFICINA CRAFT BUENAVENTURA</t>
        </is>
      </c>
      <c r="J249" s="55" t="inlineStr">
        <is>
          <t>Buenaventura</t>
        </is>
      </c>
      <c r="K249" s="55" t="inlineStr">
        <is>
          <t>173</t>
        </is>
      </c>
      <c r="L249" s="63" t="n"/>
      <c r="M249" s="63" t="n"/>
      <c r="N249" s="63" t="n"/>
      <c r="O249" s="66" t="n">
        <v>1000000</v>
      </c>
      <c r="P249" s="55" t="n">
        <v>0</v>
      </c>
      <c r="Q249" s="55" t="n">
        <v>0</v>
      </c>
      <c r="R249" s="65" t="n">
        <v>1000000</v>
      </c>
      <c r="S249" s="65" t="inlineStr">
        <is>
          <t>marzo 2025</t>
        </is>
      </c>
      <c r="T249" s="55" t="inlineStr">
        <is>
          <t>18</t>
        </is>
      </c>
      <c r="U249" s="63" t="n"/>
      <c r="V249" s="63" t="n"/>
      <c r="W249" s="55" t="n"/>
      <c r="X249" s="55" t="n"/>
      <c r="Y249" s="55" t="n"/>
      <c r="Z249" s="63" t="n"/>
    </row>
    <row r="250">
      <c r="A250" s="64" t="n">
        <v>247</v>
      </c>
      <c r="B250" s="55" t="inlineStr">
        <is>
          <t>INVERSIONES HOTELERAS BUENAVENTURA S.A.S.</t>
        </is>
      </c>
      <c r="C250" s="55" t="n"/>
      <c r="D250" s="65" t="inlineStr">
        <is>
          <t>ADM</t>
        </is>
      </c>
      <c r="E250" s="65" t="n"/>
      <c r="F250" s="65" t="inlineStr">
        <is>
          <t>Agua</t>
        </is>
      </c>
      <c r="G250" s="65" t="n"/>
      <c r="H250" s="65" t="inlineStr">
        <is>
          <t>Fijo</t>
        </is>
      </c>
      <c r="I250" s="55" t="inlineStr">
        <is>
          <t xml:space="preserve">RECOBRO SERVICIOS PUBLICOS  DE CRAFT BUENAVENTURA  </t>
        </is>
      </c>
      <c r="J250" s="55" t="inlineStr">
        <is>
          <t>Buenaventura</t>
        </is>
      </c>
      <c r="K250" s="55" t="inlineStr">
        <is>
          <t>RCE5448</t>
        </is>
      </c>
      <c r="L250" s="63" t="n"/>
      <c r="M250" s="63" t="n"/>
      <c r="N250" s="63" t="n"/>
      <c r="O250" s="66" t="n">
        <v>482001</v>
      </c>
      <c r="P250" s="55" t="n">
        <v>0</v>
      </c>
      <c r="Q250" s="55" t="n">
        <v>0</v>
      </c>
      <c r="R250" s="65" t="n">
        <v>482001</v>
      </c>
      <c r="S250" s="65" t="inlineStr">
        <is>
          <t>marzo 2025</t>
        </is>
      </c>
      <c r="T250" s="55" t="inlineStr">
        <is>
          <t>20</t>
        </is>
      </c>
      <c r="U250" s="63" t="n"/>
      <c r="V250" s="63" t="n"/>
      <c r="W250" s="55" t="n"/>
      <c r="X250" s="55" t="n"/>
      <c r="Y250" s="55" t="n"/>
      <c r="Z250" s="63" t="n"/>
    </row>
    <row r="251">
      <c r="A251" s="64" t="n">
        <v>248</v>
      </c>
      <c r="B251" s="55" t="inlineStr">
        <is>
          <t>MULTICOPY JV ZOMAC SAS</t>
        </is>
      </c>
      <c r="C251" s="55" t="n"/>
      <c r="D251" s="65" t="inlineStr">
        <is>
          <t>IT</t>
        </is>
      </c>
      <c r="E251" s="65" t="n"/>
      <c r="F251" s="65" t="inlineStr">
        <is>
          <t>Conservacion Y Manutenimiento De Oficina</t>
        </is>
      </c>
      <c r="G251" s="65" t="n"/>
      <c r="H251" s="65" t="n"/>
      <c r="I251" s="55" t="inlineStr">
        <is>
          <t>ALQUILER IMPRESORA CRAFT BUENAVENTURA</t>
        </is>
      </c>
      <c r="J251" s="55" t="inlineStr">
        <is>
          <t>Buenaventura</t>
        </is>
      </c>
      <c r="K251" s="55" t="inlineStr">
        <is>
          <t>FEMC9825</t>
        </is>
      </c>
      <c r="L251" s="63" t="n"/>
      <c r="M251" s="63" t="n"/>
      <c r="N251" s="63" t="n"/>
      <c r="O251" s="66" t="n">
        <v>223656</v>
      </c>
      <c r="P251" s="55" t="n">
        <v>0</v>
      </c>
      <c r="Q251" s="55" t="n">
        <v>0</v>
      </c>
      <c r="R251" s="65" t="n">
        <v>223656</v>
      </c>
      <c r="S251" s="65" t="inlineStr">
        <is>
          <t>marzo 2025</t>
        </is>
      </c>
      <c r="T251" s="55" t="inlineStr">
        <is>
          <t>22</t>
        </is>
      </c>
      <c r="U251" s="63" t="n"/>
      <c r="V251" s="63" t="n"/>
      <c r="W251" s="55" t="n"/>
      <c r="X251" s="55" t="n"/>
      <c r="Y251" s="55" t="n"/>
      <c r="Z251" s="63" t="n"/>
    </row>
    <row r="252">
      <c r="A252" s="64" t="n">
        <v>249</v>
      </c>
      <c r="B252" s="55" t="inlineStr">
        <is>
          <t>Henry de jesus Sarmiento Rodriguez</t>
        </is>
      </c>
      <c r="C252" s="55" t="n"/>
      <c r="D252" s="65" t="inlineStr">
        <is>
          <t>ADM</t>
        </is>
      </c>
      <c r="E252" s="65" t="n"/>
      <c r="F252" s="65" t="inlineStr">
        <is>
          <t>Conducao E Taxi</t>
        </is>
      </c>
      <c r="G252" s="65" t="n"/>
      <c r="H252" s="65" t="inlineStr">
        <is>
          <t>Variable</t>
        </is>
      </c>
      <c r="I252" s="55" t="inlineStr">
        <is>
          <t>SERVICIO TRANSPORTE COLABORADORES CRAFT EN BOGOTA</t>
        </is>
      </c>
      <c r="J252" s="55" t="inlineStr">
        <is>
          <t>Calle 100</t>
        </is>
      </c>
      <c r="K252" s="55" t="inlineStr">
        <is>
          <t>FE38</t>
        </is>
      </c>
      <c r="L252" s="63" t="n"/>
      <c r="M252" s="63" t="n"/>
      <c r="N252" s="63" t="n"/>
      <c r="O252" s="66" t="n">
        <v>1749000</v>
      </c>
      <c r="P252" s="55" t="n">
        <v>0</v>
      </c>
      <c r="Q252" s="55" t="n">
        <v>0</v>
      </c>
      <c r="R252" s="65" t="n">
        <v>1749000</v>
      </c>
      <c r="S252" s="65" t="inlineStr">
        <is>
          <t>marzo 2025</t>
        </is>
      </c>
      <c r="T252" s="55" t="inlineStr">
        <is>
          <t>6096</t>
        </is>
      </c>
      <c r="U252" s="63" t="n"/>
      <c r="V252" s="63" t="n"/>
      <c r="W252" s="55" t="n"/>
      <c r="X252" s="55" t="n"/>
      <c r="Y252" s="55" t="n"/>
      <c r="Z252" s="63" t="n"/>
    </row>
    <row r="253">
      <c r="A253" s="64" t="n">
        <v>250</v>
      </c>
      <c r="B253" s="55" t="inlineStr">
        <is>
          <t>TURISMO 24 HORAS S.A.S</t>
        </is>
      </c>
      <c r="C253" s="55" t="n"/>
      <c r="D253" s="65" t="inlineStr">
        <is>
          <t>ADM</t>
        </is>
      </c>
      <c r="E253" s="65" t="n"/>
      <c r="F253" s="65" t="inlineStr">
        <is>
          <t>Viagens E Estadias</t>
        </is>
      </c>
      <c r="G253" s="65" t="n"/>
      <c r="H253" s="65" t="n"/>
      <c r="I253" s="55" t="inlineStr">
        <is>
          <t xml:space="preserve">NOTA CREDITO RECHAZADA   FACTURA   225 </t>
        </is>
      </c>
      <c r="J253" s="55" t="inlineStr">
        <is>
          <t>Calle 100</t>
        </is>
      </c>
      <c r="K253" s="55" t="inlineStr">
        <is>
          <t>225</t>
        </is>
      </c>
      <c r="L253" s="63" t="n"/>
      <c r="M253" s="63" t="n"/>
      <c r="N253" s="63" t="n"/>
      <c r="O253" s="66" t="n">
        <v>27023997</v>
      </c>
      <c r="P253" s="55" t="n">
        <v>0</v>
      </c>
      <c r="Q253" s="55" t="n">
        <v>0</v>
      </c>
      <c r="R253" s="65" t="n">
        <v>27023997</v>
      </c>
      <c r="S253" s="65" t="inlineStr">
        <is>
          <t>marzo 2025</t>
        </is>
      </c>
      <c r="T253" s="55" t="n"/>
      <c r="U253" s="63" t="n"/>
      <c r="V253" s="63" t="n"/>
      <c r="W253" s="55" t="n"/>
      <c r="X253" s="55" t="n"/>
      <c r="Y253" s="55" t="n"/>
      <c r="Z253" s="63" t="n"/>
    </row>
    <row r="254">
      <c r="A254" s="64" t="n">
        <v>251</v>
      </c>
      <c r="B254" s="55" t="inlineStr">
        <is>
          <t>TURISMO 24 HORAS S.A.S</t>
        </is>
      </c>
      <c r="C254" s="55" t="n"/>
      <c r="D254" s="65" t="inlineStr">
        <is>
          <t>ADM</t>
        </is>
      </c>
      <c r="E254" s="65" t="n"/>
      <c r="F254" s="65" t="inlineStr">
        <is>
          <t>Intermodal</t>
        </is>
      </c>
      <c r="G254" s="65" t="n"/>
      <c r="H254" s="65" t="n"/>
      <c r="I254" s="55" t="inlineStr">
        <is>
          <t xml:space="preserve">COMPRA DE TIQUETES  PARA BRASIL  -  ADRIANA CARDENAS / WILLIAM MARTINEZ / PAOLA MAHECHA / PARA BARRANQUILLA  NADIA MARTINEZ </t>
        </is>
      </c>
      <c r="J254" s="55" t="inlineStr">
        <is>
          <t>Calle 100</t>
        </is>
      </c>
      <c r="K254" s="55" t="inlineStr">
        <is>
          <t>T24H12627</t>
        </is>
      </c>
      <c r="L254" s="63" t="n"/>
      <c r="M254" s="63" t="n"/>
      <c r="N254" s="63" t="n"/>
      <c r="O254" s="66" t="n">
        <v>27023997</v>
      </c>
      <c r="P254" s="55" t="n">
        <v>0</v>
      </c>
      <c r="Q254" s="55" t="n">
        <v>0</v>
      </c>
      <c r="R254" s="65" t="n">
        <v>27023997</v>
      </c>
      <c r="S254" s="65" t="inlineStr">
        <is>
          <t>marzo 2025</t>
        </is>
      </c>
      <c r="T254" s="55" t="inlineStr">
        <is>
          <t>7036</t>
        </is>
      </c>
      <c r="U254" s="63" t="n"/>
      <c r="V254" s="63" t="n"/>
      <c r="W254" s="55" t="n"/>
      <c r="X254" s="55" t="n"/>
      <c r="Y254" s="55" t="n"/>
      <c r="Z254" s="63" t="n"/>
    </row>
    <row r="255">
      <c r="A255" s="64" t="n">
        <v>252</v>
      </c>
      <c r="B255" s="55" t="inlineStr">
        <is>
          <t>EDIFICIO PORTUS MANGA CARTAGENA</t>
        </is>
      </c>
      <c r="C255" s="55" t="n"/>
      <c r="D255" s="65" t="inlineStr">
        <is>
          <t>ADM</t>
        </is>
      </c>
      <c r="E255" s="65" t="n"/>
      <c r="F255" s="65" t="inlineStr">
        <is>
          <t>Luz</t>
        </is>
      </c>
      <c r="G255" s="65" t="n"/>
      <c r="H255" s="65" t="inlineStr">
        <is>
          <t>Fijo</t>
        </is>
      </c>
      <c r="I255" s="55" t="inlineStr">
        <is>
          <t>SERVICIO ENERGIA CRAFT CARTAGENA</t>
        </is>
      </c>
      <c r="J255" s="55" t="inlineStr">
        <is>
          <t>Cartagena</t>
        </is>
      </c>
      <c r="K255" s="55" t="inlineStr">
        <is>
          <t>64</t>
        </is>
      </c>
      <c r="L255" s="63" t="n"/>
      <c r="M255" s="63" t="n"/>
      <c r="N255" s="63" t="n"/>
      <c r="O255" s="66" t="n">
        <v>318042</v>
      </c>
      <c r="P255" s="55" t="n">
        <v>0</v>
      </c>
      <c r="Q255" s="55" t="n">
        <v>0</v>
      </c>
      <c r="R255" s="65" t="n">
        <v>318042</v>
      </c>
      <c r="S255" s="65" t="inlineStr">
        <is>
          <t>marzo 2025</t>
        </is>
      </c>
      <c r="T255" s="55" t="n"/>
      <c r="U255" s="63" t="n"/>
      <c r="V255" s="63" t="n"/>
      <c r="W255" s="55" t="n"/>
      <c r="X255" s="55" t="n"/>
      <c r="Y255" s="55" t="n"/>
      <c r="Z255" s="63" t="n"/>
    </row>
    <row r="256">
      <c r="A256" s="64" t="n">
        <v>253</v>
      </c>
      <c r="B256" s="55" t="inlineStr">
        <is>
          <t>EDIFICIO PORTUS MANGA CARTAGENA</t>
        </is>
      </c>
      <c r="C256" s="55" t="n"/>
      <c r="D256" s="65" t="inlineStr">
        <is>
          <t>ADM</t>
        </is>
      </c>
      <c r="E256" s="65" t="n"/>
      <c r="F256" s="65" t="inlineStr">
        <is>
          <t>Luz</t>
        </is>
      </c>
      <c r="G256" s="65" t="n"/>
      <c r="H256" s="65" t="inlineStr">
        <is>
          <t>Fijo</t>
        </is>
      </c>
      <c r="I256" s="55" t="inlineStr">
        <is>
          <t>SERVICIO ENERGIA CRAFT CARTAGENA</t>
        </is>
      </c>
      <c r="J256" s="55" t="inlineStr">
        <is>
          <t>Cartagena</t>
        </is>
      </c>
      <c r="K256" s="55" t="inlineStr">
        <is>
          <t>69</t>
        </is>
      </c>
      <c r="L256" s="63" t="n"/>
      <c r="M256" s="63" t="n"/>
      <c r="N256" s="63" t="n"/>
      <c r="O256" s="66" t="n">
        <v>395937</v>
      </c>
      <c r="P256" s="55" t="n">
        <v>0</v>
      </c>
      <c r="Q256" s="55" t="n">
        <v>0</v>
      </c>
      <c r="R256" s="65" t="n">
        <v>395937</v>
      </c>
      <c r="S256" s="65" t="inlineStr">
        <is>
          <t>marzo 2025</t>
        </is>
      </c>
      <c r="T256" s="55" t="inlineStr">
        <is>
          <t>22</t>
        </is>
      </c>
      <c r="U256" s="63" t="n"/>
      <c r="V256" s="63" t="n"/>
      <c r="W256" s="55" t="n"/>
      <c r="X256" s="55" t="n"/>
      <c r="Y256" s="55" t="n"/>
      <c r="Z256" s="63" t="n"/>
    </row>
    <row r="257">
      <c r="A257" s="64" t="n">
        <v>254</v>
      </c>
      <c r="B257" s="55" t="inlineStr">
        <is>
          <t>EDIFICIO PORTUS MANGA CARTAGENA</t>
        </is>
      </c>
      <c r="C257" s="55" t="n"/>
      <c r="D257" s="65" t="inlineStr">
        <is>
          <t>ADM</t>
        </is>
      </c>
      <c r="E257" s="65" t="n"/>
      <c r="F257" s="65" t="inlineStr">
        <is>
          <t>Luz</t>
        </is>
      </c>
      <c r="G257" s="65" t="n"/>
      <c r="H257" s="65" t="inlineStr">
        <is>
          <t>Fijo</t>
        </is>
      </c>
      <c r="I257" s="55" t="inlineStr">
        <is>
          <t>SERVICIO ENERGIA CRAFT CARTAGENA</t>
        </is>
      </c>
      <c r="J257" s="55" t="inlineStr">
        <is>
          <t>Cartagena</t>
        </is>
      </c>
      <c r="K257" s="55" t="inlineStr">
        <is>
          <t>74</t>
        </is>
      </c>
      <c r="L257" s="63" t="n"/>
      <c r="M257" s="63" t="n"/>
      <c r="N257" s="63" t="n"/>
      <c r="O257" s="66" t="n">
        <v>250452</v>
      </c>
      <c r="P257" s="55" t="n">
        <v>0</v>
      </c>
      <c r="Q257" s="55" t="n">
        <v>0</v>
      </c>
      <c r="R257" s="65" t="n">
        <v>250452</v>
      </c>
      <c r="S257" s="65" t="inlineStr">
        <is>
          <t>marzo 2025</t>
        </is>
      </c>
      <c r="T257" s="55" t="inlineStr">
        <is>
          <t>23</t>
        </is>
      </c>
      <c r="U257" s="63" t="n"/>
      <c r="V257" s="63" t="n"/>
      <c r="W257" s="55" t="n"/>
      <c r="X257" s="55" t="n"/>
      <c r="Y257" s="55" t="n"/>
      <c r="Z257" s="63" t="n"/>
    </row>
    <row r="258">
      <c r="A258" s="64" t="n">
        <v>255</v>
      </c>
      <c r="B258" s="55" t="inlineStr">
        <is>
          <t>SEGURIDAD Y SOLUCION INTEGRAL- S&amp;amp;SI S.A.S</t>
        </is>
      </c>
      <c r="C258" s="55" t="n"/>
      <c r="D258" s="65" t="inlineStr">
        <is>
          <t>ADM</t>
        </is>
      </c>
      <c r="E258" s="65" t="n"/>
      <c r="F258" s="65" t="inlineStr">
        <is>
          <t>Precintos/SELLOS</t>
        </is>
      </c>
      <c r="G258" s="65" t="n"/>
      <c r="H258" s="65" t="inlineStr">
        <is>
          <t>Variable</t>
        </is>
      </c>
      <c r="I258" s="55" t="inlineStr">
        <is>
          <t>PRECINTOS SUCURSAL AERPTO</t>
        </is>
      </c>
      <c r="J258" s="55" t="inlineStr">
        <is>
          <t>Aeropuerto</t>
        </is>
      </c>
      <c r="K258" s="55" t="inlineStr">
        <is>
          <t>FSSI378</t>
        </is>
      </c>
      <c r="L258" s="63" t="n"/>
      <c r="M258" s="63" t="n"/>
      <c r="N258" s="63" t="n"/>
      <c r="O258" s="66" t="n">
        <v>148750</v>
      </c>
      <c r="P258" s="55" t="n">
        <v>0</v>
      </c>
      <c r="Q258" s="55" t="n">
        <v>0</v>
      </c>
      <c r="R258" s="65" t="n">
        <v>148750</v>
      </c>
      <c r="S258" s="65" t="inlineStr">
        <is>
          <t>marzo 2025</t>
        </is>
      </c>
      <c r="T258" s="55" t="inlineStr">
        <is>
          <t>12</t>
        </is>
      </c>
      <c r="U258" s="63" t="n"/>
      <c r="V258" s="63" t="n"/>
      <c r="W258" s="55" t="n"/>
      <c r="X258" s="55" t="n"/>
      <c r="Y258" s="55" t="n"/>
      <c r="Z258" s="63" t="n"/>
    </row>
    <row r="259">
      <c r="A259" s="64" t="n">
        <v>256</v>
      </c>
      <c r="B259" s="55" t="inlineStr">
        <is>
          <t>CONTRATOS Y FIANZAS DE ARRENDAMIENTO S.A.S.</t>
        </is>
      </c>
      <c r="C259" s="55" t="n"/>
      <c r="D259" s="65" t="inlineStr">
        <is>
          <t>ADM</t>
        </is>
      </c>
      <c r="E259" s="65" t="n"/>
      <c r="F259" s="65" t="inlineStr">
        <is>
          <t>Arriendos</t>
        </is>
      </c>
      <c r="G259" s="65" t="n"/>
      <c r="H259" s="65" t="inlineStr">
        <is>
          <t>Fijo</t>
        </is>
      </c>
      <c r="I259" s="55" t="inlineStr">
        <is>
          <t>CANON DE ARRENDAMIENTO CRAFT MEDELLIN</t>
        </is>
      </c>
      <c r="J259" s="55" t="inlineStr">
        <is>
          <t>Medellín</t>
        </is>
      </c>
      <c r="K259" s="55" t="inlineStr">
        <is>
          <t>FE582402</t>
        </is>
      </c>
      <c r="L259" s="63" t="n"/>
      <c r="M259" s="63" t="n"/>
      <c r="N259" s="63" t="n"/>
      <c r="O259" s="66" t="n">
        <v>6682717</v>
      </c>
      <c r="P259" s="55" t="n">
        <v>0</v>
      </c>
      <c r="Q259" s="55" t="n">
        <v>0</v>
      </c>
      <c r="R259" s="65" t="n">
        <v>6682717</v>
      </c>
      <c r="S259" s="65" t="inlineStr">
        <is>
          <t>abril 2025</t>
        </is>
      </c>
      <c r="T259" s="55" t="inlineStr">
        <is>
          <t>13</t>
        </is>
      </c>
      <c r="U259" s="63" t="n"/>
      <c r="V259" s="63" t="n"/>
      <c r="W259" s="55" t="n"/>
      <c r="X259" s="55" t="n"/>
      <c r="Y259" s="55" t="n"/>
      <c r="Z259" s="63" t="n"/>
    </row>
    <row r="260">
      <c r="A260" s="64" t="n">
        <v>257</v>
      </c>
      <c r="B260" s="55" t="inlineStr">
        <is>
          <t>SUMAR INVERSIONES Y PROYECTOS S.A.S.</t>
        </is>
      </c>
      <c r="C260" s="55" t="n"/>
      <c r="D260" s="65" t="inlineStr">
        <is>
          <t>ADM</t>
        </is>
      </c>
      <c r="E260" s="65" t="n"/>
      <c r="F260" s="65" t="inlineStr">
        <is>
          <t>Arriendos</t>
        </is>
      </c>
      <c r="G260" s="65" t="n"/>
      <c r="H260" s="65" t="inlineStr">
        <is>
          <t>Fijo</t>
        </is>
      </c>
      <c r="I260" s="55" t="inlineStr">
        <is>
          <t>CANON DE ARRENDAMIENTO Y ADMON CRAFT CALI</t>
        </is>
      </c>
      <c r="J260" s="55" t="inlineStr">
        <is>
          <t>Cali</t>
        </is>
      </c>
      <c r="K260" s="55" t="inlineStr">
        <is>
          <t>FESU263</t>
        </is>
      </c>
      <c r="L260" s="63" t="n"/>
      <c r="M260" s="63" t="n"/>
      <c r="N260" s="63" t="n"/>
      <c r="O260" s="66" t="n">
        <v>5310474</v>
      </c>
      <c r="P260" s="55" t="n">
        <v>0</v>
      </c>
      <c r="Q260" s="55" t="n">
        <v>0</v>
      </c>
      <c r="R260" s="65" t="n">
        <v>5310474</v>
      </c>
      <c r="S260" s="65" t="inlineStr">
        <is>
          <t>abril 2025</t>
        </is>
      </c>
      <c r="T260" s="55" t="inlineStr">
        <is>
          <t>1</t>
        </is>
      </c>
      <c r="U260" s="63" t="n"/>
      <c r="V260" s="63" t="n"/>
      <c r="W260" s="55" t="n"/>
      <c r="X260" s="55" t="n"/>
      <c r="Y260" s="55" t="n"/>
      <c r="Z260" s="63" t="n"/>
    </row>
    <row r="261">
      <c r="A261" s="64" t="n">
        <v>258</v>
      </c>
      <c r="B261" s="55" t="inlineStr">
        <is>
          <t>LI STORAGE SAS</t>
        </is>
      </c>
      <c r="C261" s="55" t="n"/>
      <c r="D261" s="65" t="inlineStr">
        <is>
          <t>ADM</t>
        </is>
      </c>
      <c r="E261" s="65" t="n"/>
      <c r="F261" s="65" t="inlineStr">
        <is>
          <t>Bodegas</t>
        </is>
      </c>
      <c r="G261" s="65" t="n"/>
      <c r="H261" s="65" t="inlineStr">
        <is>
          <t>Fijo</t>
        </is>
      </c>
      <c r="I261" s="55" t="inlineStr">
        <is>
          <t>ALMACENAMIENTO EN BODEGA  205 CRAFT BOGOTA</t>
        </is>
      </c>
      <c r="J261" s="55" t="inlineStr">
        <is>
          <t>Transversal</t>
        </is>
      </c>
      <c r="K261" s="55" t="inlineStr">
        <is>
          <t>FE5271</t>
        </is>
      </c>
      <c r="L261" s="63" t="n"/>
      <c r="M261" s="63" t="n"/>
      <c r="N261" s="63" t="n"/>
      <c r="O261" s="66" t="n">
        <v>697697</v>
      </c>
      <c r="P261" s="55" t="n">
        <v>0</v>
      </c>
      <c r="Q261" s="55" t="n">
        <v>0</v>
      </c>
      <c r="R261" s="65" t="n">
        <v>697697</v>
      </c>
      <c r="S261" s="65" t="inlineStr">
        <is>
          <t>abril 2025</t>
        </is>
      </c>
      <c r="T261" s="55" t="inlineStr">
        <is>
          <t>856</t>
        </is>
      </c>
      <c r="U261" s="63" t="n"/>
      <c r="V261" s="63" t="n"/>
      <c r="W261" s="55" t="n"/>
      <c r="X261" s="55" t="n"/>
      <c r="Y261" s="55" t="n"/>
      <c r="Z261" s="63" t="n"/>
    </row>
    <row r="262">
      <c r="A262" s="64" t="n">
        <v>259</v>
      </c>
      <c r="B262" s="55" t="inlineStr">
        <is>
          <t>ASTURIAS SOLUCIONES DE INGENIERIA BUCEO COMERCIAL Y DRAGADO SAS</t>
        </is>
      </c>
      <c r="C262" s="55" t="n"/>
      <c r="D262" s="65" t="inlineStr">
        <is>
          <t>ADM</t>
        </is>
      </c>
      <c r="E262" s="65" t="n"/>
      <c r="F262" s="65" t="inlineStr">
        <is>
          <t>Administración</t>
        </is>
      </c>
      <c r="G262" s="65" t="n"/>
      <c r="H262" s="65" t="inlineStr">
        <is>
          <t>Fijo</t>
        </is>
      </c>
      <c r="I262" s="55" t="inlineStr">
        <is>
          <t>CUOTA ADMINISTRCION OF 501 CRAFT BUENAVENTURA</t>
        </is>
      </c>
      <c r="J262" s="55" t="inlineStr">
        <is>
          <t>Buenaventura</t>
        </is>
      </c>
      <c r="K262" s="55" t="inlineStr">
        <is>
          <t>FVEL2814</t>
        </is>
      </c>
      <c r="L262" s="63" t="n"/>
      <c r="M262" s="63" t="n"/>
      <c r="N262" s="63" t="n"/>
      <c r="O262" s="66" t="n">
        <v>680090</v>
      </c>
      <c r="P262" s="55" t="n">
        <v>0</v>
      </c>
      <c r="Q262" s="55" t="n">
        <v>0</v>
      </c>
      <c r="R262" s="65" t="n">
        <v>680090</v>
      </c>
      <c r="S262" s="65" t="inlineStr">
        <is>
          <t>abril 2025</t>
        </is>
      </c>
      <c r="T262" s="55" t="inlineStr">
        <is>
          <t>2</t>
        </is>
      </c>
      <c r="U262" s="63" t="n"/>
      <c r="V262" s="63" t="n"/>
      <c r="W262" s="55" t="n"/>
      <c r="X262" s="55" t="n"/>
      <c r="Y262" s="55" t="n"/>
      <c r="Z262" s="63" t="n"/>
    </row>
    <row r="263">
      <c r="A263" s="64" t="n">
        <v>260</v>
      </c>
      <c r="B263" s="55" t="inlineStr">
        <is>
          <t>PALAN SOCIEDAD POR ACCIONES SIMPLIFICADA</t>
        </is>
      </c>
      <c r="C263" s="55" t="n"/>
      <c r="D263" s="65" t="inlineStr">
        <is>
          <t>ADM</t>
        </is>
      </c>
      <c r="E263" s="65" t="n"/>
      <c r="F263" s="65" t="inlineStr">
        <is>
          <t>Arriendos</t>
        </is>
      </c>
      <c r="G263" s="65" t="n"/>
      <c r="H263" s="65" t="inlineStr">
        <is>
          <t>Fijo</t>
        </is>
      </c>
      <c r="I263" s="55" t="inlineStr">
        <is>
          <t>CANON ARRENDAMIENTO OF 802 SUC CRAFT BOGOTA</t>
        </is>
      </c>
      <c r="J263" s="55" t="inlineStr">
        <is>
          <t>Calle 100</t>
        </is>
      </c>
      <c r="K263" s="55" t="inlineStr">
        <is>
          <t>FE284</t>
        </is>
      </c>
      <c r="L263" s="63" t="n"/>
      <c r="M263" s="63" t="n"/>
      <c r="N263" s="63" t="n"/>
      <c r="O263" s="66" t="n">
        <v>28741955</v>
      </c>
      <c r="P263" s="55" t="n">
        <v>0</v>
      </c>
      <c r="Q263" s="55" t="n">
        <v>0</v>
      </c>
      <c r="R263" s="65" t="n">
        <v>28741955</v>
      </c>
      <c r="S263" s="65" t="inlineStr">
        <is>
          <t>abril 2025</t>
        </is>
      </c>
      <c r="T263" s="55" t="inlineStr">
        <is>
          <t>859</t>
        </is>
      </c>
      <c r="U263" s="63" t="n"/>
      <c r="V263" s="63" t="n"/>
      <c r="W263" s="55" t="n"/>
      <c r="X263" s="55" t="n"/>
      <c r="Y263" s="55" t="n"/>
      <c r="Z263" s="63" t="n"/>
    </row>
    <row r="264">
      <c r="A264" s="64" t="n">
        <v>261</v>
      </c>
      <c r="B264" s="55" t="inlineStr">
        <is>
          <t>ASTURIAS SOLUCIONES DE INGENIERIA BUCEO COMERCIAL Y DRAGADO SAS</t>
        </is>
      </c>
      <c r="C264" s="55" t="n"/>
      <c r="D264" s="65" t="inlineStr">
        <is>
          <t>ADM</t>
        </is>
      </c>
      <c r="E264" s="65" t="n"/>
      <c r="F264" s="65" t="inlineStr">
        <is>
          <t>Arriendos</t>
        </is>
      </c>
      <c r="G264" s="65" t="n"/>
      <c r="H264" s="65" t="inlineStr">
        <is>
          <t>Fijo</t>
        </is>
      </c>
      <c r="I264" s="55" t="inlineStr">
        <is>
          <t>ALQUILER OFICINA 501 SUC CRAFT BUENAVENTURA</t>
        </is>
      </c>
      <c r="J264" s="55" t="inlineStr">
        <is>
          <t>Buenaventura</t>
        </is>
      </c>
      <c r="K264" s="55" t="inlineStr">
        <is>
          <t>FVEL2815</t>
        </is>
      </c>
      <c r="L264" s="63" t="n"/>
      <c r="M264" s="63" t="n"/>
      <c r="N264" s="63" t="n"/>
      <c r="O264" s="66" t="n">
        <v>7042846</v>
      </c>
      <c r="P264" s="55" t="n">
        <v>0</v>
      </c>
      <c r="Q264" s="55" t="n">
        <v>0</v>
      </c>
      <c r="R264" s="65" t="n">
        <v>7042846</v>
      </c>
      <c r="S264" s="65" t="inlineStr">
        <is>
          <t>abril 2025</t>
        </is>
      </c>
      <c r="T264" s="55" t="inlineStr">
        <is>
          <t>3</t>
        </is>
      </c>
      <c r="U264" s="63" t="n"/>
      <c r="V264" s="63" t="n"/>
      <c r="W264" s="55" t="n"/>
      <c r="X264" s="55" t="n"/>
      <c r="Y264" s="55" t="n"/>
      <c r="Z264" s="63" t="n"/>
    </row>
    <row r="265">
      <c r="A265" s="64" t="n">
        <v>262</v>
      </c>
      <c r="B265" s="55" t="inlineStr">
        <is>
          <t>JCO INVERSIONES S.A.S</t>
        </is>
      </c>
      <c r="C265" s="55" t="n"/>
      <c r="D265" s="65" t="inlineStr">
        <is>
          <t>ADM</t>
        </is>
      </c>
      <c r="E265" s="65" t="n"/>
      <c r="F265" s="65" t="inlineStr">
        <is>
          <t>Parqueaderos</t>
        </is>
      </c>
      <c r="G265" s="65" t="n"/>
      <c r="H265" s="65" t="inlineStr">
        <is>
          <t>Fijo</t>
        </is>
      </c>
      <c r="I265" s="55" t="inlineStr">
        <is>
          <t>CANON ARRENDAMIENTO 2 ESPACIOS DE PARQUEADERO CRAFT BOGOTA</t>
        </is>
      </c>
      <c r="J265" s="55" t="inlineStr">
        <is>
          <t>Calle 100</t>
        </is>
      </c>
      <c r="K265" s="55" t="inlineStr">
        <is>
          <t>F698110</t>
        </is>
      </c>
      <c r="L265" s="63" t="n"/>
      <c r="M265" s="63" t="n"/>
      <c r="N265" s="63" t="n"/>
      <c r="O265" s="66" t="n">
        <v>748176</v>
      </c>
      <c r="P265" s="55" t="n">
        <v>0</v>
      </c>
      <c r="Q265" s="55" t="n">
        <v>0</v>
      </c>
      <c r="R265" s="65" t="n">
        <v>748176</v>
      </c>
      <c r="S265" s="65" t="inlineStr">
        <is>
          <t>abril 2025</t>
        </is>
      </c>
      <c r="T265" s="55" t="inlineStr">
        <is>
          <t>865</t>
        </is>
      </c>
      <c r="U265" s="63" t="n"/>
      <c r="V265" s="63" t="n"/>
      <c r="W265" s="55" t="n"/>
      <c r="X265" s="55" t="n"/>
      <c r="Y265" s="55" t="n"/>
      <c r="Z265" s="63" t="n"/>
    </row>
    <row r="266">
      <c r="A266" s="64" t="n">
        <v>263</v>
      </c>
      <c r="B266" s="55" t="inlineStr">
        <is>
          <t>EDIFICIO TORRES DEL ATLANTICO</t>
        </is>
      </c>
      <c r="C266" s="55" t="n"/>
      <c r="D266" s="65" t="inlineStr">
        <is>
          <t>ADM</t>
        </is>
      </c>
      <c r="E266" s="65" t="n"/>
      <c r="F266" s="65" t="inlineStr">
        <is>
          <t>Administración</t>
        </is>
      </c>
      <c r="G266" s="65" t="n"/>
      <c r="H266" s="65" t="inlineStr">
        <is>
          <t>Fijo</t>
        </is>
      </c>
      <c r="I266" s="55" t="inlineStr">
        <is>
          <t>CUOTA DE ADMINISTRACION CRAFT BARRANQUILLA</t>
        </is>
      </c>
      <c r="J266" s="55" t="inlineStr">
        <is>
          <t>Barranquilla</t>
        </is>
      </c>
      <c r="K266" s="55" t="inlineStr">
        <is>
          <t>TDA7918</t>
        </is>
      </c>
      <c r="L266" s="63" t="n"/>
      <c r="M266" s="63" t="n"/>
      <c r="N266" s="63" t="n"/>
      <c r="O266" s="66" t="n">
        <v>860510</v>
      </c>
      <c r="P266" s="55" t="n">
        <v>0</v>
      </c>
      <c r="Q266" s="55" t="n">
        <v>0</v>
      </c>
      <c r="R266" s="65" t="n">
        <v>860510</v>
      </c>
      <c r="S266" s="65" t="inlineStr">
        <is>
          <t>abril 2025</t>
        </is>
      </c>
      <c r="T266" s="55" t="inlineStr">
        <is>
          <t>1</t>
        </is>
      </c>
      <c r="U266" s="63" t="n"/>
      <c r="V266" s="63" t="n"/>
      <c r="W266" s="55" t="n"/>
      <c r="X266" s="55" t="n"/>
      <c r="Y266" s="55" t="n"/>
      <c r="Z266" s="63" t="n"/>
    </row>
    <row r="267">
      <c r="A267" s="64" t="n">
        <v>264</v>
      </c>
      <c r="B267" s="55" t="inlineStr">
        <is>
          <t>CLARO S.A.</t>
        </is>
      </c>
      <c r="C267" s="55" t="n"/>
      <c r="D267" s="65" t="inlineStr">
        <is>
          <t>IT</t>
        </is>
      </c>
      <c r="E267" s="65" t="n"/>
      <c r="F267" s="65" t="inlineStr">
        <is>
          <t>Internet oficinas</t>
        </is>
      </c>
      <c r="G267" s="65" t="n"/>
      <c r="H267" s="65" t="inlineStr">
        <is>
          <t>Fijo</t>
        </is>
      </c>
      <c r="I267" s="55" t="inlineStr">
        <is>
          <t>SERVICIO TV, INTERNET Y TELEFONIA CRAFT CALI</t>
        </is>
      </c>
      <c r="J267" s="55" t="inlineStr">
        <is>
          <t>Cali</t>
        </is>
      </c>
      <c r="K267" s="55" t="inlineStr">
        <is>
          <t>R1146350523</t>
        </is>
      </c>
      <c r="L267" s="63" t="n"/>
      <c r="M267" s="63" t="n"/>
      <c r="N267" s="63" t="n"/>
      <c r="O267" s="66" t="n">
        <v>170501</v>
      </c>
      <c r="P267" s="55" t="n">
        <v>0</v>
      </c>
      <c r="Q267" s="55" t="n">
        <v>0</v>
      </c>
      <c r="R267" s="65" t="n">
        <v>170501</v>
      </c>
      <c r="S267" s="65" t="inlineStr">
        <is>
          <t>abril 2025</t>
        </is>
      </c>
      <c r="T267" s="55" t="inlineStr">
        <is>
          <t>2</t>
        </is>
      </c>
      <c r="U267" s="63" t="n"/>
      <c r="V267" s="63" t="n"/>
      <c r="W267" s="55" t="n"/>
      <c r="X267" s="55" t="n"/>
      <c r="Y267" s="55" t="n"/>
      <c r="Z267" s="63" t="n"/>
    </row>
    <row r="268">
      <c r="A268" s="64" t="n">
        <v>265</v>
      </c>
      <c r="B268" s="55" t="inlineStr">
        <is>
          <t>CLARO S.A.</t>
        </is>
      </c>
      <c r="C268" s="55" t="n"/>
      <c r="D268" s="65" t="inlineStr">
        <is>
          <t>IT</t>
        </is>
      </c>
      <c r="E268" s="65" t="n"/>
      <c r="F268" s="65" t="inlineStr">
        <is>
          <t>Internet oficinas</t>
        </is>
      </c>
      <c r="G268" s="65" t="n"/>
      <c r="H268" s="65" t="inlineStr">
        <is>
          <t>Fijo</t>
        </is>
      </c>
      <c r="I268" s="55" t="inlineStr">
        <is>
          <t>SERVICIO INTERNET Y TELEFONIA CRAFT BARRANQUILLA</t>
        </is>
      </c>
      <c r="J268" s="55" t="inlineStr">
        <is>
          <t>Barranquilla</t>
        </is>
      </c>
      <c r="K268" s="55" t="inlineStr">
        <is>
          <t>R1145962966</t>
        </is>
      </c>
      <c r="L268" s="63" t="n"/>
      <c r="M268" s="63" t="n"/>
      <c r="N268" s="63" t="n"/>
      <c r="O268" s="66" t="n">
        <v>132985</v>
      </c>
      <c r="P268" s="55" t="n">
        <v>0</v>
      </c>
      <c r="Q268" s="55" t="n">
        <v>0</v>
      </c>
      <c r="R268" s="65" t="n">
        <v>132985</v>
      </c>
      <c r="S268" s="65" t="inlineStr">
        <is>
          <t>abril 2025</t>
        </is>
      </c>
      <c r="T268" s="55" t="inlineStr">
        <is>
          <t>2</t>
        </is>
      </c>
      <c r="U268" s="63" t="n"/>
      <c r="V268" s="63" t="n"/>
      <c r="W268" s="55" t="n"/>
      <c r="X268" s="55" t="n"/>
      <c r="Y268" s="55" t="n"/>
      <c r="Z268" s="63" t="n"/>
    </row>
    <row r="269">
      <c r="A269" s="64" t="n">
        <v>266</v>
      </c>
      <c r="B269" s="55" t="inlineStr">
        <is>
          <t>TURISMO 24 HORAS S.A.S</t>
        </is>
      </c>
      <c r="C269" s="55" t="n"/>
      <c r="D269" s="65" t="inlineStr">
        <is>
          <t>ADM</t>
        </is>
      </c>
      <c r="E269" s="65" t="n"/>
      <c r="F269" s="65" t="inlineStr">
        <is>
          <t>Intermodal</t>
        </is>
      </c>
      <c r="G269" s="65" t="n"/>
      <c r="H269" s="65" t="n"/>
      <c r="I269" s="55" t="inlineStr">
        <is>
          <t xml:space="preserve">COMPRA DE TIQUETES  DE IDA Y  REGRESO  A  BRASIL   PARA  PAOLA MAHECHA  </t>
        </is>
      </c>
      <c r="J269" s="55" t="inlineStr">
        <is>
          <t>Calle 100</t>
        </is>
      </c>
      <c r="K269" s="55" t="inlineStr">
        <is>
          <t>T24H12721</t>
        </is>
      </c>
      <c r="L269" s="63" t="n"/>
      <c r="M269" s="63" t="n"/>
      <c r="N269" s="63" t="n"/>
      <c r="O269" s="66" t="n">
        <v>373000</v>
      </c>
      <c r="P269" s="55" t="n">
        <v>0</v>
      </c>
      <c r="Q269" s="55" t="n">
        <v>0</v>
      </c>
      <c r="R269" s="65" t="n">
        <v>373000</v>
      </c>
      <c r="S269" s="65" t="inlineStr">
        <is>
          <t>abril 2025</t>
        </is>
      </c>
      <c r="T269" s="55" t="inlineStr">
        <is>
          <t>2255</t>
        </is>
      </c>
      <c r="U269" s="63" t="n"/>
      <c r="V269" s="63" t="n"/>
      <c r="W269" s="55" t="n"/>
      <c r="X269" s="55" t="n"/>
      <c r="Y269" s="55" t="n"/>
      <c r="Z269" s="63" t="n"/>
    </row>
    <row r="270">
      <c r="A270" s="64" t="n">
        <v>267</v>
      </c>
      <c r="B270" s="55" t="inlineStr">
        <is>
          <t>SERVIDOMESTICAS SAS</t>
        </is>
      </c>
      <c r="C270" s="55" t="n"/>
      <c r="D270" s="65" t="inlineStr">
        <is>
          <t>ADM</t>
        </is>
      </c>
      <c r="E270" s="65" t="n"/>
      <c r="F270" s="65" t="inlineStr">
        <is>
          <t>Otros Gastos CASA LIMPIA PLANILLA AC OTROS</t>
        </is>
      </c>
      <c r="G270" s="65" t="n"/>
      <c r="H270" s="65" t="inlineStr">
        <is>
          <t>Fijo</t>
        </is>
      </c>
      <c r="I270" s="55" t="inlineStr">
        <is>
          <t>LIMPIEZA OFICINA SUCURSAL CRAFT MEDELLIN</t>
        </is>
      </c>
      <c r="J270" s="55" t="inlineStr">
        <is>
          <t>Medellín</t>
        </is>
      </c>
      <c r="K270" s="55" t="inlineStr">
        <is>
          <t>VP32759</t>
        </is>
      </c>
      <c r="L270" s="63" t="n"/>
      <c r="M270" s="63" t="n"/>
      <c r="N270" s="63" t="n"/>
      <c r="O270" s="66" t="n">
        <v>1015600</v>
      </c>
      <c r="P270" s="55" t="n">
        <v>0</v>
      </c>
      <c r="Q270" s="55" t="n">
        <v>0</v>
      </c>
      <c r="R270" s="65" t="n">
        <v>1015600</v>
      </c>
      <c r="S270" s="65" t="inlineStr">
        <is>
          <t>abril 2025</t>
        </is>
      </c>
      <c r="T270" s="55" t="inlineStr">
        <is>
          <t>14</t>
        </is>
      </c>
      <c r="U270" s="63" t="n"/>
      <c r="V270" s="63" t="n"/>
      <c r="W270" s="55" t="n"/>
      <c r="X270" s="55" t="n"/>
      <c r="Y270" s="55" t="n"/>
      <c r="Z270" s="63" t="n"/>
    </row>
    <row r="271">
      <c r="A271" s="64" t="n">
        <v>268</v>
      </c>
      <c r="B271" s="55" t="inlineStr">
        <is>
          <t>EDIFICIO PORTUS MANGA CARTAGENA</t>
        </is>
      </c>
      <c r="C271" s="55" t="n"/>
      <c r="D271" s="65" t="inlineStr">
        <is>
          <t>ADM</t>
        </is>
      </c>
      <c r="E271" s="65" t="n"/>
      <c r="F271" s="65" t="inlineStr">
        <is>
          <t>Administración</t>
        </is>
      </c>
      <c r="G271" s="65" t="n"/>
      <c r="H271" s="65" t="inlineStr">
        <is>
          <t>Fijo</t>
        </is>
      </c>
      <c r="I271" s="55" t="inlineStr">
        <is>
          <t xml:space="preserve">EXPENSAS DE  ADMINISTRACION   CRAFT CARTAGENA </t>
        </is>
      </c>
      <c r="J271" s="55" t="inlineStr">
        <is>
          <t>Cartagena</t>
        </is>
      </c>
      <c r="K271" s="55" t="inlineStr">
        <is>
          <t>997</t>
        </is>
      </c>
      <c r="L271" s="63" t="n"/>
      <c r="M271" s="63" t="n"/>
      <c r="N271" s="63" t="n"/>
      <c r="O271" s="66" t="n">
        <v>576439</v>
      </c>
      <c r="P271" s="55" t="n">
        <v>0</v>
      </c>
      <c r="Q271" s="55" t="n">
        <v>0</v>
      </c>
      <c r="R271" s="65" t="n">
        <v>576439</v>
      </c>
      <c r="S271" s="65" t="inlineStr">
        <is>
          <t>marzo 2025</t>
        </is>
      </c>
      <c r="T271" s="55" t="inlineStr">
        <is>
          <t>24</t>
        </is>
      </c>
      <c r="U271" s="63" t="n"/>
      <c r="V271" s="63" t="n"/>
      <c r="W271" s="55" t="n"/>
      <c r="X271" s="55" t="n"/>
      <c r="Y271" s="55" t="n"/>
      <c r="Z271" s="63" t="n"/>
    </row>
    <row r="272">
      <c r="A272" s="64" t="n">
        <v>269</v>
      </c>
      <c r="B272" s="55" t="inlineStr">
        <is>
          <t>EDIFICIO PORTUS MANGA CARTAGENA</t>
        </is>
      </c>
      <c r="C272" s="55" t="n"/>
      <c r="D272" s="65" t="inlineStr">
        <is>
          <t>ADM</t>
        </is>
      </c>
      <c r="E272" s="65" t="n"/>
      <c r="F272" s="65" t="inlineStr">
        <is>
          <t>Administración</t>
        </is>
      </c>
      <c r="G272" s="65" t="n"/>
      <c r="H272" s="65" t="inlineStr">
        <is>
          <t>Fijo</t>
        </is>
      </c>
      <c r="I272" s="55" t="inlineStr">
        <is>
          <t xml:space="preserve">EXPENSAS DE  ADMINISTRACION   CRAFT CARTAGENA  </t>
        </is>
      </c>
      <c r="J272" s="55" t="inlineStr">
        <is>
          <t>Cartagena</t>
        </is>
      </c>
      <c r="K272" s="55" t="inlineStr">
        <is>
          <t>1012</t>
        </is>
      </c>
      <c r="L272" s="63" t="n"/>
      <c r="M272" s="63" t="n"/>
      <c r="N272" s="63" t="n"/>
      <c r="O272" s="66" t="n">
        <v>576439</v>
      </c>
      <c r="P272" s="55" t="n">
        <v>0</v>
      </c>
      <c r="Q272" s="55" t="n">
        <v>0</v>
      </c>
      <c r="R272" s="65" t="n">
        <v>576439</v>
      </c>
      <c r="S272" s="65" t="inlineStr">
        <is>
          <t>abril 2025</t>
        </is>
      </c>
      <c r="T272" s="55" t="inlineStr">
        <is>
          <t>5</t>
        </is>
      </c>
      <c r="U272" s="63" t="n"/>
      <c r="V272" s="63" t="n"/>
      <c r="W272" s="55" t="n"/>
      <c r="X272" s="55" t="n"/>
      <c r="Y272" s="55" t="n"/>
      <c r="Z272" s="63" t="n"/>
    </row>
    <row r="273">
      <c r="A273" s="64" t="n">
        <v>270</v>
      </c>
      <c r="B273" s="55" t="inlineStr">
        <is>
          <t>GRANADOS Y MEDALLAS</t>
        </is>
      </c>
      <c r="C273" s="55" t="n"/>
      <c r="D273" s="65" t="inlineStr">
        <is>
          <t>ADM</t>
        </is>
      </c>
      <c r="E273" s="65" t="n"/>
      <c r="F273" s="65" t="inlineStr">
        <is>
          <t>Regalos clientes</t>
        </is>
      </c>
      <c r="G273" s="65" t="n"/>
      <c r="H273" s="65" t="inlineStr">
        <is>
          <t>Variable</t>
        </is>
      </c>
      <c r="I273" s="55" t="inlineStr">
        <is>
          <t xml:space="preserve">COMPRA DE 4 MEDALLAS PARA CLIENTES ESPECIALES DE CRAFT Y COMPRA DE 1 MEDALLA CONMEMORATIVA PARA ELIZABETH  AUTORIZA ADRIANA CARDENAS </t>
        </is>
      </c>
      <c r="J273" s="55" t="n"/>
      <c r="K273" s="55" t="inlineStr">
        <is>
          <t>FEPC1327</t>
        </is>
      </c>
      <c r="L273" s="63" t="n"/>
      <c r="M273" s="63" t="n"/>
      <c r="N273" s="63" t="n"/>
      <c r="O273" s="66" t="n">
        <v>1200000</v>
      </c>
      <c r="P273" s="55" t="n">
        <v>0</v>
      </c>
      <c r="Q273" s="55" t="n">
        <v>0</v>
      </c>
      <c r="R273" s="65" t="n">
        <v>1200000</v>
      </c>
      <c r="S273" s="65" t="inlineStr">
        <is>
          <t>marzo 2025</t>
        </is>
      </c>
      <c r="T273" s="55" t="inlineStr">
        <is>
          <t>2468</t>
        </is>
      </c>
      <c r="U273" s="63" t="n"/>
      <c r="V273" s="63" t="n"/>
      <c r="W273" s="55" t="n"/>
      <c r="X273" s="55" t="n"/>
      <c r="Y273" s="55" t="n"/>
      <c r="Z273" s="63" t="n"/>
    </row>
    <row r="274">
      <c r="A274" s="64" t="n">
        <v>271</v>
      </c>
      <c r="B274" s="55" t="inlineStr">
        <is>
          <t>IFX NETWORKS COLOMBIA S.A.S.</t>
        </is>
      </c>
      <c r="C274" s="55" t="n"/>
      <c r="D274" s="65" t="inlineStr">
        <is>
          <t>IT</t>
        </is>
      </c>
      <c r="E274" s="65" t="n"/>
      <c r="F274" s="65" t="inlineStr">
        <is>
          <t>Internet oficinas</t>
        </is>
      </c>
      <c r="G274" s="65" t="n"/>
      <c r="H274" s="65" t="inlineStr">
        <is>
          <t>Fijo</t>
        </is>
      </c>
      <c r="I274" s="55" t="inlineStr">
        <is>
          <t>SERVICIO SD WAN</t>
        </is>
      </c>
      <c r="J274" s="55" t="inlineStr">
        <is>
          <t>Transversal</t>
        </is>
      </c>
      <c r="K274" s="55" t="inlineStr">
        <is>
          <t>IFXC457842</t>
        </is>
      </c>
      <c r="L274" s="63" t="n"/>
      <c r="M274" s="63" t="n"/>
      <c r="N274" s="63" t="n"/>
      <c r="O274" s="66" t="n">
        <v>3488538</v>
      </c>
      <c r="P274" s="55" t="n">
        <v>0</v>
      </c>
      <c r="Q274" s="55" t="n">
        <v>0</v>
      </c>
      <c r="R274" s="65" t="n">
        <v>3488538</v>
      </c>
      <c r="S274" s="65" t="inlineStr">
        <is>
          <t>abril 2025</t>
        </is>
      </c>
      <c r="T274" s="55" t="inlineStr">
        <is>
          <t>2259</t>
        </is>
      </c>
      <c r="U274" s="63" t="n"/>
      <c r="V274" s="63" t="n"/>
      <c r="W274" s="55" t="n"/>
      <c r="X274" s="55" t="n"/>
      <c r="Y274" s="55" t="n"/>
      <c r="Z274" s="63" t="n"/>
    </row>
    <row r="275">
      <c r="A275" s="64" t="n">
        <v>272</v>
      </c>
      <c r="B275" s="55" t="inlineStr">
        <is>
          <t>IFX NETWORKS COLOMBIA S.A.S.</t>
        </is>
      </c>
      <c r="C275" s="55" t="n"/>
      <c r="D275" s="65" t="inlineStr">
        <is>
          <t>IT</t>
        </is>
      </c>
      <c r="E275" s="65" t="n"/>
      <c r="F275" s="65" t="inlineStr">
        <is>
          <t>Internet oficinas</t>
        </is>
      </c>
      <c r="G275" s="65" t="n"/>
      <c r="H275" s="65" t="inlineStr">
        <is>
          <t>Fijo</t>
        </is>
      </c>
      <c r="I275" s="55" t="inlineStr">
        <is>
          <t>SERVICO DE INTERNET EN TODAS LAS SUCURSALES</t>
        </is>
      </c>
      <c r="J275" s="55" t="inlineStr">
        <is>
          <t>Transversal</t>
        </is>
      </c>
      <c r="K275" s="55" t="inlineStr">
        <is>
          <t>IFXC457844</t>
        </is>
      </c>
      <c r="L275" s="63" t="n"/>
      <c r="M275" s="63" t="n"/>
      <c r="N275" s="63" t="n"/>
      <c r="O275" s="66" t="n">
        <v>12101082</v>
      </c>
      <c r="P275" s="55" t="n">
        <v>0</v>
      </c>
      <c r="Q275" s="55" t="n">
        <v>0</v>
      </c>
      <c r="R275" s="65" t="n">
        <v>12101082</v>
      </c>
      <c r="S275" s="65" t="inlineStr">
        <is>
          <t>abril 2025</t>
        </is>
      </c>
      <c r="T275" s="55" t="inlineStr">
        <is>
          <t>2266</t>
        </is>
      </c>
      <c r="U275" s="63" t="n"/>
      <c r="V275" s="63" t="n"/>
      <c r="W275" s="55" t="n"/>
      <c r="X275" s="55" t="n"/>
      <c r="Y275" s="55" t="n"/>
      <c r="Z275" s="63" t="n"/>
    </row>
    <row r="276">
      <c r="A276" s="64" t="n">
        <v>273</v>
      </c>
      <c r="B276" s="55" t="inlineStr">
        <is>
          <t>HARDSOFT SOLUTIONS INTEGRAL SAS</t>
        </is>
      </c>
      <c r="C276" s="55" t="n"/>
      <c r="D276" s="65" t="inlineStr">
        <is>
          <t>IT</t>
        </is>
      </c>
      <c r="E276" s="65" t="n"/>
      <c r="F276" s="65" t="inlineStr">
        <is>
          <t>Conservacion Y Manutenimiento De Oficina</t>
        </is>
      </c>
      <c r="G276" s="65" t="n"/>
      <c r="H276" s="65" t="n"/>
      <c r="I276" s="55" t="inlineStr">
        <is>
          <t xml:space="preserve">MANTENIMIENTO IT EN CTG </t>
        </is>
      </c>
      <c r="J276" s="55" t="inlineStr">
        <is>
          <t>Cartagena</t>
        </is>
      </c>
      <c r="K276" s="55" t="inlineStr">
        <is>
          <t>HS625</t>
        </is>
      </c>
      <c r="L276" s="63" t="n"/>
      <c r="M276" s="63" t="n"/>
      <c r="N276" s="63" t="n"/>
      <c r="O276" s="66" t="n">
        <v>553330</v>
      </c>
      <c r="P276" s="55" t="n">
        <v>0</v>
      </c>
      <c r="Q276" s="55" t="n">
        <v>0</v>
      </c>
      <c r="R276" s="65" t="n">
        <v>553330</v>
      </c>
      <c r="S276" s="65" t="inlineStr">
        <is>
          <t>abril 2025</t>
        </is>
      </c>
      <c r="T276" s="55" t="inlineStr">
        <is>
          <t>7</t>
        </is>
      </c>
      <c r="U276" s="63" t="n"/>
      <c r="V276" s="63" t="n"/>
      <c r="W276" s="55" t="n"/>
      <c r="X276" s="55" t="n"/>
      <c r="Y276" s="55" t="n"/>
      <c r="Z276" s="63" t="n"/>
    </row>
    <row r="277">
      <c r="A277" s="64" t="n">
        <v>274</v>
      </c>
      <c r="B277" s="55" t="inlineStr">
        <is>
          <t>EDIFICIO CAPITAL TOWERS PROPIEDAD HORIZONTAL</t>
        </is>
      </c>
      <c r="C277" s="55" t="n"/>
      <c r="D277" s="65" t="inlineStr">
        <is>
          <t>ADM</t>
        </is>
      </c>
      <c r="E277" s="65" t="n"/>
      <c r="F277" s="65" t="inlineStr">
        <is>
          <t>Administración</t>
        </is>
      </c>
      <c r="G277" s="65" t="n"/>
      <c r="H277" s="65" t="inlineStr">
        <is>
          <t>Fijo</t>
        </is>
      </c>
      <c r="I277" s="55" t="inlineStr">
        <is>
          <t>CUOTA DE ADMINISTRACION TORRE 1 CRAFT BOGOTA</t>
        </is>
      </c>
      <c r="J277" s="55" t="inlineStr">
        <is>
          <t>Calle 100</t>
        </is>
      </c>
      <c r="K277" s="55" t="inlineStr">
        <is>
          <t>FE10128</t>
        </is>
      </c>
      <c r="L277" s="63" t="n"/>
      <c r="M277" s="63" t="n"/>
      <c r="N277" s="63" t="n"/>
      <c r="O277" s="66" t="n">
        <v>8000581</v>
      </c>
      <c r="P277" s="55" t="n">
        <v>0</v>
      </c>
      <c r="Q277" s="55" t="n">
        <v>0</v>
      </c>
      <c r="R277" s="65" t="n">
        <v>8000581</v>
      </c>
      <c r="S277" s="65" t="inlineStr">
        <is>
          <t>abril 2025</t>
        </is>
      </c>
      <c r="T277" s="55" t="inlineStr">
        <is>
          <t>2301</t>
        </is>
      </c>
      <c r="U277" s="63" t="n"/>
      <c r="V277" s="63" t="n"/>
      <c r="W277" s="55" t="n"/>
      <c r="X277" s="55" t="n"/>
      <c r="Y277" s="55" t="n"/>
      <c r="Z277" s="63" t="n"/>
    </row>
    <row r="278">
      <c r="A278" s="64" t="n">
        <v>275</v>
      </c>
      <c r="B278" s="55" t="inlineStr">
        <is>
          <t>EDIFICIO CAPITAL TOWERS PROPIEDAD HORIZONTAL</t>
        </is>
      </c>
      <c r="C278" s="55" t="n"/>
      <c r="D278" s="65" t="inlineStr">
        <is>
          <t>ADM</t>
        </is>
      </c>
      <c r="E278" s="65" t="n"/>
      <c r="F278" s="65" t="inlineStr">
        <is>
          <t>Arriendos</t>
        </is>
      </c>
      <c r="G278" s="65" t="n"/>
      <c r="H278" s="65" t="inlineStr">
        <is>
          <t>Fijo</t>
        </is>
      </c>
      <c r="I278" s="55" t="inlineStr">
        <is>
          <t>ALQUILER ESPACIO DE PATINETAS CRAFT CALLE  100</t>
        </is>
      </c>
      <c r="J278" s="55" t="inlineStr">
        <is>
          <t>Calle 100</t>
        </is>
      </c>
      <c r="K278" s="55" t="inlineStr">
        <is>
          <t>FE10158</t>
        </is>
      </c>
      <c r="L278" s="63" t="n"/>
      <c r="M278" s="63" t="n"/>
      <c r="N278" s="63" t="n"/>
      <c r="O278" s="66" t="n">
        <v>156336</v>
      </c>
      <c r="P278" s="55" t="n">
        <v>0</v>
      </c>
      <c r="Q278" s="55" t="n">
        <v>0</v>
      </c>
      <c r="R278" s="65" t="n">
        <v>156336</v>
      </c>
      <c r="S278" s="65" t="inlineStr">
        <is>
          <t>abril 2025</t>
        </is>
      </c>
      <c r="T278" s="55" t="inlineStr">
        <is>
          <t>3849</t>
        </is>
      </c>
      <c r="U278" s="63" t="n"/>
      <c r="V278" s="63" t="n"/>
      <c r="W278" s="55" t="n"/>
      <c r="X278" s="55" t="n"/>
      <c r="Y278" s="55" t="n"/>
      <c r="Z278" s="63" t="n"/>
    </row>
    <row r="279">
      <c r="A279" s="64" t="n">
        <v>276</v>
      </c>
      <c r="B279" s="55" t="inlineStr">
        <is>
          <t>EDIFICIO CAPITAL TOWERS PROPIEDAD HORIZONTAL</t>
        </is>
      </c>
      <c r="C279" s="55" t="n"/>
      <c r="D279" s="65" t="inlineStr">
        <is>
          <t>ADM</t>
        </is>
      </c>
      <c r="E279" s="65" t="n"/>
      <c r="F279" s="65" t="inlineStr">
        <is>
          <t>Bodegas</t>
        </is>
      </c>
      <c r="G279" s="65" t="n"/>
      <c r="H279" s="65" t="inlineStr">
        <is>
          <t>Fijo</t>
        </is>
      </c>
      <c r="I279" s="55" t="inlineStr">
        <is>
          <t>BODEGAS Y DEPOSITOS PISO 21 CRAFT BOGOTA</t>
        </is>
      </c>
      <c r="J279" s="55" t="inlineStr">
        <is>
          <t>Transversal</t>
        </is>
      </c>
      <c r="K279" s="55" t="inlineStr">
        <is>
          <t>FE10156</t>
        </is>
      </c>
      <c r="L279" s="63" t="n"/>
      <c r="M279" s="63" t="n"/>
      <c r="N279" s="63" t="n"/>
      <c r="O279" s="66" t="n">
        <v>1372245</v>
      </c>
      <c r="P279" s="55" t="n">
        <v>0</v>
      </c>
      <c r="Q279" s="55" t="n">
        <v>0</v>
      </c>
      <c r="R279" s="65" t="n">
        <v>1372245</v>
      </c>
      <c r="S279" s="65" t="inlineStr">
        <is>
          <t>abril 2025</t>
        </is>
      </c>
      <c r="T279" s="55" t="inlineStr">
        <is>
          <t>2306</t>
        </is>
      </c>
      <c r="U279" s="63" t="n"/>
      <c r="V279" s="63" t="n"/>
      <c r="W279" s="55" t="n"/>
      <c r="X279" s="55" t="n"/>
      <c r="Y279" s="55" t="n"/>
      <c r="Z279" s="63" t="n"/>
    </row>
    <row r="280">
      <c r="A280" s="64" t="n">
        <v>277</v>
      </c>
      <c r="B280" s="55" t="inlineStr">
        <is>
          <t>MARVAL S.A.S.</t>
        </is>
      </c>
      <c r="C280" s="55" t="n"/>
      <c r="D280" s="65" t="inlineStr">
        <is>
          <t>ADM</t>
        </is>
      </c>
      <c r="E280" s="65" t="n"/>
      <c r="F280" s="65" t="inlineStr">
        <is>
          <t>Arriendos</t>
        </is>
      </c>
      <c r="G280" s="65" t="n"/>
      <c r="H280" s="65" t="inlineStr">
        <is>
          <t>Fijo</t>
        </is>
      </c>
      <c r="I280" s="55" t="inlineStr">
        <is>
          <t>CANON DE ARRENDAMIENTO OF CRAFT BARRANQUILLA</t>
        </is>
      </c>
      <c r="J280" s="55" t="inlineStr">
        <is>
          <t>Barranquilla</t>
        </is>
      </c>
      <c r="K280" s="55" t="inlineStr">
        <is>
          <t>MAVF510</t>
        </is>
      </c>
      <c r="L280" s="63" t="n"/>
      <c r="M280" s="63" t="n"/>
      <c r="N280" s="63" t="n"/>
      <c r="O280" s="66" t="n">
        <v>3685223</v>
      </c>
      <c r="P280" s="55" t="n">
        <v>0</v>
      </c>
      <c r="Q280" s="55" t="n">
        <v>0</v>
      </c>
      <c r="R280" s="65" t="n">
        <v>3685223</v>
      </c>
      <c r="S280" s="65" t="inlineStr">
        <is>
          <t>abril 2025</t>
        </is>
      </c>
      <c r="T280" s="55" t="inlineStr">
        <is>
          <t>3</t>
        </is>
      </c>
      <c r="U280" s="63" t="n"/>
      <c r="V280" s="63" t="n"/>
      <c r="W280" s="55" t="n"/>
      <c r="X280" s="55" t="n"/>
      <c r="Y280" s="55" t="n"/>
      <c r="Z280" s="63" t="n"/>
    </row>
    <row r="281">
      <c r="A281" s="64" t="n">
        <v>278</v>
      </c>
      <c r="B281" s="55" t="inlineStr">
        <is>
          <t>TRANS INTERNATIONAL COURIER S.A.S</t>
        </is>
      </c>
      <c r="C281" s="55" t="n"/>
      <c r="D281" s="65" t="inlineStr">
        <is>
          <t>ADM</t>
        </is>
      </c>
      <c r="E281" s="65" t="n"/>
      <c r="F281" s="65" t="inlineStr">
        <is>
          <t>Malote</t>
        </is>
      </c>
      <c r="G281" s="65" t="n"/>
      <c r="H281" s="65" t="inlineStr">
        <is>
          <t>Variable</t>
        </is>
      </c>
      <c r="I281" s="55" t="inlineStr">
        <is>
          <t>SERVICIO DE MENSAJERIA NACIONAL Y URBANA CRAFT COLOMBIA</t>
        </is>
      </c>
      <c r="J281" s="55" t="inlineStr">
        <is>
          <t>Transversal</t>
        </is>
      </c>
      <c r="K281" s="55" t="inlineStr">
        <is>
          <t>TIC11766</t>
        </is>
      </c>
      <c r="L281" s="63" t="n"/>
      <c r="M281" s="63" t="n"/>
      <c r="N281" s="63" t="n"/>
      <c r="O281" s="66" t="n">
        <v>1583002</v>
      </c>
      <c r="P281" s="55" t="n">
        <v>0</v>
      </c>
      <c r="Q281" s="55" t="n">
        <v>0</v>
      </c>
      <c r="R281" s="65" t="n">
        <v>1583002</v>
      </c>
      <c r="S281" s="65" t="inlineStr">
        <is>
          <t>abril 2025</t>
        </is>
      </c>
      <c r="T281" s="55" t="inlineStr">
        <is>
          <t>2308</t>
        </is>
      </c>
      <c r="U281" s="63" t="n"/>
      <c r="V281" s="63" t="n"/>
      <c r="W281" s="55" t="n"/>
      <c r="X281" s="55" t="n"/>
      <c r="Y281" s="55" t="n"/>
      <c r="Z281" s="63" t="n"/>
    </row>
    <row r="282">
      <c r="A282" s="64" t="n">
        <v>279</v>
      </c>
      <c r="B282" s="55" t="inlineStr">
        <is>
          <t>CLARO S.A.</t>
        </is>
      </c>
      <c r="C282" s="55" t="n"/>
      <c r="D282" s="65" t="inlineStr">
        <is>
          <t>IT</t>
        </is>
      </c>
      <c r="E282" s="65" t="n"/>
      <c r="F282" s="65" t="inlineStr">
        <is>
          <t>Internet oficinas</t>
        </is>
      </c>
      <c r="G282" s="65" t="n"/>
      <c r="H282" s="65" t="inlineStr">
        <is>
          <t>Fijo</t>
        </is>
      </c>
      <c r="I282" s="55" t="inlineStr">
        <is>
          <t>INTERNET EN BUN Y CTG</t>
        </is>
      </c>
      <c r="J282" s="55" t="inlineStr">
        <is>
          <t>Puertos</t>
        </is>
      </c>
      <c r="K282" s="55" t="inlineStr">
        <is>
          <t>3292573189</t>
        </is>
      </c>
      <c r="L282" s="63" t="n"/>
      <c r="M282" s="63" t="n"/>
      <c r="N282" s="63" t="n"/>
      <c r="O282" s="66" t="n">
        <v>585411</v>
      </c>
      <c r="P282" s="55" t="n">
        <v>0</v>
      </c>
      <c r="Q282" s="55" t="n">
        <v>0</v>
      </c>
      <c r="R282" s="65" t="n">
        <v>585411</v>
      </c>
      <c r="S282" s="65" t="inlineStr">
        <is>
          <t>abril 2025</t>
        </is>
      </c>
      <c r="T282" s="55" t="inlineStr">
        <is>
          <t>8</t>
        </is>
      </c>
      <c r="U282" s="63" t="n"/>
      <c r="V282" s="63" t="n"/>
      <c r="W282" s="55" t="n"/>
      <c r="X282" s="55" t="n"/>
      <c r="Y282" s="55" t="n"/>
      <c r="Z282" s="63" t="n"/>
    </row>
    <row r="283">
      <c r="A283" s="64" t="n">
        <v>280</v>
      </c>
      <c r="B283" s="55" t="inlineStr">
        <is>
          <t>CLARO S.A.</t>
        </is>
      </c>
      <c r="C283" s="55" t="n"/>
      <c r="D283" s="65" t="inlineStr">
        <is>
          <t>ADM</t>
        </is>
      </c>
      <c r="E283" s="65" t="n"/>
      <c r="F283" s="65" t="inlineStr">
        <is>
          <t>Telefono fijo</t>
        </is>
      </c>
      <c r="G283" s="65" t="n"/>
      <c r="H283" s="65" t="inlineStr">
        <is>
          <t>Fijo</t>
        </is>
      </c>
      <c r="I283" s="55" t="inlineStr">
        <is>
          <t>SERVICIO DE TELEFONIA FIJA BUN Y CTG</t>
        </is>
      </c>
      <c r="J283" s="55" t="inlineStr">
        <is>
          <t>Puertos</t>
        </is>
      </c>
      <c r="K283" s="55" t="inlineStr">
        <is>
          <t>3292576477</t>
        </is>
      </c>
      <c r="L283" s="63" t="n"/>
      <c r="M283" s="63" t="n"/>
      <c r="N283" s="63" t="n"/>
      <c r="O283" s="66" t="n">
        <v>170395</v>
      </c>
      <c r="P283" s="55" t="n">
        <v>0</v>
      </c>
      <c r="Q283" s="55" t="n">
        <v>0</v>
      </c>
      <c r="R283" s="65" t="n">
        <v>170395</v>
      </c>
      <c r="S283" s="65" t="inlineStr">
        <is>
          <t>abril 2025</t>
        </is>
      </c>
      <c r="T283" s="55" t="inlineStr">
        <is>
          <t>9</t>
        </is>
      </c>
      <c r="U283" s="63" t="n"/>
      <c r="V283" s="63" t="n"/>
      <c r="W283" s="55" t="n"/>
      <c r="X283" s="55" t="n"/>
      <c r="Y283" s="55" t="n"/>
      <c r="Z283" s="63" t="n"/>
    </row>
    <row r="284">
      <c r="A284" s="64" t="n">
        <v>281</v>
      </c>
      <c r="B284" s="55" t="inlineStr">
        <is>
          <t>EDIFICIO CAPITAL TOWERS PROPIEDAD HORIZONTAL</t>
        </is>
      </c>
      <c r="C284" s="55" t="n"/>
      <c r="D284" s="65" t="inlineStr">
        <is>
          <t>ADM</t>
        </is>
      </c>
      <c r="E284" s="65" t="n"/>
      <c r="F284" s="65" t="inlineStr">
        <is>
          <t>Arriendos</t>
        </is>
      </c>
      <c r="G284" s="65" t="n"/>
      <c r="H284" s="65" t="inlineStr">
        <is>
          <t>Fijo</t>
        </is>
      </c>
      <c r="I284" s="55" t="inlineStr">
        <is>
          <t>ALQUILER ESPACIO DE PATINETAS CRAFT CALLE  100</t>
        </is>
      </c>
      <c r="J284" s="55" t="inlineStr">
        <is>
          <t>Calle 100</t>
        </is>
      </c>
      <c r="K284" s="55" t="inlineStr">
        <is>
          <t>FE10157</t>
        </is>
      </c>
      <c r="L284" s="63" t="n"/>
      <c r="M284" s="63" t="n"/>
      <c r="N284" s="63" t="n"/>
      <c r="O284" s="66" t="n">
        <v>312672</v>
      </c>
      <c r="P284" s="55" t="n">
        <v>0</v>
      </c>
      <c r="Q284" s="55" t="n">
        <v>0</v>
      </c>
      <c r="R284" s="65" t="n">
        <v>312672</v>
      </c>
      <c r="S284" s="65" t="inlineStr">
        <is>
          <t>abril 2025</t>
        </is>
      </c>
      <c r="T284" s="55" t="inlineStr">
        <is>
          <t>3852</t>
        </is>
      </c>
      <c r="U284" s="63" t="n"/>
      <c r="V284" s="63" t="n"/>
      <c r="W284" s="55" t="n"/>
      <c r="X284" s="55" t="n"/>
      <c r="Y284" s="55" t="n"/>
      <c r="Z284" s="63" t="n"/>
    </row>
    <row r="285">
      <c r="A285" s="64" t="n">
        <v>282</v>
      </c>
      <c r="B285" s="55" t="inlineStr">
        <is>
          <t>PATRIMONIOS AUTONOMOS FIDUCIARIA BANCOLOMBIA S A SOCIEDAD FIDUCIARIA</t>
        </is>
      </c>
      <c r="C285" s="55" t="n"/>
      <c r="D285" s="65" t="inlineStr">
        <is>
          <t>ADM</t>
        </is>
      </c>
      <c r="E285" s="65" t="n"/>
      <c r="F285" s="65" t="inlineStr">
        <is>
          <t>Arriendos</t>
        </is>
      </c>
      <c r="G285" s="65" t="n"/>
      <c r="H285" s="65" t="inlineStr">
        <is>
          <t>Fijo</t>
        </is>
      </c>
      <c r="I285" s="55" t="inlineStr">
        <is>
          <t>CANON ARRENDAMIENTO SUCURSAL CRAFT AEROPUERTO</t>
        </is>
      </c>
      <c r="J285" s="55" t="inlineStr">
        <is>
          <t>Aeropuerto</t>
        </is>
      </c>
      <c r="K285" s="55" t="inlineStr">
        <is>
          <t>AR3172972</t>
        </is>
      </c>
      <c r="L285" s="63" t="n"/>
      <c r="M285" s="63" t="n"/>
      <c r="N285" s="63" t="n"/>
      <c r="O285" s="66" t="n">
        <v>7341058</v>
      </c>
      <c r="P285" s="55" t="n">
        <v>0</v>
      </c>
      <c r="Q285" s="55" t="n">
        <v>0</v>
      </c>
      <c r="R285" s="65" t="n">
        <v>7341058</v>
      </c>
      <c r="S285" s="65" t="inlineStr">
        <is>
          <t>abril 2025</t>
        </is>
      </c>
      <c r="T285" s="55" t="inlineStr">
        <is>
          <t>1</t>
        </is>
      </c>
      <c r="U285" s="63" t="n"/>
      <c r="V285" s="63" t="n"/>
      <c r="W285" s="55" t="n"/>
      <c r="X285" s="55" t="n"/>
      <c r="Y285" s="55" t="n"/>
      <c r="Z285" s="63" t="n"/>
    </row>
    <row r="286">
      <c r="A286" s="64" t="n">
        <v>283</v>
      </c>
      <c r="B286" s="55" t="inlineStr">
        <is>
          <t>EMCALI</t>
        </is>
      </c>
      <c r="C286" s="55" t="n"/>
      <c r="D286" s="65" t="inlineStr">
        <is>
          <t>ADM</t>
        </is>
      </c>
      <c r="E286" s="65" t="n"/>
      <c r="F286" s="65" t="inlineStr">
        <is>
          <t>Agua</t>
        </is>
      </c>
      <c r="G286" s="65" t="n"/>
      <c r="H286" s="65" t="inlineStr">
        <is>
          <t>Fijo</t>
        </is>
      </c>
      <c r="I286" s="55" t="inlineStr">
        <is>
          <t>SERVICIOS PUBLICOS CRAFT CALI</t>
        </is>
      </c>
      <c r="J286" s="55" t="inlineStr">
        <is>
          <t>Cali</t>
        </is>
      </c>
      <c r="K286" s="55" t="inlineStr">
        <is>
          <t>14139572</t>
        </is>
      </c>
      <c r="L286" s="63" t="n"/>
      <c r="M286" s="63" t="n"/>
      <c r="N286" s="63" t="n"/>
      <c r="O286" s="66" t="n">
        <v>321215</v>
      </c>
      <c r="P286" s="55" t="n">
        <v>0</v>
      </c>
      <c r="Q286" s="55" t="n">
        <v>0</v>
      </c>
      <c r="R286" s="65" t="n">
        <v>321215</v>
      </c>
      <c r="S286" s="65" t="inlineStr">
        <is>
          <t>abril 2025</t>
        </is>
      </c>
      <c r="T286" s="55" t="inlineStr">
        <is>
          <t>3</t>
        </is>
      </c>
      <c r="U286" s="63" t="n"/>
      <c r="V286" s="63" t="n"/>
      <c r="W286" s="55" t="n"/>
      <c r="X286" s="55" t="n"/>
      <c r="Y286" s="55" t="n"/>
      <c r="Z286" s="63" t="n"/>
    </row>
    <row r="287">
      <c r="A287" s="64" t="n">
        <v>284</v>
      </c>
      <c r="B287" s="55" t="inlineStr">
        <is>
          <t>LUZ DARY MINA GARCES</t>
        </is>
      </c>
      <c r="C287" s="55" t="n"/>
      <c r="D287" s="65" t="inlineStr">
        <is>
          <t>ADM</t>
        </is>
      </c>
      <c r="E287" s="65" t="n"/>
      <c r="F287" s="65" t="inlineStr">
        <is>
          <t>Otros Gastos CASA LIMPIA PLANILLA AC OTROS</t>
        </is>
      </c>
      <c r="G287" s="65" t="n"/>
      <c r="H287" s="65" t="inlineStr">
        <is>
          <t>Fijo</t>
        </is>
      </c>
      <c r="I287" s="55" t="inlineStr">
        <is>
          <t>SERVICIO ASEO GENERAL OFICINA CRAFT BUENAVENTURA</t>
        </is>
      </c>
      <c r="J287" s="55" t="inlineStr">
        <is>
          <t>Buenaventura</t>
        </is>
      </c>
      <c r="K287" s="55" t="inlineStr">
        <is>
          <t>174</t>
        </is>
      </c>
      <c r="L287" s="63" t="n"/>
      <c r="M287" s="63" t="n"/>
      <c r="N287" s="63" t="n"/>
      <c r="O287" s="66" t="n">
        <v>1000000</v>
      </c>
      <c r="P287" s="55" t="n">
        <v>0</v>
      </c>
      <c r="Q287" s="55" t="n">
        <v>0</v>
      </c>
      <c r="R287" s="65" t="n">
        <v>1000000</v>
      </c>
      <c r="S287" s="65" t="inlineStr">
        <is>
          <t>abril 2025</t>
        </is>
      </c>
      <c r="T287" s="55" t="inlineStr">
        <is>
          <t>4</t>
        </is>
      </c>
      <c r="U287" s="63" t="n"/>
      <c r="V287" s="63" t="n"/>
      <c r="W287" s="55" t="n"/>
      <c r="X287" s="55" t="n"/>
      <c r="Y287" s="55" t="n"/>
      <c r="Z287" s="63" t="n"/>
    </row>
    <row r="288">
      <c r="A288" s="64" t="n">
        <v>285</v>
      </c>
      <c r="B288" s="55" t="inlineStr">
        <is>
          <t>COMPUASOCIADOS</t>
        </is>
      </c>
      <c r="C288" s="55" t="n"/>
      <c r="D288" s="65" t="inlineStr">
        <is>
          <t>IT</t>
        </is>
      </c>
      <c r="E288" s="65" t="n"/>
      <c r="F288" s="65" t="inlineStr">
        <is>
          <t>Conservacion Y Manutenimiento De Oficina</t>
        </is>
      </c>
      <c r="G288" s="65" t="n"/>
      <c r="H288" s="65" t="inlineStr">
        <is>
          <t>Fijo</t>
        </is>
      </c>
      <c r="I288" s="55" t="inlineStr">
        <is>
          <t>SOPORTE TECNICO IT EQUPOS CCTV E IMPRESORA EN CRAFT BUENAVENTURA</t>
        </is>
      </c>
      <c r="J288" s="55" t="inlineStr">
        <is>
          <t>Buenaventura</t>
        </is>
      </c>
      <c r="K288" s="55" t="inlineStr">
        <is>
          <t>3835</t>
        </is>
      </c>
      <c r="L288" s="63" t="n"/>
      <c r="M288" s="63" t="n"/>
      <c r="N288" s="63" t="n"/>
      <c r="O288" s="66" t="n">
        <v>390000</v>
      </c>
      <c r="P288" s="55" t="n">
        <v>0</v>
      </c>
      <c r="Q288" s="55" t="n">
        <v>0</v>
      </c>
      <c r="R288" s="65" t="n">
        <v>390000</v>
      </c>
      <c r="S288" s="65" t="inlineStr">
        <is>
          <t>abril 2025</t>
        </is>
      </c>
      <c r="T288" s="55" t="inlineStr">
        <is>
          <t>46</t>
        </is>
      </c>
      <c r="U288" s="63" t="n"/>
      <c r="V288" s="63" t="n"/>
      <c r="W288" s="55" t="n"/>
      <c r="X288" s="55" t="n"/>
      <c r="Y288" s="55" t="n"/>
      <c r="Z288" s="63" t="n"/>
    </row>
    <row r="289">
      <c r="A289" s="64" t="n">
        <v>286</v>
      </c>
      <c r="B289" s="55" t="inlineStr">
        <is>
          <t>ETB</t>
        </is>
      </c>
      <c r="C289" s="55" t="n"/>
      <c r="D289" s="65" t="inlineStr">
        <is>
          <t>ADM</t>
        </is>
      </c>
      <c r="E289" s="65" t="n"/>
      <c r="F289" s="65" t="inlineStr">
        <is>
          <t>Telefono fijo</t>
        </is>
      </c>
      <c r="G289" s="65" t="n"/>
      <c r="H289" s="65" t="inlineStr">
        <is>
          <t>Fijo</t>
        </is>
      </c>
      <c r="I289" s="55" t="inlineStr">
        <is>
          <t>SERVICIO DE TELEFONIA LOCAL PBX</t>
        </is>
      </c>
      <c r="J289" s="55" t="inlineStr">
        <is>
          <t>Transversal</t>
        </is>
      </c>
      <c r="K289" s="55" t="inlineStr">
        <is>
          <t>FC1000374417</t>
        </is>
      </c>
      <c r="L289" s="63" t="n"/>
      <c r="M289" s="63" t="n"/>
      <c r="N289" s="63" t="n"/>
      <c r="O289" s="66" t="n">
        <v>1010511</v>
      </c>
      <c r="P289" s="55" t="n">
        <v>0</v>
      </c>
      <c r="Q289" s="55" t="n">
        <v>0</v>
      </c>
      <c r="R289" s="65" t="n">
        <v>1010511</v>
      </c>
      <c r="S289" s="65" t="inlineStr">
        <is>
          <t>abril 2025</t>
        </is>
      </c>
      <c r="T289" s="55" t="inlineStr">
        <is>
          <t>2330</t>
        </is>
      </c>
      <c r="U289" s="63" t="n"/>
      <c r="V289" s="63" t="n"/>
      <c r="W289" s="55" t="n"/>
      <c r="X289" s="55" t="n"/>
      <c r="Y289" s="55" t="n"/>
      <c r="Z289" s="63" t="n"/>
    </row>
    <row r="290">
      <c r="A290" s="64" t="n">
        <v>287</v>
      </c>
      <c r="B290" s="55" t="inlineStr">
        <is>
          <t>EDIFICIO CAPITAL TOWERS PROPIEDAD HORIZONTAL</t>
        </is>
      </c>
      <c r="C290" s="55" t="n"/>
      <c r="D290" s="65" t="inlineStr">
        <is>
          <t>ADM</t>
        </is>
      </c>
      <c r="E290" s="65" t="n"/>
      <c r="F290" s="65" t="inlineStr">
        <is>
          <t>Reuniones gerenciales CEM (Sala reuniones)</t>
        </is>
      </c>
      <c r="G290" s="65" t="n"/>
      <c r="H290" s="65" t="inlineStr">
        <is>
          <t>Fijo</t>
        </is>
      </c>
      <c r="I290" s="55" t="inlineStr">
        <is>
          <t xml:space="preserve">ALQUILER SALA DE JUNTAS REUNION CEM </t>
        </is>
      </c>
      <c r="J290" s="55" t="inlineStr">
        <is>
          <t>Calle 100</t>
        </is>
      </c>
      <c r="K290" s="55" t="inlineStr">
        <is>
          <t>FE10201</t>
        </is>
      </c>
      <c r="L290" s="63" t="n"/>
      <c r="M290" s="63" t="n"/>
      <c r="N290" s="63" t="n"/>
      <c r="O290" s="66" t="n">
        <v>883329</v>
      </c>
      <c r="P290" s="55" t="n">
        <v>0</v>
      </c>
      <c r="Q290" s="55" t="n">
        <v>0</v>
      </c>
      <c r="R290" s="65" t="n">
        <v>883329</v>
      </c>
      <c r="S290" s="65" t="inlineStr">
        <is>
          <t>abril 2025</t>
        </is>
      </c>
      <c r="T290" s="55" t="inlineStr">
        <is>
          <t>2331</t>
        </is>
      </c>
      <c r="U290" s="63" t="n"/>
      <c r="V290" s="63" t="n"/>
      <c r="W290" s="55" t="n"/>
      <c r="X290" s="55" t="n"/>
      <c r="Y290" s="55" t="n"/>
      <c r="Z290" s="63" t="n"/>
    </row>
    <row r="291">
      <c r="A291" s="64" t="n">
        <v>288</v>
      </c>
      <c r="B291" s="55" t="inlineStr">
        <is>
          <t>COMPAÑIA PAPELERA NACIONAL S.A.S</t>
        </is>
      </c>
      <c r="C291" s="55" t="n"/>
      <c r="D291" s="65" t="inlineStr">
        <is>
          <t>ADM</t>
        </is>
      </c>
      <c r="E291" s="65" t="n"/>
      <c r="F291" s="65" t="inlineStr">
        <is>
          <t>Material De Escritorio</t>
        </is>
      </c>
      <c r="G291" s="65" t="n"/>
      <c r="H291" s="65" t="inlineStr">
        <is>
          <t>Variable</t>
        </is>
      </c>
      <c r="I291" s="55" t="inlineStr">
        <is>
          <t>PEDIDO PAPELERIA CRAFT CALLE 100</t>
        </is>
      </c>
      <c r="J291" s="55" t="inlineStr">
        <is>
          <t>Calle 100</t>
        </is>
      </c>
      <c r="K291" s="55" t="inlineStr">
        <is>
          <t>CPFP206464</t>
        </is>
      </c>
      <c r="L291" s="63" t="n"/>
      <c r="M291" s="63" t="n"/>
      <c r="N291" s="63" t="n"/>
      <c r="O291" s="66" t="n">
        <v>207439</v>
      </c>
      <c r="P291" s="55" t="n">
        <v>0</v>
      </c>
      <c r="Q291" s="55" t="n">
        <v>0</v>
      </c>
      <c r="R291" s="65" t="n">
        <v>207439</v>
      </c>
      <c r="S291" s="65" t="inlineStr">
        <is>
          <t>abril 2025</t>
        </is>
      </c>
      <c r="T291" s="55" t="inlineStr">
        <is>
          <t>2336</t>
        </is>
      </c>
      <c r="U291" s="63" t="n"/>
      <c r="V291" s="63" t="n"/>
      <c r="W291" s="55" t="n"/>
      <c r="X291" s="55" t="n"/>
      <c r="Y291" s="55" t="n"/>
      <c r="Z291" s="63" t="n"/>
    </row>
    <row r="292">
      <c r="A292" s="64" t="n">
        <v>289</v>
      </c>
      <c r="B292" s="55" t="inlineStr">
        <is>
          <t>COMPAÑIA PAPELERA NACIONAL S.A.S</t>
        </is>
      </c>
      <c r="C292" s="55" t="n"/>
      <c r="D292" s="65" t="inlineStr">
        <is>
          <t>ADM</t>
        </is>
      </c>
      <c r="E292" s="65" t="n"/>
      <c r="F292" s="65" t="inlineStr">
        <is>
          <t>Material Copa/Cozinha</t>
        </is>
      </c>
      <c r="G292" s="65" t="n"/>
      <c r="H292" s="65" t="inlineStr">
        <is>
          <t>Variable</t>
        </is>
      </c>
      <c r="I292" s="55" t="inlineStr">
        <is>
          <t xml:space="preserve">PEDIDO ASEO Y CAFETERIA CRAFT CALLE 100 </t>
        </is>
      </c>
      <c r="J292" s="55" t="inlineStr">
        <is>
          <t>Calle 100</t>
        </is>
      </c>
      <c r="K292" s="55" t="inlineStr">
        <is>
          <t>CPFP206470</t>
        </is>
      </c>
      <c r="L292" s="63" t="n"/>
      <c r="M292" s="63" t="n"/>
      <c r="N292" s="63" t="n"/>
      <c r="O292" s="66" t="n">
        <v>1187376</v>
      </c>
      <c r="P292" s="55" t="n">
        <v>0</v>
      </c>
      <c r="Q292" s="55" t="n">
        <v>0</v>
      </c>
      <c r="R292" s="65" t="n">
        <v>1187376</v>
      </c>
      <c r="S292" s="65" t="inlineStr">
        <is>
          <t>abril 2025</t>
        </is>
      </c>
      <c r="T292" s="55" t="inlineStr">
        <is>
          <t>2346</t>
        </is>
      </c>
      <c r="U292" s="63" t="n"/>
      <c r="V292" s="63" t="n"/>
      <c r="W292" s="55" t="n"/>
      <c r="X292" s="55" t="n"/>
      <c r="Y292" s="55" t="n"/>
      <c r="Z292" s="63" t="n"/>
    </row>
    <row r="293">
      <c r="A293" s="64" t="n">
        <v>290</v>
      </c>
      <c r="B293" s="55" t="inlineStr">
        <is>
          <t>ETIQUETAS COMERCIALES SAS</t>
        </is>
      </c>
      <c r="C293" s="55" t="n"/>
      <c r="D293" s="65" t="inlineStr">
        <is>
          <t>ADM</t>
        </is>
      </c>
      <c r="E293" s="65" t="n"/>
      <c r="F293" s="65" t="inlineStr">
        <is>
          <t>Precintos/SELLOS</t>
        </is>
      </c>
      <c r="G293" s="65" t="n"/>
      <c r="H293" s="65" t="inlineStr">
        <is>
          <t>Variable</t>
        </is>
      </c>
      <c r="I293" s="55" t="inlineStr">
        <is>
          <t>ETIQUETAS TROQUELADAS CARGAS AEROPUERTO</t>
        </is>
      </c>
      <c r="J293" s="55" t="inlineStr">
        <is>
          <t>Aeropuerto</t>
        </is>
      </c>
      <c r="K293" s="55" t="inlineStr">
        <is>
          <t>FE5217</t>
        </is>
      </c>
      <c r="L293" s="63" t="n"/>
      <c r="M293" s="63" t="n"/>
      <c r="N293" s="63" t="n"/>
      <c r="O293" s="66" t="n">
        <v>644980</v>
      </c>
      <c r="P293" s="55" t="n">
        <v>0</v>
      </c>
      <c r="Q293" s="55" t="n">
        <v>0</v>
      </c>
      <c r="R293" s="65" t="n">
        <v>644980</v>
      </c>
      <c r="S293" s="65" t="inlineStr">
        <is>
          <t>abril 2025</t>
        </is>
      </c>
      <c r="T293" s="55" t="inlineStr">
        <is>
          <t>2</t>
        </is>
      </c>
      <c r="U293" s="63" t="n"/>
      <c r="V293" s="63" t="n"/>
      <c r="W293" s="55" t="n"/>
      <c r="X293" s="55" t="n"/>
      <c r="Y293" s="55" t="n"/>
      <c r="Z293" s="63" t="n"/>
    </row>
    <row r="294">
      <c r="A294" s="64" t="n">
        <v>291</v>
      </c>
      <c r="B294" s="55" t="inlineStr">
        <is>
          <t>FEDERACION COLOMBIANA DE AGENTES LOGISTICOS EN COMERCIO INTERNACIONAL</t>
        </is>
      </c>
      <c r="C294" s="55" t="n"/>
      <c r="D294" s="65" t="inlineStr">
        <is>
          <t>ADM</t>
        </is>
      </c>
      <c r="E294" s="65" t="n"/>
      <c r="F294" s="65" t="inlineStr">
        <is>
          <t>FITAC Congreso</t>
        </is>
      </c>
      <c r="G294" s="65" t="n"/>
      <c r="H294" s="65" t="inlineStr">
        <is>
          <t>Variable</t>
        </is>
      </c>
      <c r="I294" s="55" t="inlineStr">
        <is>
          <t>50% PARTICIPACION CONGRESO FITAC INTERNATIONAL  2026</t>
        </is>
      </c>
      <c r="J294" s="55" t="inlineStr">
        <is>
          <t>Transversal</t>
        </is>
      </c>
      <c r="K294" s="55" t="inlineStr">
        <is>
          <t>46632</t>
        </is>
      </c>
      <c r="L294" s="63" t="n"/>
      <c r="M294" s="63" t="n"/>
      <c r="N294" s="63" t="n"/>
      <c r="O294" s="66" t="n">
        <v>595000</v>
      </c>
      <c r="P294" s="55" t="n">
        <v>0</v>
      </c>
      <c r="Q294" s="55" t="n">
        <v>0</v>
      </c>
      <c r="R294" s="65" t="n">
        <v>595000</v>
      </c>
      <c r="S294" s="65" t="inlineStr">
        <is>
          <t>abril 2025</t>
        </is>
      </c>
      <c r="T294" s="55" t="inlineStr">
        <is>
          <t>2458</t>
        </is>
      </c>
      <c r="U294" s="63" t="n"/>
      <c r="V294" s="63" t="n"/>
      <c r="W294" s="55" t="n"/>
      <c r="X294" s="55" t="n"/>
      <c r="Y294" s="55" t="n"/>
      <c r="Z294" s="63" t="n"/>
    </row>
    <row r="295">
      <c r="A295" s="64" t="n">
        <v>292</v>
      </c>
      <c r="B295" s="55" t="inlineStr">
        <is>
          <t>FEDERACION COLOMBIANA DE AGENTES LOGISTICOS EN COMERCIO INTERNACIONAL</t>
        </is>
      </c>
      <c r="C295" s="55" t="n"/>
      <c r="D295" s="65" t="inlineStr">
        <is>
          <t>ADM</t>
        </is>
      </c>
      <c r="E295" s="65" t="n"/>
      <c r="F295" s="65" t="inlineStr">
        <is>
          <t>FITAC Cuota de sostenimiento</t>
        </is>
      </c>
      <c r="G295" s="65" t="n"/>
      <c r="H295" s="65" t="inlineStr">
        <is>
          <t>Variable</t>
        </is>
      </c>
      <c r="I295" s="55" t="inlineStr">
        <is>
          <t>CUOTA EXTRAORDINARIA SIMPOSIO XIX ADUANERO Y PORTUARIO 2026</t>
        </is>
      </c>
      <c r="J295" s="55" t="inlineStr">
        <is>
          <t>Transversal</t>
        </is>
      </c>
      <c r="K295" s="55" t="inlineStr">
        <is>
          <t>46748</t>
        </is>
      </c>
      <c r="L295" s="63" t="n"/>
      <c r="M295" s="63" t="n"/>
      <c r="N295" s="63" t="n"/>
      <c r="O295" s="66" t="n">
        <v>400000</v>
      </c>
      <c r="P295" s="55" t="n">
        <v>0</v>
      </c>
      <c r="Q295" s="55" t="n">
        <v>0</v>
      </c>
      <c r="R295" s="65" t="n">
        <v>400000</v>
      </c>
      <c r="S295" s="65" t="inlineStr">
        <is>
          <t>abril 2025</t>
        </is>
      </c>
      <c r="T295" s="55" t="inlineStr">
        <is>
          <t>2459</t>
        </is>
      </c>
      <c r="U295" s="63" t="n"/>
      <c r="V295" s="63" t="n"/>
      <c r="W295" s="55" t="n"/>
      <c r="X295" s="55" t="n"/>
      <c r="Y295" s="55" t="n"/>
      <c r="Z295" s="63" t="n"/>
    </row>
    <row r="296">
      <c r="A296" s="64" t="n">
        <v>293</v>
      </c>
      <c r="B296" s="55" t="inlineStr">
        <is>
          <t>TRIPLE AAA</t>
        </is>
      </c>
      <c r="C296" s="55" t="n"/>
      <c r="D296" s="65" t="inlineStr">
        <is>
          <t>ADM</t>
        </is>
      </c>
      <c r="E296" s="65" t="n"/>
      <c r="F296" s="65" t="inlineStr">
        <is>
          <t>Agua</t>
        </is>
      </c>
      <c r="G296" s="65" t="n"/>
      <c r="H296" s="65" t="inlineStr">
        <is>
          <t>Fijo</t>
        </is>
      </c>
      <c r="I296" s="55" t="inlineStr">
        <is>
          <t>SERVICIO ACUEDUCTO CRAFT BARRANQUILLA</t>
        </is>
      </c>
      <c r="J296" s="55" t="inlineStr">
        <is>
          <t>Barranquilla</t>
        </is>
      </c>
      <c r="K296" s="55" t="inlineStr">
        <is>
          <t>71294562</t>
        </is>
      </c>
      <c r="L296" s="63" t="n"/>
      <c r="M296" s="63" t="n"/>
      <c r="N296" s="63" t="n"/>
      <c r="O296" s="66" t="n">
        <v>273966</v>
      </c>
      <c r="P296" s="55" t="n">
        <v>0</v>
      </c>
      <c r="Q296" s="55" t="n">
        <v>0</v>
      </c>
      <c r="R296" s="65" t="n">
        <v>273966</v>
      </c>
      <c r="S296" s="65" t="inlineStr">
        <is>
          <t>abril 2025</t>
        </is>
      </c>
      <c r="T296" s="55" t="inlineStr">
        <is>
          <t>4</t>
        </is>
      </c>
      <c r="U296" s="63" t="n"/>
      <c r="V296" s="63" t="n"/>
      <c r="W296" s="55" t="n"/>
      <c r="X296" s="55" t="n"/>
      <c r="Y296" s="55" t="n"/>
      <c r="Z296" s="63" t="n"/>
    </row>
    <row r="297">
      <c r="A297" s="64" t="n">
        <v>294</v>
      </c>
      <c r="B297" s="55" t="inlineStr">
        <is>
          <t>EPM MEDELLIN</t>
        </is>
      </c>
      <c r="C297" s="55" t="n"/>
      <c r="D297" s="65" t="inlineStr">
        <is>
          <t>ADM</t>
        </is>
      </c>
      <c r="E297" s="65" t="n"/>
      <c r="F297" s="65" t="inlineStr">
        <is>
          <t>Agua</t>
        </is>
      </c>
      <c r="G297" s="65" t="n"/>
      <c r="H297" s="65" t="inlineStr">
        <is>
          <t>Fijo</t>
        </is>
      </c>
      <c r="I297" s="55" t="inlineStr">
        <is>
          <t>SERVICOS PUBLICOS CRAFT MEDELLIN</t>
        </is>
      </c>
      <c r="J297" s="55" t="inlineStr">
        <is>
          <t>Medellín</t>
        </is>
      </c>
      <c r="K297" s="55" t="inlineStr">
        <is>
          <t>DEE47416799</t>
        </is>
      </c>
      <c r="L297" s="63" t="n"/>
      <c r="M297" s="63" t="n"/>
      <c r="N297" s="63" t="n"/>
      <c r="O297" s="66" t="n">
        <v>315318</v>
      </c>
      <c r="P297" s="55" t="n">
        <v>0</v>
      </c>
      <c r="Q297" s="55" t="n">
        <v>0</v>
      </c>
      <c r="R297" s="65" t="n">
        <v>315318</v>
      </c>
      <c r="S297" s="65" t="inlineStr">
        <is>
          <t>abril 2025</t>
        </is>
      </c>
      <c r="T297" s="55" t="inlineStr">
        <is>
          <t>34</t>
        </is>
      </c>
      <c r="U297" s="63" t="n"/>
      <c r="V297" s="63" t="n"/>
      <c r="W297" s="55" t="n"/>
      <c r="X297" s="55" t="n"/>
      <c r="Y297" s="55" t="n"/>
      <c r="Z297" s="63" t="n"/>
    </row>
    <row r="298">
      <c r="A298" s="64" t="n">
        <v>295</v>
      </c>
      <c r="B298" s="55" t="inlineStr">
        <is>
          <t>AIR-E</t>
        </is>
      </c>
      <c r="C298" s="55" t="n"/>
      <c r="D298" s="65" t="inlineStr">
        <is>
          <t>ADM</t>
        </is>
      </c>
      <c r="E298" s="65" t="n"/>
      <c r="F298" s="65" t="inlineStr">
        <is>
          <t>Luz</t>
        </is>
      </c>
      <c r="G298" s="65" t="n"/>
      <c r="H298" s="65" t="inlineStr">
        <is>
          <t>Fijo</t>
        </is>
      </c>
      <c r="I298" s="55" t="inlineStr">
        <is>
          <t>SERVICIO ENERGIA CRAFT BARRANQUILLA</t>
        </is>
      </c>
      <c r="J298" s="55" t="inlineStr">
        <is>
          <t>Barranquilla</t>
        </is>
      </c>
      <c r="K298" s="55" t="inlineStr">
        <is>
          <t>63151098</t>
        </is>
      </c>
      <c r="L298" s="63" t="n"/>
      <c r="M298" s="63" t="n"/>
      <c r="N298" s="63" t="n"/>
      <c r="O298" s="66" t="n">
        <v>329580</v>
      </c>
      <c r="P298" s="55" t="n">
        <v>0</v>
      </c>
      <c r="Q298" s="55" t="n">
        <v>0</v>
      </c>
      <c r="R298" s="65" t="n">
        <v>329580</v>
      </c>
      <c r="S298" s="65" t="inlineStr">
        <is>
          <t>abril 2025</t>
        </is>
      </c>
      <c r="T298" s="55" t="inlineStr">
        <is>
          <t>5</t>
        </is>
      </c>
      <c r="U298" s="63" t="n"/>
      <c r="V298" s="63" t="n"/>
      <c r="W298" s="55" t="n"/>
      <c r="X298" s="55" t="n"/>
      <c r="Y298" s="55" t="n"/>
      <c r="Z298" s="63" t="n"/>
    </row>
    <row r="299">
      <c r="A299" s="64" t="n">
        <v>296</v>
      </c>
      <c r="B299" s="55" t="inlineStr">
        <is>
          <t>CLARO S.A.</t>
        </is>
      </c>
      <c r="C299" s="55" t="n"/>
      <c r="D299" s="65" t="inlineStr">
        <is>
          <t>ADM</t>
        </is>
      </c>
      <c r="E299" s="65" t="n"/>
      <c r="F299" s="65" t="inlineStr">
        <is>
          <t>Celulares</t>
        </is>
      </c>
      <c r="G299" s="65" t="n"/>
      <c r="H299" s="65" t="inlineStr">
        <is>
          <t>Fijo</t>
        </is>
      </c>
      <c r="I299" s="55" t="inlineStr">
        <is>
          <t>SERVICIO TELEFONIA CELULAR COLABORADORES CRAFT</t>
        </is>
      </c>
      <c r="J299" s="55" t="inlineStr">
        <is>
          <t>Transversal</t>
        </is>
      </c>
      <c r="K299" s="55" t="inlineStr">
        <is>
          <t>E6049623337</t>
        </is>
      </c>
      <c r="L299" s="63" t="n"/>
      <c r="M299" s="63" t="n"/>
      <c r="N299" s="63" t="n"/>
      <c r="O299" s="66" t="n">
        <v>3264719</v>
      </c>
      <c r="P299" s="55" t="n">
        <v>0</v>
      </c>
      <c r="Q299" s="55" t="n">
        <v>0</v>
      </c>
      <c r="R299" s="65" t="n">
        <v>3264719</v>
      </c>
      <c r="S299" s="65" t="inlineStr">
        <is>
          <t>abril 2025</t>
        </is>
      </c>
      <c r="T299" s="55" t="inlineStr">
        <is>
          <t>3535</t>
        </is>
      </c>
      <c r="U299" s="63" t="n"/>
      <c r="V299" s="63" t="n"/>
      <c r="W299" s="55" t="n"/>
      <c r="X299" s="55" t="n"/>
      <c r="Y299" s="55" t="n"/>
      <c r="Z299" s="63" t="n"/>
    </row>
    <row r="300">
      <c r="A300" s="64" t="n">
        <v>297</v>
      </c>
      <c r="B300" s="55" t="inlineStr">
        <is>
          <t>TURISMO 24 HORAS S.A.S</t>
        </is>
      </c>
      <c r="C300" s="55" t="n"/>
      <c r="D300" s="65" t="inlineStr">
        <is>
          <t>ADM</t>
        </is>
      </c>
      <c r="E300" s="65" t="n"/>
      <c r="F300" s="65" t="inlineStr">
        <is>
          <t>Viagens E Estadias</t>
        </is>
      </c>
      <c r="G300" s="65" t="n"/>
      <c r="H300" s="65" t="n"/>
      <c r="I300" s="55" t="inlineStr">
        <is>
          <t>COMPRA TIQUETE DIANA GRACIA A BOGOTA</t>
        </is>
      </c>
      <c r="J300" s="55" t="inlineStr">
        <is>
          <t>Calle 100</t>
        </is>
      </c>
      <c r="K300" s="55" t="inlineStr">
        <is>
          <t>T24H12835</t>
        </is>
      </c>
      <c r="L300" s="63" t="n"/>
      <c r="M300" s="63" t="n"/>
      <c r="N300" s="63" t="n"/>
      <c r="O300" s="66" t="n">
        <v>1115000</v>
      </c>
      <c r="P300" s="55" t="n">
        <v>0</v>
      </c>
      <c r="Q300" s="55" t="n">
        <v>0</v>
      </c>
      <c r="R300" s="65" t="n">
        <v>1115000</v>
      </c>
      <c r="S300" s="65" t="inlineStr">
        <is>
          <t>abril 2025</t>
        </is>
      </c>
      <c r="T300" s="55" t="inlineStr">
        <is>
          <t>3557</t>
        </is>
      </c>
      <c r="U300" s="63" t="n"/>
      <c r="V300" s="63" t="n"/>
      <c r="W300" s="55" t="n"/>
      <c r="X300" s="55" t="n"/>
      <c r="Y300" s="55" t="n"/>
      <c r="Z300" s="63" t="n"/>
    </row>
    <row r="301">
      <c r="A301" s="64" t="n">
        <v>298</v>
      </c>
      <c r="B301" s="55" t="inlineStr">
        <is>
          <t>CASALIMPIA SA</t>
        </is>
      </c>
      <c r="C301" s="55" t="n"/>
      <c r="D301" s="65" t="inlineStr">
        <is>
          <t>ADM</t>
        </is>
      </c>
      <c r="E301" s="65" t="n"/>
      <c r="F301" s="65" t="inlineStr">
        <is>
          <t>Otros Gastos CASA LIMPIA PLANILLA AC OTROS</t>
        </is>
      </c>
      <c r="G301" s="65" t="n"/>
      <c r="H301" s="65" t="inlineStr">
        <is>
          <t>Fijo</t>
        </is>
      </c>
      <c r="I301" s="55" t="inlineStr">
        <is>
          <t>SERVICIO DE ASEO GENERAL OFICINA CRAFT CARTAGENA</t>
        </is>
      </c>
      <c r="J301" s="55" t="inlineStr">
        <is>
          <t>Cartagena</t>
        </is>
      </c>
      <c r="K301" s="55" t="inlineStr">
        <is>
          <t>1762082</t>
        </is>
      </c>
      <c r="L301" s="63" t="n"/>
      <c r="M301" s="63" t="n"/>
      <c r="N301" s="63" t="n"/>
      <c r="O301" s="66" t="n">
        <v>2088787</v>
      </c>
      <c r="P301" s="55" t="n">
        <v>0</v>
      </c>
      <c r="Q301" s="55" t="n">
        <v>0</v>
      </c>
      <c r="R301" s="65" t="n">
        <v>2088787</v>
      </c>
      <c r="S301" s="65" t="inlineStr">
        <is>
          <t>abril 2025</t>
        </is>
      </c>
      <c r="T301" s="55" t="inlineStr">
        <is>
          <t>23</t>
        </is>
      </c>
      <c r="U301" s="63" t="n"/>
      <c r="V301" s="63" t="n"/>
      <c r="W301" s="55" t="n"/>
      <c r="X301" s="55" t="n"/>
      <c r="Y301" s="55" t="n"/>
      <c r="Z301" s="63" t="n"/>
    </row>
    <row r="302">
      <c r="A302" s="64" t="n">
        <v>299</v>
      </c>
      <c r="B302" s="55" t="inlineStr">
        <is>
          <t>EDIFICIO CAPITAL TOWERS PROPIEDAD HORIZONTAL</t>
        </is>
      </c>
      <c r="C302" s="55" t="n"/>
      <c r="D302" s="65" t="inlineStr">
        <is>
          <t>ADM</t>
        </is>
      </c>
      <c r="E302" s="65" t="n"/>
      <c r="F302" s="65" t="inlineStr">
        <is>
          <t>Agua</t>
        </is>
      </c>
      <c r="G302" s="65" t="n"/>
      <c r="H302" s="65" t="inlineStr">
        <is>
          <t>Fijo</t>
        </is>
      </c>
      <c r="I302" s="55" t="inlineStr">
        <is>
          <t>RECOBRO SERVICIOS PUBLICOS CRAFT BOGOTA</t>
        </is>
      </c>
      <c r="J302" s="55" t="inlineStr">
        <is>
          <t>Calle 100</t>
        </is>
      </c>
      <c r="K302" s="55" t="inlineStr">
        <is>
          <t>FE10207</t>
        </is>
      </c>
      <c r="L302" s="63" t="n"/>
      <c r="M302" s="63" t="n"/>
      <c r="N302" s="63" t="n"/>
      <c r="O302" s="66" t="n">
        <v>674936</v>
      </c>
      <c r="P302" s="55" t="n">
        <v>0</v>
      </c>
      <c r="Q302" s="55" t="n">
        <v>0</v>
      </c>
      <c r="R302" s="65" t="n">
        <v>674936</v>
      </c>
      <c r="S302" s="65" t="inlineStr">
        <is>
          <t>abril 2025</t>
        </is>
      </c>
      <c r="T302" s="55" t="inlineStr">
        <is>
          <t>24</t>
        </is>
      </c>
      <c r="U302" s="63" t="n"/>
      <c r="V302" s="63" t="n"/>
      <c r="W302" s="55" t="n"/>
      <c r="X302" s="55" t="n"/>
      <c r="Y302" s="55" t="n"/>
      <c r="Z302" s="63" t="n"/>
    </row>
    <row r="303">
      <c r="A303" s="64" t="n">
        <v>300</v>
      </c>
      <c r="B303" s="55" t="inlineStr">
        <is>
          <t>CONTRATOS Y FIANZAS DE ARRENDAMIENTO S.A.S.</t>
        </is>
      </c>
      <c r="C303" s="55" t="n"/>
      <c r="D303" s="65" t="inlineStr">
        <is>
          <t>ADM</t>
        </is>
      </c>
      <c r="E303" s="65" t="n"/>
      <c r="F303" s="65" t="inlineStr">
        <is>
          <t>Arriendos</t>
        </is>
      </c>
      <c r="G303" s="65" t="n"/>
      <c r="H303" s="65" t="inlineStr">
        <is>
          <t>Fijo</t>
        </is>
      </c>
      <c r="I303" s="55" t="inlineStr">
        <is>
          <t>SERVICIO ZONA VIRTUAL CRAFT MEDELLIN</t>
        </is>
      </c>
      <c r="J303" s="55" t="inlineStr">
        <is>
          <t>Medellín</t>
        </is>
      </c>
      <c r="K303" s="55" t="inlineStr">
        <is>
          <t>FE583329</t>
        </is>
      </c>
      <c r="L303" s="63" t="n"/>
      <c r="M303" s="63" t="n"/>
      <c r="N303" s="63" t="n"/>
      <c r="O303" s="66" t="n">
        <v>5200</v>
      </c>
      <c r="P303" s="55" t="n">
        <v>0</v>
      </c>
      <c r="Q303" s="55" t="n">
        <v>0</v>
      </c>
      <c r="R303" s="65" t="n">
        <v>5200</v>
      </c>
      <c r="S303" s="65" t="inlineStr">
        <is>
          <t>abril 2025</t>
        </is>
      </c>
      <c r="T303" s="55" t="inlineStr">
        <is>
          <t>51</t>
        </is>
      </c>
      <c r="U303" s="63" t="n"/>
      <c r="V303" s="63" t="n"/>
      <c r="W303" s="55" t="n"/>
      <c r="X303" s="55" t="n"/>
      <c r="Y303" s="55" t="n"/>
      <c r="Z303" s="63" t="n"/>
    </row>
    <row r="304">
      <c r="A304" s="64" t="n">
        <v>301</v>
      </c>
      <c r="B304" s="55" t="inlineStr">
        <is>
          <t>PORTUS GLOBAL SAS</t>
        </is>
      </c>
      <c r="C304" s="55" t="n"/>
      <c r="D304" s="65" t="inlineStr">
        <is>
          <t>ADM</t>
        </is>
      </c>
      <c r="E304" s="65" t="n"/>
      <c r="F304" s="65" t="inlineStr">
        <is>
          <t>Arriendos</t>
        </is>
      </c>
      <c r="G304" s="65" t="n"/>
      <c r="H304" s="65" t="inlineStr">
        <is>
          <t>Fijo</t>
        </is>
      </c>
      <c r="I304" s="55" t="inlineStr">
        <is>
          <t>CANON DE ARRENDAMIENTO OF 1502 SUC CRAFT CARTAGENA</t>
        </is>
      </c>
      <c r="J304" s="55" t="inlineStr">
        <is>
          <t>Cartagena</t>
        </is>
      </c>
      <c r="K304" s="55" t="inlineStr">
        <is>
          <t>730</t>
        </is>
      </c>
      <c r="L304" s="63" t="n"/>
      <c r="M304" s="63" t="n"/>
      <c r="N304" s="63" t="n"/>
      <c r="O304" s="66" t="n">
        <v>8477869</v>
      </c>
      <c r="P304" s="55" t="n">
        <v>0</v>
      </c>
      <c r="Q304" s="55" t="n">
        <v>0</v>
      </c>
      <c r="R304" s="65" t="n">
        <v>8477869</v>
      </c>
      <c r="S304" s="65" t="inlineStr">
        <is>
          <t>abril 2025</t>
        </is>
      </c>
      <c r="T304" s="55" t="inlineStr">
        <is>
          <t>25</t>
        </is>
      </c>
      <c r="U304" s="63" t="n"/>
      <c r="V304" s="63" t="n"/>
      <c r="W304" s="55" t="n"/>
      <c r="X304" s="55" t="n"/>
      <c r="Y304" s="55" t="n"/>
      <c r="Z304" s="63" t="n"/>
    </row>
    <row r="305">
      <c r="A305" s="64" t="n">
        <v>302</v>
      </c>
      <c r="B305" s="55" t="inlineStr">
        <is>
          <t>OPAIN SA AEROPUERTO EL DORADO</t>
        </is>
      </c>
      <c r="C305" s="55" t="n"/>
      <c r="D305" s="65" t="inlineStr">
        <is>
          <t>ADM</t>
        </is>
      </c>
      <c r="E305" s="65" t="n"/>
      <c r="F305" s="65" t="inlineStr">
        <is>
          <t>Administración</t>
        </is>
      </c>
      <c r="G305" s="65" t="n"/>
      <c r="H305" s="65" t="inlineStr">
        <is>
          <t>Fijo</t>
        </is>
      </c>
      <c r="I305" s="55" t="inlineStr">
        <is>
          <t>GASTOS REEMBOLSABLES CRAFT AEROPUERTO</t>
        </is>
      </c>
      <c r="J305" s="55" t="inlineStr">
        <is>
          <t>Aeropuerto</t>
        </is>
      </c>
      <c r="K305" s="55" t="inlineStr">
        <is>
          <t>CCG22260</t>
        </is>
      </c>
      <c r="L305" s="63" t="n"/>
      <c r="M305" s="63" t="n"/>
      <c r="N305" s="63" t="n"/>
      <c r="O305" s="66" t="n">
        <v>581748</v>
      </c>
      <c r="P305" s="55" t="n">
        <v>0</v>
      </c>
      <c r="Q305" s="55" t="n">
        <v>0</v>
      </c>
      <c r="R305" s="65" t="n">
        <v>581748</v>
      </c>
      <c r="S305" s="65" t="inlineStr">
        <is>
          <t>abril 2025</t>
        </is>
      </c>
      <c r="T305" s="55" t="inlineStr">
        <is>
          <t>3</t>
        </is>
      </c>
      <c r="U305" s="63" t="n"/>
      <c r="V305" s="63" t="n"/>
      <c r="W305" s="55" t="n"/>
      <c r="X305" s="55" t="n"/>
      <c r="Y305" s="55" t="n"/>
      <c r="Z305" s="63" t="n"/>
    </row>
    <row r="306">
      <c r="A306" s="64" t="n">
        <v>303</v>
      </c>
      <c r="B306" s="55" t="inlineStr">
        <is>
          <t>MULTICOPY JV ZOMAC SAS</t>
        </is>
      </c>
      <c r="C306" s="55" t="n"/>
      <c r="D306" s="65" t="inlineStr">
        <is>
          <t>IT</t>
        </is>
      </c>
      <c r="E306" s="65" t="n"/>
      <c r="F306" s="65" t="inlineStr">
        <is>
          <t>Conservacion Y Manutenimiento De Oficina</t>
        </is>
      </c>
      <c r="G306" s="65" t="n"/>
      <c r="H306" s="65" t="n"/>
      <c r="I306" s="55" t="inlineStr">
        <is>
          <t>ALQUILER IMPRESORA CRAFT BUENAVENTURA</t>
        </is>
      </c>
      <c r="J306" s="55" t="inlineStr">
        <is>
          <t>Buenaventura</t>
        </is>
      </c>
      <c r="K306" s="55" t="inlineStr">
        <is>
          <t>FEMC10060</t>
        </is>
      </c>
      <c r="L306" s="63" t="n"/>
      <c r="M306" s="63" t="n"/>
      <c r="N306" s="63" t="n"/>
      <c r="O306" s="66" t="n">
        <v>196000</v>
      </c>
      <c r="P306" s="55" t="n">
        <v>0</v>
      </c>
      <c r="Q306" s="55" t="n">
        <v>0</v>
      </c>
      <c r="R306" s="65" t="n">
        <v>196000</v>
      </c>
      <c r="S306" s="65" t="inlineStr">
        <is>
          <t>abril 2025</t>
        </is>
      </c>
      <c r="T306" s="55" t="inlineStr">
        <is>
          <t>134</t>
        </is>
      </c>
      <c r="U306" s="63" t="n"/>
      <c r="V306" s="63" t="n"/>
      <c r="W306" s="55" t="n"/>
      <c r="X306" s="55" t="n"/>
      <c r="Y306" s="55" t="n"/>
      <c r="Z306" s="63" t="n"/>
    </row>
    <row r="307">
      <c r="A307" s="64" t="n">
        <v>304</v>
      </c>
      <c r="B307" s="55" t="inlineStr">
        <is>
          <t>PC QUICK SAS</t>
        </is>
      </c>
      <c r="C307" s="55" t="n"/>
      <c r="D307" s="65" t="inlineStr">
        <is>
          <t>IT</t>
        </is>
      </c>
      <c r="E307" s="65" t="n"/>
      <c r="F307" s="65" t="inlineStr">
        <is>
          <t>Insumos y perifericos</t>
        </is>
      </c>
      <c r="G307" s="65" t="n"/>
      <c r="H307" s="65" t="inlineStr">
        <is>
          <t>Variable</t>
        </is>
      </c>
      <c r="I307" s="55" t="inlineStr">
        <is>
          <t>2 TONNER PARA CRAFT CARTAGENA</t>
        </is>
      </c>
      <c r="J307" s="55" t="inlineStr">
        <is>
          <t>Cartagena</t>
        </is>
      </c>
      <c r="K307" s="55" t="inlineStr">
        <is>
          <t>PFE10100</t>
        </is>
      </c>
      <c r="L307" s="63" t="n"/>
      <c r="M307" s="63" t="n"/>
      <c r="N307" s="63" t="n"/>
      <c r="O307" s="66" t="n">
        <v>571200</v>
      </c>
      <c r="P307" s="55" t="n">
        <v>0</v>
      </c>
      <c r="Q307" s="55" t="n">
        <v>0</v>
      </c>
      <c r="R307" s="65" t="n">
        <v>571200</v>
      </c>
      <c r="S307" s="65" t="inlineStr">
        <is>
          <t>abril 2025</t>
        </is>
      </c>
      <c r="T307" s="55" t="inlineStr">
        <is>
          <t>3676</t>
        </is>
      </c>
      <c r="U307" s="63" t="n"/>
      <c r="V307" s="63" t="n"/>
      <c r="W307" s="55" t="n"/>
      <c r="X307" s="55" t="n"/>
      <c r="Y307" s="55" t="n"/>
      <c r="Z307" s="63" t="n"/>
    </row>
    <row r="308">
      <c r="A308" s="64" t="n">
        <v>305</v>
      </c>
      <c r="B308" s="55" t="inlineStr">
        <is>
          <t>MATEO GUZMAN</t>
        </is>
      </c>
      <c r="C308" s="55" t="n"/>
      <c r="D308" s="65" t="inlineStr">
        <is>
          <t>ADM</t>
        </is>
      </c>
      <c r="E308" s="65" t="n"/>
      <c r="F308" s="65" t="inlineStr">
        <is>
          <t>Malote</t>
        </is>
      </c>
      <c r="G308" s="65" t="n"/>
      <c r="H308" s="65" t="inlineStr">
        <is>
          <t>Variable</t>
        </is>
      </c>
      <c r="I308" s="55" t="inlineStr">
        <is>
          <t>SERVICO MENSAJERIA LLEVAR PC Y COMPRAR TORRA</t>
        </is>
      </c>
      <c r="J308" s="55" t="inlineStr">
        <is>
          <t>Calle 100</t>
        </is>
      </c>
      <c r="K308" s="55" t="inlineStr">
        <is>
          <t>25</t>
        </is>
      </c>
      <c r="L308" s="63" t="n"/>
      <c r="M308" s="63" t="n"/>
      <c r="N308" s="63" t="n"/>
      <c r="O308" s="66" t="n">
        <v>150000</v>
      </c>
      <c r="P308" s="55" t="n">
        <v>0</v>
      </c>
      <c r="Q308" s="55" t="n">
        <v>0</v>
      </c>
      <c r="R308" s="65" t="n">
        <v>150000</v>
      </c>
      <c r="S308" s="65" t="inlineStr">
        <is>
          <t>abril 2025</t>
        </is>
      </c>
      <c r="T308" s="55" t="inlineStr">
        <is>
          <t>3842</t>
        </is>
      </c>
      <c r="U308" s="63" t="n"/>
      <c r="V308" s="63" t="n"/>
      <c r="W308" s="55" t="n"/>
      <c r="X308" s="55" t="n"/>
      <c r="Y308" s="55" t="n"/>
      <c r="Z308" s="63" t="n"/>
    </row>
    <row r="309">
      <c r="A309" s="64" t="n">
        <v>306</v>
      </c>
      <c r="B309" s="55" t="inlineStr">
        <is>
          <t>CLARO S.A.</t>
        </is>
      </c>
      <c r="C309" s="55" t="n"/>
      <c r="D309" s="65" t="inlineStr">
        <is>
          <t>ADM</t>
        </is>
      </c>
      <c r="E309" s="65" t="n"/>
      <c r="F309" s="65" t="inlineStr">
        <is>
          <t>Celulares</t>
        </is>
      </c>
      <c r="G309" s="65" t="n"/>
      <c r="H309" s="65" t="inlineStr">
        <is>
          <t>Fijo</t>
        </is>
      </c>
      <c r="I309" s="55" t="inlineStr">
        <is>
          <t>SIM TABLET CTG</t>
        </is>
      </c>
      <c r="J309" s="55" t="inlineStr">
        <is>
          <t>Cartagena</t>
        </is>
      </c>
      <c r="K309" s="55" t="inlineStr">
        <is>
          <t>E6051396732</t>
        </is>
      </c>
      <c r="L309" s="63" t="n"/>
      <c r="M309" s="63" t="n"/>
      <c r="N309" s="63" t="n"/>
      <c r="O309" s="66" t="n">
        <v>384234</v>
      </c>
      <c r="P309" s="55" t="n">
        <v>0</v>
      </c>
      <c r="Q309" s="55" t="n">
        <v>0</v>
      </c>
      <c r="R309" s="65" t="n">
        <v>384234</v>
      </c>
      <c r="S309" s="65" t="inlineStr">
        <is>
          <t>abril 2025</t>
        </is>
      </c>
      <c r="T309" s="55" t="inlineStr">
        <is>
          <t>26</t>
        </is>
      </c>
      <c r="U309" s="63" t="n"/>
      <c r="V309" s="63" t="n"/>
      <c r="W309" s="55" t="n"/>
      <c r="X309" s="55" t="n"/>
      <c r="Y309" s="55" t="n"/>
      <c r="Z309" s="63" t="n"/>
    </row>
    <row r="310">
      <c r="A310" s="64" t="n">
        <v>307</v>
      </c>
      <c r="B310" s="55" t="inlineStr">
        <is>
          <t>CLARO S.A.</t>
        </is>
      </c>
      <c r="C310" s="55" t="n"/>
      <c r="D310" s="65" t="inlineStr">
        <is>
          <t>ADM</t>
        </is>
      </c>
      <c r="E310" s="65" t="n"/>
      <c r="F310" s="65" t="inlineStr">
        <is>
          <t>Celulares</t>
        </is>
      </c>
      <c r="G310" s="65" t="n"/>
      <c r="H310" s="65" t="inlineStr">
        <is>
          <t>Fijo</t>
        </is>
      </c>
      <c r="I310" s="55" t="inlineStr">
        <is>
          <t>PLAN DATOS RAFAEL DE SA</t>
        </is>
      </c>
      <c r="J310" s="55" t="inlineStr">
        <is>
          <t>Transversal</t>
        </is>
      </c>
      <c r="K310" s="55" t="inlineStr">
        <is>
          <t>E6051376571</t>
        </is>
      </c>
      <c r="L310" s="63" t="n"/>
      <c r="M310" s="63" t="n"/>
      <c r="N310" s="63" t="n"/>
      <c r="O310" s="66" t="n">
        <v>315160</v>
      </c>
      <c r="P310" s="55" t="n">
        <v>0</v>
      </c>
      <c r="Q310" s="55" t="n">
        <v>0</v>
      </c>
      <c r="R310" s="65" t="n">
        <v>315160</v>
      </c>
      <c r="S310" s="65" t="inlineStr">
        <is>
          <t>abril 2025</t>
        </is>
      </c>
      <c r="T310" s="55" t="inlineStr">
        <is>
          <t>3819</t>
        </is>
      </c>
      <c r="U310" s="63" t="n"/>
      <c r="V310" s="63" t="n"/>
      <c r="W310" s="55" t="n"/>
      <c r="X310" s="55" t="n"/>
      <c r="Y310" s="55" t="n"/>
      <c r="Z310" s="63" t="n"/>
    </row>
    <row r="311">
      <c r="A311" s="64" t="n">
        <v>308</v>
      </c>
      <c r="B311" s="55" t="inlineStr">
        <is>
          <t>CLARO S.A.</t>
        </is>
      </c>
      <c r="C311" s="55" t="n"/>
      <c r="D311" s="65" t="inlineStr">
        <is>
          <t>ADM</t>
        </is>
      </c>
      <c r="E311" s="65" t="n"/>
      <c r="F311" s="65" t="inlineStr">
        <is>
          <t>Celulares</t>
        </is>
      </c>
      <c r="G311" s="65" t="n"/>
      <c r="H311" s="65" t="inlineStr">
        <is>
          <t>Fijo</t>
        </is>
      </c>
      <c r="I311" s="55" t="inlineStr">
        <is>
          <t xml:space="preserve">SIM TABLET BUN Y AEROPUERTO  </t>
        </is>
      </c>
      <c r="J311" s="55" t="inlineStr">
        <is>
          <t>Puertos</t>
        </is>
      </c>
      <c r="K311" s="55" t="inlineStr">
        <is>
          <t>E6051400190</t>
        </is>
      </c>
      <c r="L311" s="63" t="n"/>
      <c r="M311" s="63" t="n"/>
      <c r="N311" s="63" t="n"/>
      <c r="O311" s="66" t="n">
        <v>650796</v>
      </c>
      <c r="P311" s="55" t="n">
        <v>0</v>
      </c>
      <c r="Q311" s="55" t="n">
        <v>0</v>
      </c>
      <c r="R311" s="65" t="n">
        <v>650796</v>
      </c>
      <c r="S311" s="65" t="inlineStr">
        <is>
          <t>abril 2025</t>
        </is>
      </c>
      <c r="T311" s="55" t="inlineStr">
        <is>
          <t>136</t>
        </is>
      </c>
      <c r="U311" s="63" t="n"/>
      <c r="V311" s="63" t="n"/>
      <c r="W311" s="55" t="n"/>
      <c r="X311" s="55" t="n"/>
      <c r="Y311" s="55" t="n"/>
      <c r="Z311" s="63" t="n"/>
    </row>
    <row r="312">
      <c r="A312" s="64" t="n">
        <v>309</v>
      </c>
      <c r="B312" s="55" t="inlineStr">
        <is>
          <t>LUZ DARY MINA GARCES</t>
        </is>
      </c>
      <c r="C312" s="55" t="n"/>
      <c r="D312" s="65" t="inlineStr">
        <is>
          <t>ADM</t>
        </is>
      </c>
      <c r="E312" s="65" t="n"/>
      <c r="F312" s="65" t="inlineStr">
        <is>
          <t>Otros Gastos CASA LIMPIA PLANILLA AC OTROS</t>
        </is>
      </c>
      <c r="G312" s="65" t="n"/>
      <c r="H312" s="65" t="inlineStr">
        <is>
          <t>Fijo</t>
        </is>
      </c>
      <c r="I312" s="55" t="inlineStr">
        <is>
          <t>SERVICIO ASEO GENERAL OFICINA CRAFT BUENAVENTURA</t>
        </is>
      </c>
      <c r="J312" s="55" t="inlineStr">
        <is>
          <t>Buenaventura</t>
        </is>
      </c>
      <c r="K312" s="55" t="inlineStr">
        <is>
          <t>175</t>
        </is>
      </c>
      <c r="L312" s="63" t="n"/>
      <c r="M312" s="63" t="n"/>
      <c r="N312" s="63" t="n"/>
      <c r="O312" s="66" t="n">
        <v>1000000</v>
      </c>
      <c r="P312" s="55" t="n">
        <v>0</v>
      </c>
      <c r="Q312" s="55" t="n">
        <v>0</v>
      </c>
      <c r="R312" s="65" t="n">
        <v>1000000</v>
      </c>
      <c r="S312" s="65" t="inlineStr">
        <is>
          <t>abril 2025</t>
        </is>
      </c>
      <c r="T312" s="55" t="inlineStr">
        <is>
          <t>164</t>
        </is>
      </c>
      <c r="U312" s="63" t="n"/>
      <c r="V312" s="63" t="n"/>
      <c r="W312" s="55" t="n"/>
      <c r="X312" s="55" t="n"/>
      <c r="Y312" s="55" t="n"/>
      <c r="Z312" s="63" t="n"/>
    </row>
    <row r="313">
      <c r="A313" s="64" t="n">
        <v>310</v>
      </c>
      <c r="B313" s="55" t="inlineStr">
        <is>
          <t>INVERSIONES HOTELERAS BUENAVENTURA S.A.S.</t>
        </is>
      </c>
      <c r="C313" s="55" t="n"/>
      <c r="D313" s="65" t="inlineStr">
        <is>
          <t>ADM</t>
        </is>
      </c>
      <c r="E313" s="65" t="n"/>
      <c r="F313" s="65" t="inlineStr">
        <is>
          <t>Agua</t>
        </is>
      </c>
      <c r="G313" s="65" t="n"/>
      <c r="H313" s="65" t="inlineStr">
        <is>
          <t>Fijo</t>
        </is>
      </c>
      <c r="I313" s="55" t="inlineStr">
        <is>
          <t xml:space="preserve">RECOBRO SERVICIOS PUBLICOS  DE CRAFT BUENAVENTURA  </t>
        </is>
      </c>
      <c r="J313" s="55" t="inlineStr">
        <is>
          <t>Buenaventura</t>
        </is>
      </c>
      <c r="K313" s="55" t="inlineStr">
        <is>
          <t>RCE6259</t>
        </is>
      </c>
      <c r="L313" s="63" t="n"/>
      <c r="M313" s="63" t="n"/>
      <c r="N313" s="63" t="n"/>
      <c r="O313" s="66" t="n">
        <v>484020</v>
      </c>
      <c r="P313" s="55" t="n">
        <v>0</v>
      </c>
      <c r="Q313" s="55" t="n">
        <v>0</v>
      </c>
      <c r="R313" s="65" t="n">
        <v>484020</v>
      </c>
      <c r="S313" s="65" t="inlineStr">
        <is>
          <t>abril 2025</t>
        </is>
      </c>
      <c r="T313" s="55" t="inlineStr">
        <is>
          <t>163</t>
        </is>
      </c>
      <c r="U313" s="63" t="n"/>
      <c r="V313" s="63" t="n"/>
      <c r="W313" s="55" t="n"/>
      <c r="X313" s="55" t="n"/>
      <c r="Y313" s="55" t="n"/>
      <c r="Z313" s="63" t="n"/>
    </row>
    <row r="314">
      <c r="A314" s="64" t="n">
        <v>311</v>
      </c>
      <c r="B314" s="55" t="inlineStr">
        <is>
          <t>BLUE DOORS KIU LUXURY SUITES SAS</t>
        </is>
      </c>
      <c r="C314" s="55" t="n"/>
      <c r="D314" s="65" t="inlineStr">
        <is>
          <t>ADM</t>
        </is>
      </c>
      <c r="E314" s="65" t="n"/>
      <c r="F314" s="65" t="inlineStr">
        <is>
          <t>Viagens E Estadias</t>
        </is>
      </c>
      <c r="G314" s="65" t="n"/>
      <c r="H314" s="65" t="inlineStr">
        <is>
          <t>Variable</t>
        </is>
      </c>
      <c r="I314" s="55" t="inlineStr">
        <is>
          <t>ALOJAMIENTO EN BOGOTA DIANA GRACIAS</t>
        </is>
      </c>
      <c r="J314" s="55" t="inlineStr">
        <is>
          <t>Transversal</t>
        </is>
      </c>
      <c r="K314" s="55" t="inlineStr">
        <is>
          <t>F10032925</t>
        </is>
      </c>
      <c r="L314" s="63" t="n"/>
      <c r="M314" s="63" t="n"/>
      <c r="N314" s="63" t="n"/>
      <c r="O314" s="66" t="n">
        <v>1689800</v>
      </c>
      <c r="P314" s="55" t="n">
        <v>0</v>
      </c>
      <c r="Q314" s="55" t="n">
        <v>0</v>
      </c>
      <c r="R314" s="65" t="n">
        <v>1689800</v>
      </c>
      <c r="S314" s="65" t="inlineStr">
        <is>
          <t>abril 2025</t>
        </is>
      </c>
      <c r="T314" s="55" t="inlineStr">
        <is>
          <t>5394</t>
        </is>
      </c>
      <c r="U314" s="63" t="n"/>
      <c r="V314" s="63" t="n"/>
      <c r="W314" s="55" t="n"/>
      <c r="X314" s="55" t="n"/>
      <c r="Y314" s="55" t="n"/>
      <c r="Z314" s="63" t="n"/>
    </row>
    <row r="315">
      <c r="A315" s="64" t="n">
        <v>312</v>
      </c>
      <c r="B315" s="55" t="inlineStr">
        <is>
          <t>ALBA MARINA TALERO PAEZ</t>
        </is>
      </c>
      <c r="C315" s="55" t="n"/>
      <c r="D315" s="65" t="inlineStr">
        <is>
          <t>ADM</t>
        </is>
      </c>
      <c r="E315" s="65" t="n"/>
      <c r="F315" s="65" t="inlineStr">
        <is>
          <t>Material De Escritorio</t>
        </is>
      </c>
      <c r="G315" s="65" t="n"/>
      <c r="H315" s="65" t="inlineStr">
        <is>
          <t>Variable</t>
        </is>
      </c>
      <c r="I315" s="55" t="inlineStr">
        <is>
          <t>COMPRA PAPEL STRECH ATENDER CARGA CLIENTE ROCKIT</t>
        </is>
      </c>
      <c r="J315" s="55" t="inlineStr">
        <is>
          <t>Aeropuerto</t>
        </is>
      </c>
      <c r="K315" s="55" t="inlineStr">
        <is>
          <t>ATM20400</t>
        </is>
      </c>
      <c r="L315" s="63" t="n"/>
      <c r="M315" s="63" t="n"/>
      <c r="N315" s="63" t="n"/>
      <c r="O315" s="66" t="n">
        <v>257040</v>
      </c>
      <c r="P315" s="55" t="n">
        <v>0</v>
      </c>
      <c r="Q315" s="55" t="n">
        <v>0</v>
      </c>
      <c r="R315" s="65" t="n">
        <v>257040</v>
      </c>
      <c r="S315" s="65" t="inlineStr">
        <is>
          <t>abril 2025</t>
        </is>
      </c>
      <c r="T315" s="55" t="inlineStr">
        <is>
          <t>4</t>
        </is>
      </c>
      <c r="U315" s="63" t="n"/>
      <c r="V315" s="63" t="n"/>
      <c r="W315" s="55" t="n"/>
      <c r="X315" s="55" t="n"/>
      <c r="Y315" s="55" t="n"/>
      <c r="Z315" s="63" t="n"/>
    </row>
    <row r="316">
      <c r="A316" s="64" t="n">
        <v>313</v>
      </c>
      <c r="B316" s="55" t="inlineStr">
        <is>
          <t>COMPAÑIA PAPELERA NACIONAL S.A.S</t>
        </is>
      </c>
      <c r="C316" s="55" t="n"/>
      <c r="D316" s="65" t="inlineStr">
        <is>
          <t>ADM</t>
        </is>
      </c>
      <c r="E316" s="65" t="n"/>
      <c r="F316" s="65" t="inlineStr">
        <is>
          <t>Material Copa/Cozinha</t>
        </is>
      </c>
      <c r="G316" s="65" t="n"/>
      <c r="H316" s="65" t="inlineStr">
        <is>
          <t>Variable</t>
        </is>
      </c>
      <c r="I316" s="55" t="inlineStr">
        <is>
          <t>PEDIDO ASEO Y CAFETERIA CRAFT CARTAGENA</t>
        </is>
      </c>
      <c r="J316" s="55" t="inlineStr">
        <is>
          <t>Cartagena</t>
        </is>
      </c>
      <c r="K316" s="55" t="inlineStr">
        <is>
          <t>CPFP208179</t>
        </is>
      </c>
      <c r="L316" s="63" t="n"/>
      <c r="M316" s="63" t="n"/>
      <c r="N316" s="63" t="n"/>
      <c r="O316" s="66" t="n">
        <v>854213</v>
      </c>
      <c r="P316" s="55" t="n">
        <v>0</v>
      </c>
      <c r="Q316" s="55" t="n">
        <v>0</v>
      </c>
      <c r="R316" s="65" t="n">
        <v>854213</v>
      </c>
      <c r="S316" s="65" t="inlineStr">
        <is>
          <t>abril 2025</t>
        </is>
      </c>
      <c r="T316" s="55" t="inlineStr">
        <is>
          <t>30</t>
        </is>
      </c>
      <c r="U316" s="63" t="n"/>
      <c r="V316" s="63" t="n"/>
      <c r="W316" s="55" t="n"/>
      <c r="X316" s="55" t="n"/>
      <c r="Y316" s="55" t="n"/>
      <c r="Z316" s="63" t="n"/>
    </row>
    <row r="317">
      <c r="A317" s="64" t="n">
        <v>314</v>
      </c>
      <c r="B317" s="55" t="inlineStr">
        <is>
          <t>PC QUICK SAS</t>
        </is>
      </c>
      <c r="C317" s="55" t="n"/>
      <c r="D317" s="65" t="inlineStr">
        <is>
          <t>IT</t>
        </is>
      </c>
      <c r="E317" s="65" t="n"/>
      <c r="F317" s="65" t="inlineStr">
        <is>
          <t>Insumos y perifericos</t>
        </is>
      </c>
      <c r="G317" s="65" t="n"/>
      <c r="H317" s="65" t="inlineStr">
        <is>
          <t>Variable</t>
        </is>
      </c>
      <c r="I317" s="55" t="inlineStr">
        <is>
          <t>2 MONITORES PARA RAFEAL DE SA Y JHON ESPINOSA</t>
        </is>
      </c>
      <c r="J317" s="55" t="inlineStr">
        <is>
          <t>Calle 100</t>
        </is>
      </c>
      <c r="K317" s="55" t="inlineStr">
        <is>
          <t>PFE10103</t>
        </is>
      </c>
      <c r="L317" s="63" t="n"/>
      <c r="M317" s="63" t="n"/>
      <c r="N317" s="63" t="n"/>
      <c r="O317" s="66" t="n">
        <v>744940</v>
      </c>
      <c r="P317" s="55" t="n">
        <v>0</v>
      </c>
      <c r="Q317" s="55" t="n">
        <v>0</v>
      </c>
      <c r="R317" s="65" t="n">
        <v>744940</v>
      </c>
      <c r="S317" s="65" t="inlineStr">
        <is>
          <t>abril 2025</t>
        </is>
      </c>
      <c r="T317" s="55" t="inlineStr">
        <is>
          <t>5421</t>
        </is>
      </c>
      <c r="U317" s="63" t="n"/>
      <c r="V317" s="63" t="n"/>
      <c r="W317" s="55" t="n"/>
      <c r="X317" s="55" t="n"/>
      <c r="Y317" s="55" t="n"/>
      <c r="Z317" s="63" t="n"/>
    </row>
    <row r="318">
      <c r="A318" s="64" t="n">
        <v>315</v>
      </c>
      <c r="B318" s="55" t="inlineStr">
        <is>
          <t>TECNOLOGIA INFORMATICA TECINF SAS</t>
        </is>
      </c>
      <c r="C318" s="55" t="n"/>
      <c r="D318" s="65" t="inlineStr">
        <is>
          <t>IT</t>
        </is>
      </c>
      <c r="E318" s="65" t="n"/>
      <c r="F318" s="65" t="inlineStr">
        <is>
          <t>Repositorio Veembackup</t>
        </is>
      </c>
      <c r="G318" s="65" t="n"/>
      <c r="H318" s="65" t="inlineStr">
        <is>
          <t>Fijo</t>
        </is>
      </c>
      <c r="I318" s="55" t="inlineStr">
        <is>
          <t>SERVICIOS VEAM BACKUP</t>
        </is>
      </c>
      <c r="J318" s="55" t="inlineStr">
        <is>
          <t>Transversal</t>
        </is>
      </c>
      <c r="K318" s="55" t="inlineStr">
        <is>
          <t>FEB26707</t>
        </is>
      </c>
      <c r="L318" s="63" t="n"/>
      <c r="M318" s="63" t="n"/>
      <c r="N318" s="63" t="n"/>
      <c r="O318" s="66" t="n">
        <v>2666664</v>
      </c>
      <c r="P318" s="55" t="n">
        <v>0</v>
      </c>
      <c r="Q318" s="55" t="n">
        <v>0</v>
      </c>
      <c r="R318" s="65" t="n">
        <v>2666664</v>
      </c>
      <c r="S318" s="65" t="inlineStr">
        <is>
          <t>abril 2025</t>
        </is>
      </c>
      <c r="T318" s="55" t="inlineStr">
        <is>
          <t>5422</t>
        </is>
      </c>
      <c r="U318" s="63" t="n"/>
      <c r="V318" s="63" t="n"/>
      <c r="W318" s="55" t="n"/>
      <c r="X318" s="55" t="n"/>
      <c r="Y318" s="55" t="n"/>
      <c r="Z318" s="63" t="n"/>
    </row>
    <row r="319">
      <c r="A319" s="64" t="n">
        <v>316</v>
      </c>
      <c r="B319" s="55" t="inlineStr">
        <is>
          <t>Henry de jesus Sarmiento Rodriguez</t>
        </is>
      </c>
      <c r="C319" s="55" t="n"/>
      <c r="D319" s="65" t="inlineStr">
        <is>
          <t>ADM</t>
        </is>
      </c>
      <c r="E319" s="65" t="n"/>
      <c r="F319" s="65" t="inlineStr">
        <is>
          <t>Conducao E Taxi</t>
        </is>
      </c>
      <c r="G319" s="65" t="n"/>
      <c r="H319" s="65" t="inlineStr">
        <is>
          <t>Variable</t>
        </is>
      </c>
      <c r="I319" s="55" t="inlineStr">
        <is>
          <t>SERVICIO TRANSPORTE COLABORADORES CRAFT EN BOGOTA</t>
        </is>
      </c>
      <c r="J319" s="55" t="inlineStr">
        <is>
          <t>Calle 100</t>
        </is>
      </c>
      <c r="K319" s="55" t="inlineStr">
        <is>
          <t>FE48</t>
        </is>
      </c>
      <c r="L319" s="63" t="n"/>
      <c r="M319" s="63" t="n"/>
      <c r="N319" s="63" t="n"/>
      <c r="O319" s="66" t="n">
        <v>2213000</v>
      </c>
      <c r="P319" s="55" t="n">
        <v>0</v>
      </c>
      <c r="Q319" s="55" t="n">
        <v>0</v>
      </c>
      <c r="R319" s="65" t="n">
        <v>2213000</v>
      </c>
      <c r="S319" s="65" t="inlineStr">
        <is>
          <t>abril 2025</t>
        </is>
      </c>
      <c r="T319" s="55" t="inlineStr">
        <is>
          <t>5423</t>
        </is>
      </c>
      <c r="U319" s="63" t="n"/>
      <c r="V319" s="63" t="n"/>
      <c r="W319" s="55" t="n"/>
      <c r="X319" s="55" t="n"/>
      <c r="Y319" s="55" t="n"/>
      <c r="Z319" s="63" t="n"/>
    </row>
    <row r="320">
      <c r="A320" s="64" t="n">
        <v>317</v>
      </c>
      <c r="B320" s="55" t="inlineStr">
        <is>
          <t>CLARO S.A.</t>
        </is>
      </c>
      <c r="C320" s="55" t="n"/>
      <c r="D320" s="65" t="inlineStr">
        <is>
          <t>IT</t>
        </is>
      </c>
      <c r="E320" s="65" t="n"/>
      <c r="F320" s="65" t="inlineStr">
        <is>
          <t>Internet oficinas</t>
        </is>
      </c>
      <c r="G320" s="65" t="n"/>
      <c r="H320" s="65" t="inlineStr">
        <is>
          <t>Fijo</t>
        </is>
      </c>
      <c r="I320" s="55" t="inlineStr">
        <is>
          <t>SERVICIO TV, INTERNET Y TELEFONIA CRAFT CALI</t>
        </is>
      </c>
      <c r="J320" s="55" t="inlineStr">
        <is>
          <t>Cali</t>
        </is>
      </c>
      <c r="K320" s="55" t="inlineStr">
        <is>
          <t>R1150163616</t>
        </is>
      </c>
      <c r="L320" s="63" t="n"/>
      <c r="M320" s="63" t="n"/>
      <c r="N320" s="63" t="n"/>
      <c r="O320" s="66" t="n">
        <v>170501</v>
      </c>
      <c r="P320" s="55" t="n">
        <v>0</v>
      </c>
      <c r="Q320" s="55" t="n">
        <v>0</v>
      </c>
      <c r="R320" s="65" t="n">
        <v>170501</v>
      </c>
      <c r="S320" s="65" t="inlineStr">
        <is>
          <t>mayo 2025</t>
        </is>
      </c>
      <c r="T320" s="55" t="inlineStr">
        <is>
          <t>2</t>
        </is>
      </c>
      <c r="U320" s="63" t="n"/>
      <c r="V320" s="63" t="n"/>
      <c r="W320" s="55" t="n"/>
      <c r="X320" s="55" t="n"/>
      <c r="Y320" s="55" t="n"/>
      <c r="Z320" s="63" t="n"/>
    </row>
    <row r="321">
      <c r="A321" s="64" t="n">
        <v>318</v>
      </c>
      <c r="B321" s="55" t="inlineStr">
        <is>
          <t>IFX NETWORKS COLOMBIA S.A.S.</t>
        </is>
      </c>
      <c r="C321" s="55" t="n"/>
      <c r="D321" s="65" t="inlineStr">
        <is>
          <t>IT</t>
        </is>
      </c>
      <c r="E321" s="65" t="n"/>
      <c r="F321" s="65" t="inlineStr">
        <is>
          <t>Internet oficinas</t>
        </is>
      </c>
      <c r="G321" s="65" t="n"/>
      <c r="H321" s="65" t="inlineStr">
        <is>
          <t>Fijo</t>
        </is>
      </c>
      <c r="I321" s="55" t="inlineStr">
        <is>
          <t>SERVICIO SD WAN</t>
        </is>
      </c>
      <c r="J321" s="55" t="inlineStr">
        <is>
          <t>Transversal</t>
        </is>
      </c>
      <c r="K321" s="55" t="inlineStr">
        <is>
          <t>IFXC460574</t>
        </is>
      </c>
      <c r="L321" s="63" t="n"/>
      <c r="M321" s="63" t="n"/>
      <c r="N321" s="63" t="n"/>
      <c r="O321" s="66" t="n">
        <v>3488538</v>
      </c>
      <c r="P321" s="55" t="n">
        <v>0</v>
      </c>
      <c r="Q321" s="55" t="n">
        <v>0</v>
      </c>
      <c r="R321" s="65" t="n">
        <v>3488538</v>
      </c>
      <c r="S321" s="65" t="inlineStr">
        <is>
          <t>mayo 2025</t>
        </is>
      </c>
      <c r="T321" s="55" t="inlineStr">
        <is>
          <t>2009</t>
        </is>
      </c>
      <c r="U321" s="63" t="n"/>
      <c r="V321" s="63" t="n"/>
      <c r="W321" s="55" t="n"/>
      <c r="X321" s="55" t="n"/>
      <c r="Y321" s="55" t="n"/>
      <c r="Z321" s="63" t="n"/>
    </row>
    <row r="322">
      <c r="A322" s="64" t="n">
        <v>319</v>
      </c>
      <c r="B322" s="55" t="inlineStr">
        <is>
          <t>EDIFICIO CAPITAL TOWERS PROPIEDAD HORIZONTAL</t>
        </is>
      </c>
      <c r="C322" s="55" t="n"/>
      <c r="D322" s="65" t="inlineStr">
        <is>
          <t>ADM</t>
        </is>
      </c>
      <c r="E322" s="65" t="n"/>
      <c r="F322" s="65" t="inlineStr">
        <is>
          <t>Parqueaderos</t>
        </is>
      </c>
      <c r="G322" s="65" t="n"/>
      <c r="H322" s="65" t="inlineStr">
        <is>
          <t>Fijo</t>
        </is>
      </c>
      <c r="I322" s="55" t="inlineStr">
        <is>
          <t>SERVICIO PARQUEADERO PATINETAS</t>
        </is>
      </c>
      <c r="J322" s="55" t="inlineStr">
        <is>
          <t>Calle 100</t>
        </is>
      </c>
      <c r="K322" s="55" t="inlineStr">
        <is>
          <t>FE10296</t>
        </is>
      </c>
      <c r="L322" s="63" t="n"/>
      <c r="M322" s="63" t="n"/>
      <c r="N322" s="63" t="n"/>
      <c r="O322" s="66" t="n">
        <v>312672</v>
      </c>
      <c r="P322" s="55" t="n">
        <v>0</v>
      </c>
      <c r="Q322" s="55" t="n">
        <v>0</v>
      </c>
      <c r="R322" s="65" t="n">
        <v>312672</v>
      </c>
      <c r="S322" s="65" t="inlineStr">
        <is>
          <t>mayo 2025</t>
        </is>
      </c>
      <c r="T322" s="55" t="inlineStr">
        <is>
          <t>2191</t>
        </is>
      </c>
      <c r="U322" s="63" t="n"/>
      <c r="V322" s="63" t="n"/>
      <c r="W322" s="55" t="n"/>
      <c r="X322" s="55" t="n"/>
      <c r="Y322" s="55" t="n"/>
      <c r="Z322" s="63" t="n"/>
    </row>
    <row r="323">
      <c r="A323" s="64" t="n">
        <v>320</v>
      </c>
      <c r="B323" s="55" t="inlineStr">
        <is>
          <t>MARVAL S.A.S.</t>
        </is>
      </c>
      <c r="C323" s="55" t="n"/>
      <c r="D323" s="65" t="inlineStr">
        <is>
          <t>ADM</t>
        </is>
      </c>
      <c r="E323" s="65" t="n"/>
      <c r="F323" s="65" t="inlineStr">
        <is>
          <t>Arriendos</t>
        </is>
      </c>
      <c r="G323" s="65" t="n"/>
      <c r="H323" s="65" t="inlineStr">
        <is>
          <t>Fijo</t>
        </is>
      </c>
      <c r="I323" s="55" t="inlineStr">
        <is>
          <t>CANON DE ARRENDAMIENTO OF CRAFT BARRANQUILLA</t>
        </is>
      </c>
      <c r="J323" s="55" t="inlineStr">
        <is>
          <t>Barranquilla</t>
        </is>
      </c>
      <c r="K323" s="55" t="inlineStr">
        <is>
          <t>MAVF511</t>
        </is>
      </c>
      <c r="L323" s="63" t="n"/>
      <c r="M323" s="63" t="n"/>
      <c r="N323" s="63" t="n"/>
      <c r="O323" s="66" t="n">
        <v>3685223</v>
      </c>
      <c r="P323" s="55" t="n">
        <v>0</v>
      </c>
      <c r="Q323" s="55" t="n">
        <v>0</v>
      </c>
      <c r="R323" s="65" t="n">
        <v>3685223</v>
      </c>
      <c r="S323" s="65" t="inlineStr">
        <is>
          <t>mayo 2025</t>
        </is>
      </c>
      <c r="T323" s="55" t="inlineStr">
        <is>
          <t>1</t>
        </is>
      </c>
      <c r="U323" s="63" t="n"/>
      <c r="V323" s="63" t="n"/>
      <c r="W323" s="55" t="n"/>
      <c r="X323" s="55" t="n"/>
      <c r="Y323" s="55" t="n"/>
      <c r="Z323" s="63" t="n"/>
    </row>
    <row r="324">
      <c r="A324" s="64" t="n">
        <v>321</v>
      </c>
      <c r="B324" s="55" t="inlineStr">
        <is>
          <t>SERVIDOMESTICAS SAS</t>
        </is>
      </c>
      <c r="C324" s="55" t="n"/>
      <c r="D324" s="65" t="inlineStr">
        <is>
          <t>ADM</t>
        </is>
      </c>
      <c r="E324" s="65" t="n"/>
      <c r="F324" s="65" t="inlineStr">
        <is>
          <t>Otros Gastos CASA LIMPIA PLANILLA AC OTROS</t>
        </is>
      </c>
      <c r="G324" s="65" t="n"/>
      <c r="H324" s="65" t="inlineStr">
        <is>
          <t>Fijo</t>
        </is>
      </c>
      <c r="I324" s="55" t="inlineStr">
        <is>
          <t>LIMPIEZA OFICINA SUCURSAL CRAFT MEDELLIN</t>
        </is>
      </c>
      <c r="J324" s="55" t="inlineStr">
        <is>
          <t>Medellín</t>
        </is>
      </c>
      <c r="K324" s="55" t="inlineStr">
        <is>
          <t>VP33229</t>
        </is>
      </c>
      <c r="L324" s="63" t="n"/>
      <c r="M324" s="63" t="n"/>
      <c r="N324" s="63" t="n"/>
      <c r="O324" s="66" t="n">
        <v>888650</v>
      </c>
      <c r="P324" s="55" t="n">
        <v>0</v>
      </c>
      <c r="Q324" s="55" t="n">
        <v>0</v>
      </c>
      <c r="R324" s="65" t="n">
        <v>888650</v>
      </c>
      <c r="S324" s="65" t="inlineStr">
        <is>
          <t>mayo 2025</t>
        </is>
      </c>
      <c r="T324" s="55" t="inlineStr">
        <is>
          <t>15</t>
        </is>
      </c>
      <c r="U324" s="63" t="n"/>
      <c r="V324" s="63" t="n"/>
      <c r="W324" s="55" t="n"/>
      <c r="X324" s="55" t="n"/>
      <c r="Y324" s="55" t="n"/>
      <c r="Z324" s="63" t="n"/>
    </row>
    <row r="325">
      <c r="A325" s="64" t="n">
        <v>322</v>
      </c>
      <c r="B325" s="55" t="inlineStr">
        <is>
          <t>HARDSOFT SOLUTIONS INTEGRAL SAS</t>
        </is>
      </c>
      <c r="C325" s="55" t="n"/>
      <c r="D325" s="65" t="inlineStr">
        <is>
          <t>IT</t>
        </is>
      </c>
      <c r="E325" s="65" t="n"/>
      <c r="F325" s="65" t="inlineStr">
        <is>
          <t>Conservacion Y Manutenimiento De Oficina</t>
        </is>
      </c>
      <c r="G325" s="65" t="n"/>
      <c r="H325" s="65" t="n"/>
      <c r="I325" s="55" t="inlineStr">
        <is>
          <t xml:space="preserve">MANTENIMIENTO IT EN CTG </t>
        </is>
      </c>
      <c r="J325" s="55" t="inlineStr">
        <is>
          <t>Cartagena</t>
        </is>
      </c>
      <c r="K325" s="55" t="inlineStr">
        <is>
          <t>HS651</t>
        </is>
      </c>
      <c r="L325" s="63" t="n"/>
      <c r="M325" s="63" t="n"/>
      <c r="N325" s="63" t="n"/>
      <c r="O325" s="66" t="n">
        <v>581938</v>
      </c>
      <c r="P325" s="55" t="n">
        <v>0</v>
      </c>
      <c r="Q325" s="55" t="n">
        <v>0</v>
      </c>
      <c r="R325" s="65" t="n">
        <v>581938</v>
      </c>
      <c r="S325" s="65" t="inlineStr">
        <is>
          <t>mayo 2025</t>
        </is>
      </c>
      <c r="T325" s="55" t="inlineStr">
        <is>
          <t>6</t>
        </is>
      </c>
      <c r="U325" s="63" t="n"/>
      <c r="V325" s="63" t="n"/>
      <c r="W325" s="55" t="n"/>
      <c r="X325" s="55" t="n"/>
      <c r="Y325" s="55" t="n"/>
      <c r="Z325" s="63" t="n"/>
    </row>
    <row r="326">
      <c r="A326" s="64" t="n">
        <v>323</v>
      </c>
      <c r="B326" s="55" t="inlineStr">
        <is>
          <t>EDIFICIO TORRES DEL ATLANTICO</t>
        </is>
      </c>
      <c r="C326" s="55" t="n"/>
      <c r="D326" s="65" t="inlineStr">
        <is>
          <t>ADM</t>
        </is>
      </c>
      <c r="E326" s="65" t="n"/>
      <c r="F326" s="65" t="inlineStr">
        <is>
          <t>Administración</t>
        </is>
      </c>
      <c r="G326" s="65" t="n"/>
      <c r="H326" s="65" t="inlineStr">
        <is>
          <t>Fijo</t>
        </is>
      </c>
      <c r="I326" s="55" t="inlineStr">
        <is>
          <t>CUOTA DE ADMINISTRACION CRAFT BARRANQUILLA</t>
        </is>
      </c>
      <c r="J326" s="55" t="inlineStr">
        <is>
          <t>Barranquilla</t>
        </is>
      </c>
      <c r="K326" s="55" t="inlineStr">
        <is>
          <t>TDA8104</t>
        </is>
      </c>
      <c r="L326" s="63" t="n"/>
      <c r="M326" s="63" t="n"/>
      <c r="N326" s="63" t="n"/>
      <c r="O326" s="66" t="n">
        <v>860510</v>
      </c>
      <c r="P326" s="55" t="n">
        <v>0</v>
      </c>
      <c r="Q326" s="55" t="n">
        <v>0</v>
      </c>
      <c r="R326" s="65" t="n">
        <v>860510</v>
      </c>
      <c r="S326" s="65" t="inlineStr">
        <is>
          <t>mayo 2025</t>
        </is>
      </c>
      <c r="T326" s="55" t="inlineStr">
        <is>
          <t>2</t>
        </is>
      </c>
      <c r="U326" s="63" t="n"/>
      <c r="V326" s="63" t="n"/>
      <c r="W326" s="55" t="n"/>
      <c r="X326" s="55" t="n"/>
      <c r="Y326" s="55" t="n"/>
      <c r="Z326" s="63" t="n"/>
    </row>
    <row r="327">
      <c r="A327" s="64" t="n">
        <v>324</v>
      </c>
      <c r="B327" s="55" t="inlineStr">
        <is>
          <t>COMPAÑIA PAPELERA NACIONAL S.A.S</t>
        </is>
      </c>
      <c r="C327" s="55" t="n"/>
      <c r="D327" s="65" t="inlineStr">
        <is>
          <t>ADM</t>
        </is>
      </c>
      <c r="E327" s="65" t="n"/>
      <c r="F327" s="65" t="inlineStr">
        <is>
          <t>Material Copa/Cozinha</t>
        </is>
      </c>
      <c r="G327" s="65" t="n"/>
      <c r="H327" s="65" t="inlineStr">
        <is>
          <t>Variable</t>
        </is>
      </c>
      <c r="I327" s="55" t="inlineStr">
        <is>
          <t>PEDIDO ASEO CRAFT AEROPUERTO</t>
        </is>
      </c>
      <c r="J327" s="55" t="inlineStr">
        <is>
          <t>Aeropuerto</t>
        </is>
      </c>
      <c r="K327" s="55" t="inlineStr">
        <is>
          <t>CPFP209986</t>
        </is>
      </c>
      <c r="L327" s="63" t="n"/>
      <c r="M327" s="63" t="n"/>
      <c r="N327" s="63" t="n"/>
      <c r="O327" s="66" t="n">
        <v>214671</v>
      </c>
      <c r="P327" s="55" t="n">
        <v>0</v>
      </c>
      <c r="Q327" s="55" t="n">
        <v>0</v>
      </c>
      <c r="R327" s="65" t="n">
        <v>214671</v>
      </c>
      <c r="S327" s="65" t="inlineStr">
        <is>
          <t>mayo 2025</t>
        </is>
      </c>
      <c r="T327" s="55" t="inlineStr">
        <is>
          <t>1</t>
        </is>
      </c>
      <c r="U327" s="63" t="n"/>
      <c r="V327" s="63" t="n"/>
      <c r="W327" s="55" t="n"/>
      <c r="X327" s="55" t="n"/>
      <c r="Y327" s="55" t="n"/>
      <c r="Z327" s="63" t="n"/>
    </row>
    <row r="328">
      <c r="A328" s="64" t="n">
        <v>325</v>
      </c>
      <c r="B328" s="55" t="inlineStr">
        <is>
          <t>COMPAÑIA PAPELERA NACIONAL S.A.S</t>
        </is>
      </c>
      <c r="C328" s="55" t="n"/>
      <c r="D328" s="65" t="inlineStr">
        <is>
          <t>ADM</t>
        </is>
      </c>
      <c r="E328" s="65" t="n"/>
      <c r="F328" s="65" t="inlineStr">
        <is>
          <t>Material Copa/Cozinha</t>
        </is>
      </c>
      <c r="G328" s="65" t="n"/>
      <c r="H328" s="65" t="inlineStr">
        <is>
          <t>Variable</t>
        </is>
      </c>
      <c r="I328" s="55" t="inlineStr">
        <is>
          <t>PEDIDO CAFETERIA CRAFT AEROPUERTO</t>
        </is>
      </c>
      <c r="J328" s="55" t="inlineStr">
        <is>
          <t>Aeropuerto</t>
        </is>
      </c>
      <c r="K328" s="55" t="inlineStr">
        <is>
          <t>CPFP209985</t>
        </is>
      </c>
      <c r="L328" s="63" t="n"/>
      <c r="M328" s="63" t="n"/>
      <c r="N328" s="63" t="n"/>
      <c r="O328" s="66" t="n">
        <v>292313</v>
      </c>
      <c r="P328" s="55" t="n">
        <v>0</v>
      </c>
      <c r="Q328" s="55" t="n">
        <v>0</v>
      </c>
      <c r="R328" s="65" t="n">
        <v>292313</v>
      </c>
      <c r="S328" s="65" t="inlineStr">
        <is>
          <t>mayo 2025</t>
        </is>
      </c>
      <c r="T328" s="55" t="inlineStr">
        <is>
          <t>2</t>
        </is>
      </c>
      <c r="U328" s="63" t="n"/>
      <c r="V328" s="63" t="n"/>
      <c r="W328" s="55" t="n"/>
      <c r="X328" s="55" t="n"/>
      <c r="Y328" s="55" t="n"/>
      <c r="Z328" s="63" t="n"/>
    </row>
    <row r="329">
      <c r="A329" s="64" t="n">
        <v>326</v>
      </c>
      <c r="B329" s="55" t="inlineStr">
        <is>
          <t>EDIFICIO CAPITAL TOWERS PROPIEDAD HORIZONTAL</t>
        </is>
      </c>
      <c r="C329" s="55" t="n"/>
      <c r="D329" s="65" t="inlineStr">
        <is>
          <t>ADM</t>
        </is>
      </c>
      <c r="E329" s="65" t="n"/>
      <c r="F329" s="65" t="inlineStr">
        <is>
          <t>Bodegas</t>
        </is>
      </c>
      <c r="G329" s="65" t="n"/>
      <c r="H329" s="65" t="inlineStr">
        <is>
          <t>Fijo</t>
        </is>
      </c>
      <c r="I329" s="55" t="inlineStr">
        <is>
          <t>BODEGAS Y DEPOSITOS PISO 21 CRAFT BOGOTA</t>
        </is>
      </c>
      <c r="J329" s="55" t="inlineStr">
        <is>
          <t>Transversal</t>
        </is>
      </c>
      <c r="K329" s="55" t="inlineStr">
        <is>
          <t>FE10295</t>
        </is>
      </c>
      <c r="L329" s="63" t="n"/>
      <c r="M329" s="63" t="n"/>
      <c r="N329" s="63" t="n"/>
      <c r="O329" s="66" t="n">
        <v>1372245</v>
      </c>
      <c r="P329" s="55" t="n">
        <v>0</v>
      </c>
      <c r="Q329" s="55" t="n">
        <v>0</v>
      </c>
      <c r="R329" s="65" t="n">
        <v>1372245</v>
      </c>
      <c r="S329" s="65" t="inlineStr">
        <is>
          <t>mayo 2025</t>
        </is>
      </c>
      <c r="T329" s="55" t="inlineStr">
        <is>
          <t>687</t>
        </is>
      </c>
      <c r="U329" s="63" t="n"/>
      <c r="V329" s="63" t="n"/>
      <c r="W329" s="55" t="n"/>
      <c r="X329" s="55" t="n"/>
      <c r="Y329" s="55" t="n"/>
      <c r="Z329" s="63" t="n"/>
    </row>
    <row r="330">
      <c r="A330" s="64" t="n">
        <v>327</v>
      </c>
      <c r="B330" s="55" t="inlineStr">
        <is>
          <t>EDIFICIO CAPITAL TOWERS PROPIEDAD HORIZONTAL</t>
        </is>
      </c>
      <c r="C330" s="55" t="n"/>
      <c r="D330" s="65" t="inlineStr">
        <is>
          <t>ADM</t>
        </is>
      </c>
      <c r="E330" s="65" t="n"/>
      <c r="F330" s="65" t="inlineStr">
        <is>
          <t>Administración</t>
        </is>
      </c>
      <c r="G330" s="65" t="n"/>
      <c r="H330" s="65" t="inlineStr">
        <is>
          <t>Fijo</t>
        </is>
      </c>
      <c r="I330" s="55" t="inlineStr">
        <is>
          <t>CUOTA DE ADMINISTRACION TORRE 1 CRAFT BOGOTA</t>
        </is>
      </c>
      <c r="J330" s="55" t="inlineStr">
        <is>
          <t>Calle 100</t>
        </is>
      </c>
      <c r="K330" s="55" t="inlineStr">
        <is>
          <t>FE10266</t>
        </is>
      </c>
      <c r="L330" s="63" t="n"/>
      <c r="M330" s="63" t="n"/>
      <c r="N330" s="63" t="n"/>
      <c r="O330" s="66" t="n">
        <v>5750418</v>
      </c>
      <c r="P330" s="55" t="n">
        <v>0</v>
      </c>
      <c r="Q330" s="55" t="n">
        <v>0</v>
      </c>
      <c r="R330" s="65" t="n">
        <v>5750418</v>
      </c>
      <c r="S330" s="65" t="inlineStr">
        <is>
          <t>mayo 2025</t>
        </is>
      </c>
      <c r="T330" s="55" t="inlineStr">
        <is>
          <t>691</t>
        </is>
      </c>
      <c r="U330" s="63" t="n"/>
      <c r="V330" s="63" t="n"/>
      <c r="W330" s="55" t="n"/>
      <c r="X330" s="55" t="n"/>
      <c r="Y330" s="55" t="n"/>
      <c r="Z330" s="63" t="n"/>
    </row>
    <row r="331">
      <c r="A331" s="64" t="n">
        <v>328</v>
      </c>
      <c r="B331" s="55" t="inlineStr">
        <is>
          <t>PALAN SOCIEDAD POR ACCIONES SIMPLIFICADA</t>
        </is>
      </c>
      <c r="C331" s="55" t="n"/>
      <c r="D331" s="65" t="inlineStr">
        <is>
          <t>ADM</t>
        </is>
      </c>
      <c r="E331" s="65" t="n"/>
      <c r="F331" s="65" t="inlineStr">
        <is>
          <t>Arriendos</t>
        </is>
      </c>
      <c r="G331" s="65" t="n"/>
      <c r="H331" s="65" t="inlineStr">
        <is>
          <t>Fijo</t>
        </is>
      </c>
      <c r="I331" s="55" t="inlineStr">
        <is>
          <t>CANON ARRENDAMIENTO OF 802 SUC CRAFT BOGOTA</t>
        </is>
      </c>
      <c r="J331" s="55" t="inlineStr">
        <is>
          <t>Calle 100</t>
        </is>
      </c>
      <c r="K331" s="55" t="inlineStr">
        <is>
          <t>FE288</t>
        </is>
      </c>
      <c r="L331" s="63" t="n"/>
      <c r="M331" s="63" t="n"/>
      <c r="N331" s="63" t="n"/>
      <c r="O331" s="66" t="n">
        <v>28741955</v>
      </c>
      <c r="P331" s="55" t="n">
        <v>0</v>
      </c>
      <c r="Q331" s="55" t="n">
        <v>0</v>
      </c>
      <c r="R331" s="65" t="n">
        <v>28741955</v>
      </c>
      <c r="S331" s="65" t="inlineStr">
        <is>
          <t>mayo 2025</t>
        </is>
      </c>
      <c r="T331" s="55" t="inlineStr">
        <is>
          <t>692</t>
        </is>
      </c>
      <c r="U331" s="63" t="n"/>
      <c r="V331" s="63" t="n"/>
      <c r="W331" s="55" t="n"/>
      <c r="X331" s="55" t="n"/>
      <c r="Y331" s="55" t="n"/>
      <c r="Z331" s="63" t="n"/>
    </row>
    <row r="332">
      <c r="A332" s="64" t="n">
        <v>329</v>
      </c>
      <c r="B332" s="55" t="inlineStr">
        <is>
          <t>JCO INVERSIONES S.A.S</t>
        </is>
      </c>
      <c r="C332" s="55" t="n"/>
      <c r="D332" s="65" t="inlineStr">
        <is>
          <t>ADM</t>
        </is>
      </c>
      <c r="E332" s="65" t="n"/>
      <c r="F332" s="65" t="inlineStr">
        <is>
          <t>Parqueaderos</t>
        </is>
      </c>
      <c r="G332" s="65" t="n"/>
      <c r="H332" s="65" t="inlineStr">
        <is>
          <t>Fijo</t>
        </is>
      </c>
      <c r="I332" s="55" t="inlineStr">
        <is>
          <t>CANON ARRENDAMIENTO 2 ESPACIOS DE PARQUEADERO CRAFT BOGOTA</t>
        </is>
      </c>
      <c r="J332" s="55" t="inlineStr">
        <is>
          <t>Calle 100</t>
        </is>
      </c>
      <c r="K332" s="55" t="inlineStr">
        <is>
          <t>700280</t>
        </is>
      </c>
      <c r="L332" s="63" t="n"/>
      <c r="M332" s="63" t="n"/>
      <c r="N332" s="63" t="n"/>
      <c r="O332" s="66" t="n">
        <v>748176</v>
      </c>
      <c r="P332" s="55" t="n">
        <v>0</v>
      </c>
      <c r="Q332" s="55" t="n">
        <v>0</v>
      </c>
      <c r="R332" s="65" t="n">
        <v>748176</v>
      </c>
      <c r="S332" s="65" t="inlineStr">
        <is>
          <t>mayo 2025</t>
        </is>
      </c>
      <c r="T332" s="55" t="inlineStr">
        <is>
          <t>694</t>
        </is>
      </c>
      <c r="U332" s="63" t="n"/>
      <c r="V332" s="63" t="n"/>
      <c r="W332" s="55" t="n"/>
      <c r="X332" s="55" t="n"/>
      <c r="Y332" s="55" t="n"/>
      <c r="Z332" s="63" t="n"/>
    </row>
    <row r="333">
      <c r="A333" s="64" t="n">
        <v>330</v>
      </c>
      <c r="B333" s="55" t="inlineStr">
        <is>
          <t>CONTRATOS Y FIANZAS DE ARRENDAMIENTO S.A.S.</t>
        </is>
      </c>
      <c r="C333" s="55" t="n"/>
      <c r="D333" s="65" t="inlineStr">
        <is>
          <t>ADM</t>
        </is>
      </c>
      <c r="E333" s="65" t="n"/>
      <c r="F333" s="65" t="inlineStr">
        <is>
          <t>Arriendos</t>
        </is>
      </c>
      <c r="G333" s="65" t="n"/>
      <c r="H333" s="65" t="inlineStr">
        <is>
          <t>Fijo</t>
        </is>
      </c>
      <c r="I333" s="55" t="inlineStr">
        <is>
          <t>CANON DE ARRENDAMIENTO CRAFT MEDELLIN</t>
        </is>
      </c>
      <c r="J333" s="55" t="inlineStr">
        <is>
          <t>Medellín</t>
        </is>
      </c>
      <c r="K333" s="55" t="inlineStr">
        <is>
          <t>FE583632</t>
        </is>
      </c>
      <c r="L333" s="63" t="n"/>
      <c r="M333" s="63" t="n"/>
      <c r="N333" s="63" t="n"/>
      <c r="O333" s="66" t="n">
        <v>7090363</v>
      </c>
      <c r="P333" s="55" t="n">
        <v>0</v>
      </c>
      <c r="Q333" s="55" t="n">
        <v>0</v>
      </c>
      <c r="R333" s="65" t="n">
        <v>7090363</v>
      </c>
      <c r="S333" s="65" t="inlineStr">
        <is>
          <t>mayo 2025</t>
        </is>
      </c>
      <c r="T333" s="55" t="inlineStr">
        <is>
          <t>16</t>
        </is>
      </c>
      <c r="U333" s="63" t="n"/>
      <c r="V333" s="63" t="n"/>
      <c r="W333" s="55" t="n"/>
      <c r="X333" s="55" t="n"/>
      <c r="Y333" s="55" t="n"/>
      <c r="Z333" s="63" t="n"/>
    </row>
    <row r="334">
      <c r="A334" s="64" t="n">
        <v>331</v>
      </c>
      <c r="B334" s="55" t="inlineStr">
        <is>
          <t>LI STORAGE SAS</t>
        </is>
      </c>
      <c r="C334" s="55" t="n"/>
      <c r="D334" s="65" t="inlineStr">
        <is>
          <t>ADM</t>
        </is>
      </c>
      <c r="E334" s="65" t="n"/>
      <c r="F334" s="65" t="inlineStr">
        <is>
          <t>Bodegas</t>
        </is>
      </c>
      <c r="G334" s="65" t="n"/>
      <c r="H334" s="65" t="inlineStr">
        <is>
          <t>Fijo</t>
        </is>
      </c>
      <c r="I334" s="55" t="inlineStr">
        <is>
          <t>ALMACENAMIENTO EN BODEGA  205 CRAFT BOGOTA</t>
        </is>
      </c>
      <c r="J334" s="55" t="inlineStr">
        <is>
          <t>Transversal</t>
        </is>
      </c>
      <c r="K334" s="55" t="inlineStr">
        <is>
          <t>FE5294</t>
        </is>
      </c>
      <c r="L334" s="63" t="n"/>
      <c r="M334" s="63" t="n"/>
      <c r="N334" s="63" t="n"/>
      <c r="O334" s="66" t="n">
        <v>697697</v>
      </c>
      <c r="P334" s="55" t="n">
        <v>0</v>
      </c>
      <c r="Q334" s="55" t="n">
        <v>0</v>
      </c>
      <c r="R334" s="65" t="n">
        <v>697697</v>
      </c>
      <c r="S334" s="65" t="inlineStr">
        <is>
          <t>mayo 2025</t>
        </is>
      </c>
      <c r="T334" s="55" t="inlineStr">
        <is>
          <t>736</t>
        </is>
      </c>
      <c r="U334" s="63" t="n"/>
      <c r="V334" s="63" t="n"/>
      <c r="W334" s="55" t="n"/>
      <c r="X334" s="55" t="n"/>
      <c r="Y334" s="55" t="n"/>
      <c r="Z334" s="63" t="n"/>
    </row>
    <row r="335">
      <c r="A335" s="64" t="n">
        <v>332</v>
      </c>
      <c r="B335" s="55" t="inlineStr">
        <is>
          <t>TRANS INTERNATIONAL COURIER S.A.S</t>
        </is>
      </c>
      <c r="C335" s="55" t="n"/>
      <c r="D335" s="65" t="inlineStr">
        <is>
          <t>ADM</t>
        </is>
      </c>
      <c r="E335" s="65" t="n"/>
      <c r="F335" s="65" t="inlineStr">
        <is>
          <t>Malote</t>
        </is>
      </c>
      <c r="G335" s="65" t="n"/>
      <c r="H335" s="65" t="inlineStr">
        <is>
          <t>Variable</t>
        </is>
      </c>
      <c r="I335" s="55" t="inlineStr">
        <is>
          <t>SERVICIO DE MENSAJERIA NACIONAL Y URBANA CRAFT COLOMBIA</t>
        </is>
      </c>
      <c r="J335" s="55" t="inlineStr">
        <is>
          <t>Transversal</t>
        </is>
      </c>
      <c r="K335" s="55" t="inlineStr">
        <is>
          <t>TIC11943</t>
        </is>
      </c>
      <c r="L335" s="63" t="n"/>
      <c r="M335" s="63" t="n"/>
      <c r="N335" s="63" t="n"/>
      <c r="O335" s="66" t="n">
        <v>798797</v>
      </c>
      <c r="P335" s="55" t="n">
        <v>0</v>
      </c>
      <c r="Q335" s="55" t="n">
        <v>0</v>
      </c>
      <c r="R335" s="65" t="n">
        <v>798797</v>
      </c>
      <c r="S335" s="65" t="inlineStr">
        <is>
          <t>mayo 2025</t>
        </is>
      </c>
      <c r="T335" s="55" t="inlineStr">
        <is>
          <t>2077</t>
        </is>
      </c>
      <c r="U335" s="63" t="n"/>
      <c r="V335" s="63" t="n"/>
      <c r="W335" s="55" t="n"/>
      <c r="X335" s="55" t="n"/>
      <c r="Y335" s="55" t="n"/>
      <c r="Z335" s="63" t="n"/>
    </row>
    <row r="336">
      <c r="A336" s="64" t="n">
        <v>333</v>
      </c>
      <c r="B336" s="55" t="inlineStr">
        <is>
          <t>CLARO S.A.</t>
        </is>
      </c>
      <c r="C336" s="55" t="n"/>
      <c r="D336" s="65" t="inlineStr">
        <is>
          <t>IT</t>
        </is>
      </c>
      <c r="E336" s="65" t="n"/>
      <c r="F336" s="65" t="inlineStr">
        <is>
          <t>Internet oficinas</t>
        </is>
      </c>
      <c r="G336" s="65" t="n"/>
      <c r="H336" s="65" t="inlineStr">
        <is>
          <t>Fijo</t>
        </is>
      </c>
      <c r="I336" s="55" t="inlineStr">
        <is>
          <t>INTERNET EN BUN Y CTG</t>
        </is>
      </c>
      <c r="J336" s="55" t="inlineStr">
        <is>
          <t>Puertos</t>
        </is>
      </c>
      <c r="K336" s="55" t="inlineStr">
        <is>
          <t>3292605840</t>
        </is>
      </c>
      <c r="L336" s="63" t="n"/>
      <c r="M336" s="63" t="n"/>
      <c r="N336" s="63" t="n"/>
      <c r="O336" s="66" t="n">
        <v>585411</v>
      </c>
      <c r="P336" s="55" t="n">
        <v>0</v>
      </c>
      <c r="Q336" s="55" t="n">
        <v>0</v>
      </c>
      <c r="R336" s="65" t="n">
        <v>585411</v>
      </c>
      <c r="S336" s="65" t="inlineStr">
        <is>
          <t>mayo 2025</t>
        </is>
      </c>
      <c r="T336" s="55" t="inlineStr">
        <is>
          <t>15</t>
        </is>
      </c>
      <c r="U336" s="63" t="n"/>
      <c r="V336" s="63" t="n"/>
      <c r="W336" s="55" t="n"/>
      <c r="X336" s="55" t="n"/>
      <c r="Y336" s="55" t="n"/>
      <c r="Z336" s="63" t="n"/>
    </row>
    <row r="337">
      <c r="A337" s="64" t="n">
        <v>334</v>
      </c>
      <c r="B337" s="55" t="inlineStr">
        <is>
          <t>CLARO S.A.</t>
        </is>
      </c>
      <c r="C337" s="55" t="n"/>
      <c r="D337" s="65" t="inlineStr">
        <is>
          <t>IT</t>
        </is>
      </c>
      <c r="E337" s="65" t="n"/>
      <c r="F337" s="65" t="inlineStr">
        <is>
          <t>Internet oficinas</t>
        </is>
      </c>
      <c r="G337" s="65" t="n"/>
      <c r="H337" s="65" t="inlineStr">
        <is>
          <t>Fijo</t>
        </is>
      </c>
      <c r="I337" s="55" t="inlineStr">
        <is>
          <t>SERVICIO INTERNET Y TELEFONIA CRAFT BARRANQUILLA</t>
        </is>
      </c>
      <c r="J337" s="55" t="inlineStr">
        <is>
          <t>Barranquilla</t>
        </is>
      </c>
      <c r="K337" s="55" t="inlineStr">
        <is>
          <t>R1149616162</t>
        </is>
      </c>
      <c r="L337" s="63" t="n"/>
      <c r="M337" s="63" t="n"/>
      <c r="N337" s="63" t="n"/>
      <c r="O337" s="66" t="n">
        <v>132985</v>
      </c>
      <c r="P337" s="55" t="n">
        <v>0</v>
      </c>
      <c r="Q337" s="55" t="n">
        <v>0</v>
      </c>
      <c r="R337" s="65" t="n">
        <v>132985</v>
      </c>
      <c r="S337" s="65" t="inlineStr">
        <is>
          <t>mayo 2025</t>
        </is>
      </c>
      <c r="T337" s="55" t="inlineStr">
        <is>
          <t>3</t>
        </is>
      </c>
      <c r="U337" s="63" t="n"/>
      <c r="V337" s="63" t="n"/>
      <c r="W337" s="55" t="n"/>
      <c r="X337" s="55" t="n"/>
      <c r="Y337" s="55" t="n"/>
      <c r="Z337" s="63" t="n"/>
    </row>
    <row r="338">
      <c r="A338" s="64" t="n">
        <v>335</v>
      </c>
      <c r="B338" s="55" t="inlineStr">
        <is>
          <t>FUNDACION UN TECHO PARA MI PAIS COLOMBIA</t>
        </is>
      </c>
      <c r="C338" s="55" t="n"/>
      <c r="D338" s="65" t="inlineStr">
        <is>
          <t>ADM</t>
        </is>
      </c>
      <c r="E338" s="65" t="n"/>
      <c r="F338" s="65" t="inlineStr">
        <is>
          <t>Fundación Techo para mi país</t>
        </is>
      </c>
      <c r="G338" s="65" t="n"/>
      <c r="H338" s="65" t="inlineStr">
        <is>
          <t>Fijo</t>
        </is>
      </c>
      <c r="I338" s="55" t="inlineStr">
        <is>
          <t>DONACION POR TRABAJOS ASOCIADOS CON LA RAZON SOCIAL DE LA FUNDACION</t>
        </is>
      </c>
      <c r="J338" s="55" t="inlineStr">
        <is>
          <t>Transversal</t>
        </is>
      </c>
      <c r="K338" s="55" t="inlineStr">
        <is>
          <t>FS127</t>
        </is>
      </c>
      <c r="L338" s="63" t="n"/>
      <c r="M338" s="63" t="n"/>
      <c r="N338" s="63" t="n"/>
      <c r="O338" s="66" t="n">
        <v>200000</v>
      </c>
      <c r="P338" s="55" t="n">
        <v>0</v>
      </c>
      <c r="Q338" s="55" t="n">
        <v>0</v>
      </c>
      <c r="R338" s="65" t="n">
        <v>200000</v>
      </c>
      <c r="S338" s="65" t="inlineStr">
        <is>
          <t>mayo 2025</t>
        </is>
      </c>
      <c r="T338" s="55" t="inlineStr">
        <is>
          <t>2081</t>
        </is>
      </c>
      <c r="U338" s="63" t="n"/>
      <c r="V338" s="63" t="n"/>
      <c r="W338" s="55" t="n"/>
      <c r="X338" s="55" t="n"/>
      <c r="Y338" s="55" t="n"/>
      <c r="Z338" s="63" t="n"/>
    </row>
    <row r="339">
      <c r="A339" s="64" t="n">
        <v>336</v>
      </c>
      <c r="B339" s="55" t="inlineStr">
        <is>
          <t>SUMAR INVERSIONES Y PROYECTOS S.A.S.</t>
        </is>
      </c>
      <c r="C339" s="55" t="n"/>
      <c r="D339" s="65" t="inlineStr">
        <is>
          <t>ADM</t>
        </is>
      </c>
      <c r="E339" s="65" t="n"/>
      <c r="F339" s="65" t="inlineStr">
        <is>
          <t>Arriendos</t>
        </is>
      </c>
      <c r="G339" s="65" t="n"/>
      <c r="H339" s="65" t="inlineStr">
        <is>
          <t>Fijo</t>
        </is>
      </c>
      <c r="I339" s="55" t="inlineStr">
        <is>
          <t>CANON DE ARRENDAMIENTO Y ADMON CRAFT CALI</t>
        </is>
      </c>
      <c r="J339" s="55" t="inlineStr">
        <is>
          <t>Cali</t>
        </is>
      </c>
      <c r="K339" s="55" t="inlineStr">
        <is>
          <t>FESU265</t>
        </is>
      </c>
      <c r="L339" s="63" t="n"/>
      <c r="M339" s="63" t="n"/>
      <c r="N339" s="63" t="n"/>
      <c r="O339" s="66" t="n">
        <v>5310474</v>
      </c>
      <c r="P339" s="55" t="n">
        <v>0</v>
      </c>
      <c r="Q339" s="55" t="n">
        <v>0</v>
      </c>
      <c r="R339" s="65" t="n">
        <v>5310474</v>
      </c>
      <c r="S339" s="65" t="inlineStr">
        <is>
          <t>mayo 2025</t>
        </is>
      </c>
      <c r="T339" s="55" t="inlineStr">
        <is>
          <t>1</t>
        </is>
      </c>
      <c r="U339" s="63" t="n"/>
      <c r="V339" s="63" t="n"/>
      <c r="W339" s="55" t="n"/>
      <c r="X339" s="55" t="n"/>
      <c r="Y339" s="55" t="n"/>
      <c r="Z339" s="63" t="n"/>
    </row>
    <row r="340">
      <c r="A340" s="64" t="n">
        <v>337</v>
      </c>
      <c r="B340" s="55" t="inlineStr">
        <is>
          <t>EMCALI</t>
        </is>
      </c>
      <c r="C340" s="55" t="n"/>
      <c r="D340" s="65" t="inlineStr">
        <is>
          <t>ADM</t>
        </is>
      </c>
      <c r="E340" s="65" t="n"/>
      <c r="F340" s="65" t="inlineStr">
        <is>
          <t>Agua</t>
        </is>
      </c>
      <c r="G340" s="65" t="n"/>
      <c r="H340" s="65" t="inlineStr">
        <is>
          <t>Fijo</t>
        </is>
      </c>
      <c r="I340" s="55" t="inlineStr">
        <is>
          <t>SERVICIOS PUBLICOS CRAFT CALI</t>
        </is>
      </c>
      <c r="J340" s="55" t="inlineStr">
        <is>
          <t>Cali</t>
        </is>
      </c>
      <c r="K340" s="55" t="inlineStr">
        <is>
          <t>14961006</t>
        </is>
      </c>
      <c r="L340" s="63" t="n"/>
      <c r="M340" s="63" t="n"/>
      <c r="N340" s="63" t="n"/>
      <c r="O340" s="66" t="n">
        <v>465250</v>
      </c>
      <c r="P340" s="55" t="n">
        <v>0</v>
      </c>
      <c r="Q340" s="55" t="n">
        <v>0</v>
      </c>
      <c r="R340" s="65" t="n">
        <v>465250</v>
      </c>
      <c r="S340" s="65" t="inlineStr">
        <is>
          <t>mayo 2025</t>
        </is>
      </c>
      <c r="T340" s="55" t="inlineStr">
        <is>
          <t>3</t>
        </is>
      </c>
      <c r="U340" s="63" t="n"/>
      <c r="V340" s="63" t="n"/>
      <c r="W340" s="55" t="n"/>
      <c r="X340" s="55" t="n"/>
      <c r="Y340" s="55" t="n"/>
      <c r="Z340" s="63" t="n"/>
    </row>
    <row r="341">
      <c r="A341" s="64" t="n">
        <v>338</v>
      </c>
      <c r="B341" s="55" t="inlineStr">
        <is>
          <t>TIGO</t>
        </is>
      </c>
      <c r="C341" s="55" t="n"/>
      <c r="D341" s="65" t="inlineStr">
        <is>
          <t>ADM</t>
        </is>
      </c>
      <c r="E341" s="65" t="n"/>
      <c r="F341" s="65" t="inlineStr">
        <is>
          <t>Telefono fijo</t>
        </is>
      </c>
      <c r="G341" s="65" t="n"/>
      <c r="H341" s="65" t="inlineStr">
        <is>
          <t>Fijo</t>
        </is>
      </c>
      <c r="I341" s="55" t="inlineStr">
        <is>
          <t>SERVICIO NUMERO UNICO CRAFT MEDELLIN</t>
        </is>
      </c>
      <c r="J341" s="55" t="inlineStr">
        <is>
          <t>Medellín</t>
        </is>
      </c>
      <c r="K341" s="55" t="inlineStr">
        <is>
          <t>BOPU133808430</t>
        </is>
      </c>
      <c r="L341" s="63" t="n"/>
      <c r="M341" s="63" t="n"/>
      <c r="N341" s="63" t="n"/>
      <c r="O341" s="66" t="n">
        <v>54892</v>
      </c>
      <c r="P341" s="55" t="n">
        <v>0</v>
      </c>
      <c r="Q341" s="55" t="n">
        <v>0</v>
      </c>
      <c r="R341" s="65" t="n">
        <v>54892</v>
      </c>
      <c r="S341" s="65" t="inlineStr">
        <is>
          <t>mayo 2025</t>
        </is>
      </c>
      <c r="T341" s="55" t="inlineStr">
        <is>
          <t>76</t>
        </is>
      </c>
      <c r="U341" s="63" t="n"/>
      <c r="V341" s="63" t="n"/>
      <c r="W341" s="55" t="n"/>
      <c r="X341" s="55" t="n"/>
      <c r="Y341" s="55" t="n"/>
      <c r="Z341" s="63" t="n"/>
    </row>
    <row r="342">
      <c r="A342" s="64" t="n">
        <v>339</v>
      </c>
      <c r="B342" s="55" t="inlineStr">
        <is>
          <t>TIGO</t>
        </is>
      </c>
      <c r="C342" s="55" t="n"/>
      <c r="D342" s="65" t="inlineStr">
        <is>
          <t>ADM</t>
        </is>
      </c>
      <c r="E342" s="65" t="n"/>
      <c r="F342" s="65" t="inlineStr">
        <is>
          <t>Telefono fijo</t>
        </is>
      </c>
      <c r="G342" s="65" t="n"/>
      <c r="H342" s="65" t="inlineStr">
        <is>
          <t>Fijo</t>
        </is>
      </c>
      <c r="I342" s="55" t="inlineStr">
        <is>
          <t>SERVICIO TELEFONIA CRAFT MEDELLIN</t>
        </is>
      </c>
      <c r="J342" s="55" t="inlineStr">
        <is>
          <t>Medellín</t>
        </is>
      </c>
      <c r="K342" s="55" t="inlineStr">
        <is>
          <t>BOPU133862534</t>
        </is>
      </c>
      <c r="L342" s="63" t="n"/>
      <c r="M342" s="63" t="n"/>
      <c r="N342" s="63" t="n"/>
      <c r="O342" s="66" t="n">
        <v>234464</v>
      </c>
      <c r="P342" s="55" t="n">
        <v>0</v>
      </c>
      <c r="Q342" s="55" t="n">
        <v>0</v>
      </c>
      <c r="R342" s="65" t="n">
        <v>234464</v>
      </c>
      <c r="S342" s="65" t="inlineStr">
        <is>
          <t>mayo 2025</t>
        </is>
      </c>
      <c r="T342" s="55" t="inlineStr">
        <is>
          <t>75</t>
        </is>
      </c>
      <c r="U342" s="63" t="n"/>
      <c r="V342" s="63" t="n"/>
      <c r="W342" s="55" t="n"/>
      <c r="X342" s="55" t="n"/>
      <c r="Y342" s="55" t="n"/>
      <c r="Z342" s="63" t="n"/>
    </row>
    <row r="343">
      <c r="A343" s="64" t="n">
        <v>340</v>
      </c>
      <c r="B343" s="55" t="inlineStr">
        <is>
          <t>TIGO</t>
        </is>
      </c>
      <c r="C343" s="55" t="n"/>
      <c r="D343" s="65" t="inlineStr">
        <is>
          <t>IT</t>
        </is>
      </c>
      <c r="E343" s="65" t="n"/>
      <c r="F343" s="65" t="inlineStr">
        <is>
          <t>Internet oficinas</t>
        </is>
      </c>
      <c r="G343" s="65" t="n"/>
      <c r="H343" s="65" t="inlineStr">
        <is>
          <t>Fijo</t>
        </is>
      </c>
      <c r="I343" s="55" t="inlineStr">
        <is>
          <t>SERVICIO INTERNET CRAFT MEDELLIN</t>
        </is>
      </c>
      <c r="J343" s="55" t="inlineStr">
        <is>
          <t>Medellín</t>
        </is>
      </c>
      <c r="K343" s="55" t="inlineStr">
        <is>
          <t>BOPU133819590</t>
        </is>
      </c>
      <c r="L343" s="63" t="n"/>
      <c r="M343" s="63" t="n"/>
      <c r="N343" s="63" t="n"/>
      <c r="O343" s="66" t="n">
        <v>288387</v>
      </c>
      <c r="P343" s="55" t="n">
        <v>0</v>
      </c>
      <c r="Q343" s="55" t="n">
        <v>0</v>
      </c>
      <c r="R343" s="65" t="n">
        <v>288387</v>
      </c>
      <c r="S343" s="65" t="inlineStr">
        <is>
          <t>mayo 2025</t>
        </is>
      </c>
      <c r="T343" s="55" t="inlineStr">
        <is>
          <t>74</t>
        </is>
      </c>
      <c r="U343" s="63" t="n"/>
      <c r="V343" s="63" t="n"/>
      <c r="W343" s="55" t="n"/>
      <c r="X343" s="55" t="n"/>
      <c r="Y343" s="55" t="n"/>
      <c r="Z343" s="63" t="n"/>
    </row>
    <row r="344">
      <c r="A344" s="64" t="n">
        <v>341</v>
      </c>
      <c r="B344" s="55" t="inlineStr">
        <is>
          <t>LUZ DARY MINA GARCES</t>
        </is>
      </c>
      <c r="C344" s="55" t="n"/>
      <c r="D344" s="65" t="inlineStr">
        <is>
          <t>ADM</t>
        </is>
      </c>
      <c r="E344" s="65" t="n"/>
      <c r="F344" s="65" t="inlineStr">
        <is>
          <t>Otros Gastos CASA LIMPIA PLANILLA AC OTROS</t>
        </is>
      </c>
      <c r="G344" s="65" t="n"/>
      <c r="H344" s="65" t="inlineStr">
        <is>
          <t>Fijo</t>
        </is>
      </c>
      <c r="I344" s="55" t="inlineStr">
        <is>
          <t>SERVICIO ASEO GENERAL OFICINA CRAFT BUENAVENTURA</t>
        </is>
      </c>
      <c r="J344" s="55" t="inlineStr">
        <is>
          <t>Buenaventura</t>
        </is>
      </c>
      <c r="K344" s="55" t="inlineStr">
        <is>
          <t>176</t>
        </is>
      </c>
      <c r="L344" s="63" t="n"/>
      <c r="M344" s="63" t="n"/>
      <c r="N344" s="63" t="n"/>
      <c r="O344" s="66" t="n">
        <v>1000000</v>
      </c>
      <c r="P344" s="55" t="n">
        <v>0</v>
      </c>
      <c r="Q344" s="55" t="n">
        <v>0</v>
      </c>
      <c r="R344" s="65" t="n">
        <v>1000000</v>
      </c>
      <c r="S344" s="65" t="inlineStr">
        <is>
          <t>mayo 2025</t>
        </is>
      </c>
      <c r="T344" s="55" t="inlineStr">
        <is>
          <t>11</t>
        </is>
      </c>
      <c r="U344" s="63" t="n"/>
      <c r="V344" s="63" t="n"/>
      <c r="W344" s="55" t="n"/>
      <c r="X344" s="55" t="n"/>
      <c r="Y344" s="55" t="n"/>
      <c r="Z344" s="63" t="n"/>
    </row>
    <row r="345">
      <c r="A345" s="64" t="n">
        <v>342</v>
      </c>
      <c r="B345" s="55" t="inlineStr">
        <is>
          <t>OPAIN SA AEROPUERTO EL DORADO</t>
        </is>
      </c>
      <c r="C345" s="55" t="n"/>
      <c r="D345" s="65" t="inlineStr">
        <is>
          <t>ADM</t>
        </is>
      </c>
      <c r="E345" s="65" t="n"/>
      <c r="F345" s="65" t="inlineStr">
        <is>
          <t>Administración</t>
        </is>
      </c>
      <c r="G345" s="65" t="n"/>
      <c r="H345" s="65" t="inlineStr">
        <is>
          <t>Fijo</t>
        </is>
      </c>
      <c r="I345" s="55" t="inlineStr">
        <is>
          <t>GASTOS REEMBOLSABLES CRAFT AEROPUERTO</t>
        </is>
      </c>
      <c r="J345" s="55" t="inlineStr">
        <is>
          <t>Aeropuerto</t>
        </is>
      </c>
      <c r="K345" s="55" t="inlineStr">
        <is>
          <t>CCG22348</t>
        </is>
      </c>
      <c r="L345" s="63" t="n"/>
      <c r="M345" s="63" t="n"/>
      <c r="N345" s="63" t="n"/>
      <c r="O345" s="66" t="n">
        <v>712343</v>
      </c>
      <c r="P345" s="55" t="n">
        <v>0</v>
      </c>
      <c r="Q345" s="55" t="n">
        <v>0</v>
      </c>
      <c r="R345" s="65" t="n">
        <v>712343</v>
      </c>
      <c r="S345" s="65" t="inlineStr">
        <is>
          <t>mayo 2025</t>
        </is>
      </c>
      <c r="T345" s="55" t="inlineStr">
        <is>
          <t>5</t>
        </is>
      </c>
      <c r="U345" s="63" t="n"/>
      <c r="V345" s="63" t="n"/>
      <c r="W345" s="55" t="n"/>
      <c r="X345" s="55" t="n"/>
      <c r="Y345" s="55" t="n"/>
      <c r="Z345" s="63" t="n"/>
    </row>
    <row r="346">
      <c r="A346" s="64" t="n">
        <v>343</v>
      </c>
      <c r="B346" s="55" t="inlineStr">
        <is>
          <t>CONTRATOS Y FIANZAS DE ARRENDAMIENTO S.A.S.</t>
        </is>
      </c>
      <c r="C346" s="55" t="n"/>
      <c r="D346" s="65" t="inlineStr">
        <is>
          <t>ADM</t>
        </is>
      </c>
      <c r="E346" s="65" t="n"/>
      <c r="F346" s="65" t="inlineStr">
        <is>
          <t>Arriendos</t>
        </is>
      </c>
      <c r="G346" s="65" t="n"/>
      <c r="H346" s="65" t="inlineStr">
        <is>
          <t>Fijo</t>
        </is>
      </c>
      <c r="I346" s="55" t="inlineStr">
        <is>
          <t>SERVICIO ZONA VIRTUAL CRAFT MEDELLIN</t>
        </is>
      </c>
      <c r="J346" s="55" t="inlineStr">
        <is>
          <t>Medellín</t>
        </is>
      </c>
      <c r="K346" s="55" t="inlineStr">
        <is>
          <t>FE584559</t>
        </is>
      </c>
      <c r="L346" s="63" t="n"/>
      <c r="M346" s="63" t="n"/>
      <c r="N346" s="63" t="n"/>
      <c r="O346" s="66" t="n">
        <v>5200</v>
      </c>
      <c r="P346" s="55" t="n">
        <v>0</v>
      </c>
      <c r="Q346" s="55" t="n">
        <v>0</v>
      </c>
      <c r="R346" s="65" t="n">
        <v>5200</v>
      </c>
      <c r="S346" s="65" t="inlineStr">
        <is>
          <t>mayo 2025</t>
        </is>
      </c>
      <c r="T346" s="55" t="inlineStr">
        <is>
          <t>36</t>
        </is>
      </c>
      <c r="U346" s="63" t="n"/>
      <c r="V346" s="63" t="n"/>
      <c r="W346" s="55" t="n"/>
      <c r="X346" s="55" t="n"/>
      <c r="Y346" s="55" t="n"/>
      <c r="Z346" s="63" t="n"/>
    </row>
    <row r="347">
      <c r="A347" s="64" t="n">
        <v>344</v>
      </c>
      <c r="B347" s="55" t="inlineStr">
        <is>
          <t>ETIQUETAS COMERCIALES SAS</t>
        </is>
      </c>
      <c r="C347" s="55" t="n"/>
      <c r="D347" s="65" t="inlineStr">
        <is>
          <t>ADM</t>
        </is>
      </c>
      <c r="E347" s="65" t="n"/>
      <c r="F347" s="65" t="inlineStr">
        <is>
          <t>Precintos/SELLOS</t>
        </is>
      </c>
      <c r="G347" s="65" t="n"/>
      <c r="H347" s="65" t="inlineStr">
        <is>
          <t>Variable</t>
        </is>
      </c>
      <c r="I347" s="55" t="inlineStr">
        <is>
          <t>ETIQUETAS TROQUELADAS CARGAS CRAFT BUENAVENTURA</t>
        </is>
      </c>
      <c r="J347" s="55" t="inlineStr">
        <is>
          <t>Buenaventura</t>
        </is>
      </c>
      <c r="K347" s="55" t="inlineStr">
        <is>
          <t>FE5329</t>
        </is>
      </c>
      <c r="L347" s="63" t="n"/>
      <c r="M347" s="63" t="n"/>
      <c r="N347" s="63" t="n"/>
      <c r="O347" s="66" t="n">
        <v>1112412</v>
      </c>
      <c r="P347" s="55" t="n">
        <v>0</v>
      </c>
      <c r="Q347" s="55" t="n">
        <v>0</v>
      </c>
      <c r="R347" s="65" t="n">
        <v>1112412</v>
      </c>
      <c r="S347" s="65" t="inlineStr">
        <is>
          <t>mayo 2025</t>
        </is>
      </c>
      <c r="T347" s="55" t="inlineStr">
        <is>
          <t>9</t>
        </is>
      </c>
      <c r="U347" s="63" t="n"/>
      <c r="V347" s="63" t="n"/>
      <c r="W347" s="55" t="n"/>
      <c r="X347" s="55" t="n"/>
      <c r="Y347" s="55" t="n"/>
      <c r="Z347" s="63" t="n"/>
    </row>
    <row r="348">
      <c r="A348" s="64" t="n">
        <v>345</v>
      </c>
      <c r="B348" s="55" t="inlineStr">
        <is>
          <t>ETB</t>
        </is>
      </c>
      <c r="C348" s="55" t="n"/>
      <c r="D348" s="65" t="inlineStr">
        <is>
          <t>ADM</t>
        </is>
      </c>
      <c r="E348" s="65" t="n"/>
      <c r="F348" s="65" t="inlineStr">
        <is>
          <t>Telefono fijo</t>
        </is>
      </c>
      <c r="G348" s="65" t="n"/>
      <c r="H348" s="65" t="inlineStr">
        <is>
          <t>Fijo</t>
        </is>
      </c>
      <c r="I348" s="55" t="inlineStr">
        <is>
          <t>SERVICIO DE TELEFONIA LOCAL PBX</t>
        </is>
      </c>
      <c r="J348" s="55" t="inlineStr">
        <is>
          <t>Transversal</t>
        </is>
      </c>
      <c r="K348" s="55" t="inlineStr">
        <is>
          <t>FC1000389964</t>
        </is>
      </c>
      <c r="L348" s="63" t="n"/>
      <c r="M348" s="63" t="n"/>
      <c r="N348" s="63" t="n"/>
      <c r="O348" s="66" t="n">
        <v>1010511</v>
      </c>
      <c r="P348" s="55" t="n">
        <v>0</v>
      </c>
      <c r="Q348" s="55" t="n">
        <v>0</v>
      </c>
      <c r="R348" s="65" t="n">
        <v>1010511</v>
      </c>
      <c r="S348" s="65" t="inlineStr">
        <is>
          <t>mayo 2025</t>
        </is>
      </c>
      <c r="T348" s="55" t="inlineStr">
        <is>
          <t>2083</t>
        </is>
      </c>
      <c r="U348" s="63" t="n"/>
      <c r="V348" s="63" t="n"/>
      <c r="W348" s="55" t="n"/>
      <c r="X348" s="55" t="n"/>
      <c r="Y348" s="55" t="n"/>
      <c r="Z348" s="63" t="n"/>
    </row>
    <row r="349">
      <c r="A349" s="64" t="n">
        <v>346</v>
      </c>
      <c r="B349" s="55" t="inlineStr">
        <is>
          <t>PATRIMONIOS AUTONOMOS FIDUCIARIA BANCOLOMBIA S A SOCIEDAD FIDUCIARIA</t>
        </is>
      </c>
      <c r="C349" s="55" t="n"/>
      <c r="D349" s="65" t="inlineStr">
        <is>
          <t>ADM</t>
        </is>
      </c>
      <c r="E349" s="65" t="n"/>
      <c r="F349" s="65" t="inlineStr">
        <is>
          <t>Arriendos</t>
        </is>
      </c>
      <c r="G349" s="65" t="n"/>
      <c r="H349" s="65" t="inlineStr">
        <is>
          <t>Fijo</t>
        </is>
      </c>
      <c r="I349" s="55" t="inlineStr">
        <is>
          <t>CANON ARRENDAMIENTO SUCURSAL CRAFT AEROPUERTO</t>
        </is>
      </c>
      <c r="J349" s="55" t="inlineStr">
        <is>
          <t>Aeropuerto</t>
        </is>
      </c>
      <c r="K349" s="55" t="inlineStr">
        <is>
          <t>AR3173905</t>
        </is>
      </c>
      <c r="L349" s="63" t="n"/>
      <c r="M349" s="63" t="n"/>
      <c r="N349" s="63" t="n"/>
      <c r="O349" s="66" t="n">
        <v>7341058</v>
      </c>
      <c r="P349" s="55" t="n">
        <v>0</v>
      </c>
      <c r="Q349" s="55" t="n">
        <v>0</v>
      </c>
      <c r="R349" s="65" t="n">
        <v>7341058</v>
      </c>
      <c r="S349" s="65" t="inlineStr">
        <is>
          <t>mayo 2025</t>
        </is>
      </c>
      <c r="T349" s="55" t="inlineStr">
        <is>
          <t>3</t>
        </is>
      </c>
      <c r="U349" s="63" t="n"/>
      <c r="V349" s="63" t="n"/>
      <c r="W349" s="55" t="n"/>
      <c r="X349" s="55" t="n"/>
      <c r="Y349" s="55" t="n"/>
      <c r="Z349" s="63" t="n"/>
    </row>
    <row r="350">
      <c r="A350" s="64" t="n">
        <v>347</v>
      </c>
      <c r="B350" s="55" t="inlineStr">
        <is>
          <t>ALIANZA EMPRESARIAL PARA UN COMERCIO SEGURO BASC BOGOTA – COLOMBIA</t>
        </is>
      </c>
      <c r="C350" s="55" t="n"/>
      <c r="D350" s="65" t="inlineStr">
        <is>
          <t>ADM</t>
        </is>
      </c>
      <c r="E350" s="65" t="n"/>
      <c r="F350" s="65" t="n"/>
      <c r="G350" s="65" t="n"/>
      <c r="H350" s="65" t="inlineStr">
        <is>
          <t>Variable</t>
        </is>
      </c>
      <c r="I350" s="55" t="inlineStr">
        <is>
          <t>CAPACITACION AUDITOR INTERNO BASC NATALIA PALACIOS</t>
        </is>
      </c>
      <c r="J350" s="55" t="n"/>
      <c r="K350" s="55" t="inlineStr">
        <is>
          <t>FE17259</t>
        </is>
      </c>
      <c r="L350" s="63" t="n"/>
      <c r="M350" s="63" t="n"/>
      <c r="N350" s="63" t="n"/>
      <c r="O350" s="66" t="n">
        <v>1562683</v>
      </c>
      <c r="P350" s="55" t="n">
        <v>0</v>
      </c>
      <c r="Q350" s="55" t="n">
        <v>0</v>
      </c>
      <c r="R350" s="65" t="n">
        <v>1562683</v>
      </c>
      <c r="S350" s="65" t="inlineStr">
        <is>
          <t>mayo 2025</t>
        </is>
      </c>
      <c r="T350" s="55" t="inlineStr">
        <is>
          <t>2084</t>
        </is>
      </c>
      <c r="U350" s="63" t="n"/>
      <c r="V350" s="63" t="n"/>
      <c r="W350" s="55" t="n"/>
      <c r="X350" s="55" t="n"/>
      <c r="Y350" s="55" t="n"/>
      <c r="Z350" s="63" t="n"/>
    </row>
    <row r="351">
      <c r="A351" s="64" t="n">
        <v>348</v>
      </c>
      <c r="B351" s="55" t="inlineStr">
        <is>
          <t>CLARO S.A.</t>
        </is>
      </c>
      <c r="C351" s="55" t="n"/>
      <c r="D351" s="65" t="inlineStr">
        <is>
          <t>ADM</t>
        </is>
      </c>
      <c r="E351" s="65" t="n"/>
      <c r="F351" s="65" t="inlineStr">
        <is>
          <t>Telefono fijo</t>
        </is>
      </c>
      <c r="G351" s="65" t="n"/>
      <c r="H351" s="65" t="inlineStr">
        <is>
          <t>Fijo</t>
        </is>
      </c>
      <c r="I351" s="55" t="inlineStr">
        <is>
          <t>SERVICIO DE TELEFONIA FIJA BUN Y CTG</t>
        </is>
      </c>
      <c r="J351" s="55" t="inlineStr">
        <is>
          <t>Puertos</t>
        </is>
      </c>
      <c r="K351" s="55" t="inlineStr">
        <is>
          <t>3292609111</t>
        </is>
      </c>
      <c r="L351" s="63" t="n"/>
      <c r="M351" s="63" t="n"/>
      <c r="N351" s="63" t="n"/>
      <c r="O351" s="66" t="n">
        <v>170395</v>
      </c>
      <c r="P351" s="55" t="n">
        <v>0</v>
      </c>
      <c r="Q351" s="55" t="n">
        <v>0</v>
      </c>
      <c r="R351" s="65" t="n">
        <v>170395</v>
      </c>
      <c r="S351" s="65" t="inlineStr">
        <is>
          <t>mayo 2025</t>
        </is>
      </c>
      <c r="T351" s="55" t="inlineStr">
        <is>
          <t>16</t>
        </is>
      </c>
      <c r="U351" s="63" t="n"/>
      <c r="V351" s="63" t="n"/>
      <c r="W351" s="55" t="n"/>
      <c r="X351" s="55" t="n"/>
      <c r="Y351" s="55" t="n"/>
      <c r="Z351" s="63" t="n"/>
    </row>
    <row r="352">
      <c r="A352" s="64" t="n">
        <v>349</v>
      </c>
      <c r="B352" s="55" t="inlineStr">
        <is>
          <t>Controles Empresariales SAS</t>
        </is>
      </c>
      <c r="C352" s="55" t="n"/>
      <c r="D352" s="65" t="inlineStr">
        <is>
          <t>ADM</t>
        </is>
      </c>
      <c r="E352" s="65" t="n"/>
      <c r="F352" s="65" t="inlineStr">
        <is>
          <t>Insumos y perifericos</t>
        </is>
      </c>
      <c r="G352" s="65" t="n"/>
      <c r="H352" s="65" t="inlineStr">
        <is>
          <t>Variable</t>
        </is>
      </c>
      <c r="I352" s="55" t="inlineStr">
        <is>
          <t>PROTECTOR TABLET BUN Y 5 TECLADOS BACKUP</t>
        </is>
      </c>
      <c r="J352" s="55" t="inlineStr">
        <is>
          <t>Transversal</t>
        </is>
      </c>
      <c r="K352" s="55" t="inlineStr">
        <is>
          <t>FEI0000108038</t>
        </is>
      </c>
      <c r="L352" s="63" t="n"/>
      <c r="M352" s="63" t="n"/>
      <c r="N352" s="63" t="n"/>
      <c r="O352" s="66" t="n">
        <v>591920</v>
      </c>
      <c r="P352" s="55" t="n">
        <v>0</v>
      </c>
      <c r="Q352" s="55" t="n">
        <v>0</v>
      </c>
      <c r="R352" s="65" t="n">
        <v>591920</v>
      </c>
      <c r="S352" s="65" t="inlineStr">
        <is>
          <t>mayo 2025</t>
        </is>
      </c>
      <c r="T352" s="55" t="inlineStr">
        <is>
          <t>2112</t>
        </is>
      </c>
      <c r="U352" s="63" t="n"/>
      <c r="V352" s="63" t="n"/>
      <c r="W352" s="55" t="n"/>
      <c r="X352" s="55" t="n"/>
      <c r="Y352" s="55" t="n"/>
      <c r="Z352" s="63" t="n"/>
    </row>
    <row r="353">
      <c r="A353" s="64" t="n">
        <v>350</v>
      </c>
      <c r="B353" s="55" t="inlineStr">
        <is>
          <t>COMPAÑIA PAPELERA NACIONAL S.A.S</t>
        </is>
      </c>
      <c r="C353" s="55" t="n"/>
      <c r="D353" s="65" t="inlineStr">
        <is>
          <t>ADM</t>
        </is>
      </c>
      <c r="E353" s="65" t="n"/>
      <c r="F353" s="65" t="inlineStr">
        <is>
          <t>Material Copa/Cozinha</t>
        </is>
      </c>
      <c r="G353" s="65" t="n"/>
      <c r="H353" s="65" t="inlineStr">
        <is>
          <t>Variable</t>
        </is>
      </c>
      <c r="I353" s="55" t="inlineStr">
        <is>
          <t>PEDIDO PAPELERIA CRAFT AEROPUERTO</t>
        </is>
      </c>
      <c r="J353" s="55" t="inlineStr">
        <is>
          <t>Aeropuerto</t>
        </is>
      </c>
      <c r="K353" s="55" t="inlineStr">
        <is>
          <t>CPFP210436</t>
        </is>
      </c>
      <c r="L353" s="63" t="n"/>
      <c r="M353" s="63" t="n"/>
      <c r="N353" s="63" t="n"/>
      <c r="O353" s="66" t="n">
        <v>21799</v>
      </c>
      <c r="P353" s="55" t="n">
        <v>0</v>
      </c>
      <c r="Q353" s="55" t="n">
        <v>0</v>
      </c>
      <c r="R353" s="65" t="n">
        <v>21799</v>
      </c>
      <c r="S353" s="65" t="inlineStr">
        <is>
          <t>mayo 2025</t>
        </is>
      </c>
      <c r="T353" s="55" t="inlineStr">
        <is>
          <t>4</t>
        </is>
      </c>
      <c r="U353" s="63" t="n"/>
      <c r="V353" s="63" t="n"/>
      <c r="W353" s="55" t="n"/>
      <c r="X353" s="55" t="n"/>
      <c r="Y353" s="55" t="n"/>
      <c r="Z353" s="63" t="n"/>
    </row>
    <row r="354">
      <c r="A354" s="64" t="n">
        <v>351</v>
      </c>
      <c r="B354" s="55" t="inlineStr">
        <is>
          <t>COMPAÑIA PAPELERA NACIONAL S.A.S</t>
        </is>
      </c>
      <c r="C354" s="55" t="n"/>
      <c r="D354" s="65" t="inlineStr">
        <is>
          <t>ADM</t>
        </is>
      </c>
      <c r="E354" s="65" t="n"/>
      <c r="F354" s="65" t="inlineStr">
        <is>
          <t>Material Copa/Cozinha</t>
        </is>
      </c>
      <c r="G354" s="65" t="n"/>
      <c r="H354" s="65" t="inlineStr">
        <is>
          <t>Variable</t>
        </is>
      </c>
      <c r="I354" s="55" t="inlineStr">
        <is>
          <t>PEDIDO ASEO Y CAFETERIA CRAFT MEDELLIN</t>
        </is>
      </c>
      <c r="J354" s="55" t="inlineStr">
        <is>
          <t>Medellín</t>
        </is>
      </c>
      <c r="K354" s="55" t="inlineStr">
        <is>
          <t>CPFP210442</t>
        </is>
      </c>
      <c r="L354" s="63" t="n"/>
      <c r="M354" s="63" t="n"/>
      <c r="N354" s="63" t="n"/>
      <c r="O354" s="66" t="n">
        <v>245520</v>
      </c>
      <c r="P354" s="55" t="n">
        <v>0</v>
      </c>
      <c r="Q354" s="55" t="n">
        <v>0</v>
      </c>
      <c r="R354" s="65" t="n">
        <v>245520</v>
      </c>
      <c r="S354" s="65" t="inlineStr">
        <is>
          <t>mayo 2025</t>
        </is>
      </c>
      <c r="T354" s="55" t="inlineStr">
        <is>
          <t>37</t>
        </is>
      </c>
      <c r="U354" s="63" t="n"/>
      <c r="V354" s="63" t="n"/>
      <c r="W354" s="55" t="n"/>
      <c r="X354" s="55" t="n"/>
      <c r="Y354" s="55" t="n"/>
      <c r="Z354" s="63" t="n"/>
    </row>
    <row r="355">
      <c r="A355" s="64" t="n">
        <v>352</v>
      </c>
      <c r="B355" s="55" t="inlineStr">
        <is>
          <t>COMPAÑIA PAPELERA NACIONAL S.A.S</t>
        </is>
      </c>
      <c r="C355" s="55" t="n"/>
      <c r="D355" s="65" t="inlineStr">
        <is>
          <t>ADM</t>
        </is>
      </c>
      <c r="E355" s="65" t="n"/>
      <c r="F355" s="65" t="inlineStr">
        <is>
          <t>Material Copa/Cozinha</t>
        </is>
      </c>
      <c r="G355" s="65" t="n"/>
      <c r="H355" s="65" t="inlineStr">
        <is>
          <t>Variable</t>
        </is>
      </c>
      <c r="I355" s="55" t="inlineStr">
        <is>
          <t>PEDIDO ASEO Y CAFETERIA CRAFT BUENAVENTURA</t>
        </is>
      </c>
      <c r="J355" s="55" t="inlineStr">
        <is>
          <t>Buenaventura</t>
        </is>
      </c>
      <c r="K355" s="55" t="inlineStr">
        <is>
          <t>CPFP210443</t>
        </is>
      </c>
      <c r="L355" s="63" t="n"/>
      <c r="M355" s="63" t="n"/>
      <c r="N355" s="63" t="n"/>
      <c r="O355" s="66" t="n">
        <v>1364381</v>
      </c>
      <c r="P355" s="55" t="n">
        <v>0</v>
      </c>
      <c r="Q355" s="55" t="n">
        <v>0</v>
      </c>
      <c r="R355" s="65" t="n">
        <v>1364381</v>
      </c>
      <c r="S355" s="65" t="inlineStr">
        <is>
          <t>mayo 2025</t>
        </is>
      </c>
      <c r="T355" s="55" t="inlineStr">
        <is>
          <t>10</t>
        </is>
      </c>
      <c r="U355" s="63" t="n"/>
      <c r="V355" s="63" t="n"/>
      <c r="W355" s="55" t="n"/>
      <c r="X355" s="55" t="n"/>
      <c r="Y355" s="55" t="n"/>
      <c r="Z355" s="63" t="n"/>
    </row>
    <row r="356">
      <c r="A356" s="64" t="n">
        <v>353</v>
      </c>
      <c r="B356" s="55" t="inlineStr">
        <is>
          <t>EDIFICIO CAPITAL TOWERS PROPIEDAD HORIZONTAL</t>
        </is>
      </c>
      <c r="C356" s="55" t="n"/>
      <c r="D356" s="65" t="inlineStr">
        <is>
          <t>ADM</t>
        </is>
      </c>
      <c r="E356" s="65" t="n"/>
      <c r="F356" s="65" t="inlineStr">
        <is>
          <t>Agua</t>
        </is>
      </c>
      <c r="G356" s="65" t="n"/>
      <c r="H356" s="65" t="inlineStr">
        <is>
          <t>Fijo</t>
        </is>
      </c>
      <c r="I356" s="55" t="inlineStr">
        <is>
          <t>RECOBRO SERVICIOS PUBLICOS CRAFT BOGOTA</t>
        </is>
      </c>
      <c r="J356" s="55" t="inlineStr">
        <is>
          <t>Calle 100</t>
        </is>
      </c>
      <c r="K356" s="55" t="inlineStr">
        <is>
          <t>FE10329</t>
        </is>
      </c>
      <c r="L356" s="63" t="n"/>
      <c r="M356" s="63" t="n"/>
      <c r="N356" s="63" t="n"/>
      <c r="O356" s="66" t="n">
        <v>868671</v>
      </c>
      <c r="P356" s="55" t="n">
        <v>0</v>
      </c>
      <c r="Q356" s="55" t="n">
        <v>0</v>
      </c>
      <c r="R356" s="65" t="n">
        <v>868671</v>
      </c>
      <c r="S356" s="65" t="inlineStr">
        <is>
          <t>mayo 2025</t>
        </is>
      </c>
      <c r="T356" s="55" t="inlineStr">
        <is>
          <t>2169</t>
        </is>
      </c>
      <c r="U356" s="63" t="n"/>
      <c r="V356" s="63" t="n"/>
      <c r="W356" s="55" t="n"/>
      <c r="X356" s="55" t="n"/>
      <c r="Y356" s="55" t="n"/>
      <c r="Z356" s="63" t="n"/>
    </row>
    <row r="357">
      <c r="A357" s="64" t="n">
        <v>354</v>
      </c>
      <c r="B357" s="55" t="inlineStr">
        <is>
          <t>CASALIMPIA SA</t>
        </is>
      </c>
      <c r="C357" s="55" t="n"/>
      <c r="D357" s="65" t="inlineStr">
        <is>
          <t>ADM</t>
        </is>
      </c>
      <c r="E357" s="65" t="n"/>
      <c r="F357" s="65" t="inlineStr">
        <is>
          <t>Otros Gastos CASA LIMPIA PLANILLA AC OTROS</t>
        </is>
      </c>
      <c r="G357" s="65" t="n"/>
      <c r="H357" s="65" t="inlineStr">
        <is>
          <t>Fijo</t>
        </is>
      </c>
      <c r="I357" s="55" t="inlineStr">
        <is>
          <t>SERVICIO DE ASEO GENERAL OFICINA CRAFT CARTAGENA</t>
        </is>
      </c>
      <c r="J357" s="55" t="inlineStr">
        <is>
          <t>Cartagena</t>
        </is>
      </c>
      <c r="K357" s="55" t="inlineStr">
        <is>
          <t>1765104</t>
        </is>
      </c>
      <c r="L357" s="63" t="n"/>
      <c r="M357" s="63" t="n"/>
      <c r="N357" s="63" t="n"/>
      <c r="O357" s="66" t="n">
        <v>2088787</v>
      </c>
      <c r="P357" s="55" t="n">
        <v>0</v>
      </c>
      <c r="Q357" s="55" t="n">
        <v>0</v>
      </c>
      <c r="R357" s="65" t="n">
        <v>2088787</v>
      </c>
      <c r="S357" s="65" t="inlineStr">
        <is>
          <t>mayo 2025</t>
        </is>
      </c>
      <c r="T357" s="55" t="inlineStr">
        <is>
          <t>17</t>
        </is>
      </c>
      <c r="U357" s="63" t="n"/>
      <c r="V357" s="63" t="n"/>
      <c r="W357" s="55" t="n"/>
      <c r="X357" s="55" t="n"/>
      <c r="Y357" s="55" t="n"/>
      <c r="Z357" s="63" t="n"/>
    </row>
    <row r="358">
      <c r="A358" s="64" t="n">
        <v>355</v>
      </c>
      <c r="B358" s="55" t="inlineStr">
        <is>
          <t>AIR-E</t>
        </is>
      </c>
      <c r="C358" s="55" t="n"/>
      <c r="D358" s="65" t="inlineStr">
        <is>
          <t>ADM</t>
        </is>
      </c>
      <c r="E358" s="65" t="n"/>
      <c r="F358" s="65" t="inlineStr">
        <is>
          <t>Luz</t>
        </is>
      </c>
      <c r="G358" s="65" t="n"/>
      <c r="H358" s="65" t="inlineStr">
        <is>
          <t>Fijo</t>
        </is>
      </c>
      <c r="I358" s="55" t="inlineStr">
        <is>
          <t>SERVICIO ENERGIA CRAFT BARRANQUILLA</t>
        </is>
      </c>
      <c r="J358" s="55" t="inlineStr">
        <is>
          <t>Barranquilla</t>
        </is>
      </c>
      <c r="K358" s="55" t="inlineStr">
        <is>
          <t>64482693</t>
        </is>
      </c>
      <c r="L358" s="63" t="n"/>
      <c r="M358" s="63" t="n"/>
      <c r="N358" s="63" t="n"/>
      <c r="O358" s="66" t="n">
        <v>299920</v>
      </c>
      <c r="P358" s="55" t="n">
        <v>0</v>
      </c>
      <c r="Q358" s="55" t="n">
        <v>0</v>
      </c>
      <c r="R358" s="65" t="n">
        <v>299920</v>
      </c>
      <c r="S358" s="65" t="inlineStr">
        <is>
          <t>mayo 2025</t>
        </is>
      </c>
      <c r="T358" s="55" t="inlineStr">
        <is>
          <t>4</t>
        </is>
      </c>
      <c r="U358" s="63" t="n"/>
      <c r="V358" s="63" t="n"/>
      <c r="W358" s="55" t="n"/>
      <c r="X358" s="55" t="n"/>
      <c r="Y358" s="55" t="n"/>
      <c r="Z358" s="63" t="n"/>
    </row>
    <row r="359">
      <c r="A359" s="64" t="n">
        <v>356</v>
      </c>
      <c r="B359" s="55" t="inlineStr">
        <is>
          <t>TRIPLE AAA</t>
        </is>
      </c>
      <c r="C359" s="55" t="n"/>
      <c r="D359" s="65" t="inlineStr">
        <is>
          <t>ADM</t>
        </is>
      </c>
      <c r="E359" s="65" t="n"/>
      <c r="F359" s="65" t="inlineStr">
        <is>
          <t>Agua</t>
        </is>
      </c>
      <c r="G359" s="65" t="n"/>
      <c r="H359" s="65" t="inlineStr">
        <is>
          <t>Fijo</t>
        </is>
      </c>
      <c r="I359" s="55" t="inlineStr">
        <is>
          <t>SERVICIO ACUEDUCTO CRAFT BARRANQUILLA</t>
        </is>
      </c>
      <c r="J359" s="55" t="inlineStr">
        <is>
          <t>Barranquilla</t>
        </is>
      </c>
      <c r="K359" s="55" t="inlineStr">
        <is>
          <t>72111040</t>
        </is>
      </c>
      <c r="L359" s="63" t="n"/>
      <c r="M359" s="63" t="n"/>
      <c r="N359" s="63" t="n"/>
      <c r="O359" s="66" t="n">
        <v>275227</v>
      </c>
      <c r="P359" s="55" t="n">
        <v>0</v>
      </c>
      <c r="Q359" s="55" t="n">
        <v>0</v>
      </c>
      <c r="R359" s="65" t="n">
        <v>275227</v>
      </c>
      <c r="S359" s="65" t="inlineStr">
        <is>
          <t>mayo 2025</t>
        </is>
      </c>
      <c r="T359" s="55" t="inlineStr">
        <is>
          <t>10</t>
        </is>
      </c>
      <c r="U359" s="63" t="n"/>
      <c r="V359" s="63" t="n"/>
      <c r="W359" s="55" t="n"/>
      <c r="X359" s="55" t="n"/>
      <c r="Y359" s="55" t="n"/>
      <c r="Z359" s="63" t="n"/>
    </row>
    <row r="360">
      <c r="A360" s="64" t="n">
        <v>357</v>
      </c>
      <c r="B360" s="55" t="inlineStr">
        <is>
          <t>TURISMO 24 HORAS S.A.S</t>
        </is>
      </c>
      <c r="C360" s="55" t="n"/>
      <c r="D360" s="65" t="inlineStr">
        <is>
          <t>ADM</t>
        </is>
      </c>
      <c r="E360" s="65" t="n"/>
      <c r="F360" s="65" t="inlineStr">
        <is>
          <t>Viagens E Estadias</t>
        </is>
      </c>
      <c r="G360" s="65" t="n"/>
      <c r="H360" s="65" t="n"/>
      <c r="I360" s="55" t="inlineStr">
        <is>
          <t>COMPRA TIQUETE PARA ANA FERNANDEZ Y SILVIA TRIANA A MEDELLIN</t>
        </is>
      </c>
      <c r="J360" s="55" t="inlineStr">
        <is>
          <t>Medellín</t>
        </is>
      </c>
      <c r="K360" s="55" t="inlineStr">
        <is>
          <t>T24H13325</t>
        </is>
      </c>
      <c r="L360" s="63" t="n"/>
      <c r="M360" s="63" t="n"/>
      <c r="N360" s="63" t="n"/>
      <c r="O360" s="66" t="n">
        <v>2577400</v>
      </c>
      <c r="P360" s="55" t="n">
        <v>0</v>
      </c>
      <c r="Q360" s="55" t="n">
        <v>0</v>
      </c>
      <c r="R360" s="65" t="n">
        <v>2577400</v>
      </c>
      <c r="S360" s="65" t="inlineStr">
        <is>
          <t>mayo 2025</t>
        </is>
      </c>
      <c r="T360" s="55" t="inlineStr">
        <is>
          <t>3384</t>
        </is>
      </c>
      <c r="U360" s="63" t="n"/>
      <c r="V360" s="63" t="n"/>
      <c r="W360" s="55" t="n"/>
      <c r="X360" s="55" t="n"/>
      <c r="Y360" s="55" t="n"/>
      <c r="Z360" s="63" t="n"/>
    </row>
    <row r="361">
      <c r="A361" s="64" t="n">
        <v>358</v>
      </c>
      <c r="B361" s="55" t="inlineStr">
        <is>
          <t>COMPAÑIA PAPELERA NACIONAL S.A.S</t>
        </is>
      </c>
      <c r="C361" s="55" t="n"/>
      <c r="D361" s="65" t="inlineStr">
        <is>
          <t>ADM</t>
        </is>
      </c>
      <c r="E361" s="65" t="n"/>
      <c r="F361" s="65" t="inlineStr">
        <is>
          <t>Material Copa/Cozinha</t>
        </is>
      </c>
      <c r="G361" s="65" t="n"/>
      <c r="H361" s="65" t="inlineStr">
        <is>
          <t>Variable</t>
        </is>
      </c>
      <c r="I361" s="55" t="inlineStr">
        <is>
          <t>PEDIDO ASEO Y CAFETERIA CRAFT BOGOTA</t>
        </is>
      </c>
      <c r="J361" s="55" t="inlineStr">
        <is>
          <t>Calle 100</t>
        </is>
      </c>
      <c r="K361" s="55" t="inlineStr">
        <is>
          <t>CPFP211654</t>
        </is>
      </c>
      <c r="L361" s="63" t="n"/>
      <c r="M361" s="63" t="n"/>
      <c r="N361" s="63" t="n"/>
      <c r="O361" s="66" t="n">
        <v>1388072</v>
      </c>
      <c r="P361" s="55" t="n">
        <v>0</v>
      </c>
      <c r="Q361" s="55" t="n">
        <v>0</v>
      </c>
      <c r="R361" s="65" t="n">
        <v>1388072</v>
      </c>
      <c r="S361" s="65" t="inlineStr">
        <is>
          <t>mayo 2025</t>
        </is>
      </c>
      <c r="T361" s="55" t="inlineStr">
        <is>
          <t>3386</t>
        </is>
      </c>
      <c r="U361" s="63" t="n"/>
      <c r="V361" s="63" t="n"/>
      <c r="W361" s="55" t="n"/>
      <c r="X361" s="55" t="n"/>
      <c r="Y361" s="55" t="n"/>
      <c r="Z361" s="63" t="n"/>
    </row>
    <row r="362">
      <c r="A362" s="64" t="n">
        <v>359</v>
      </c>
      <c r="B362" s="55" t="inlineStr">
        <is>
          <t>PC QUICK SAS</t>
        </is>
      </c>
      <c r="C362" s="55" t="n"/>
      <c r="D362" s="65" t="inlineStr">
        <is>
          <t>IT</t>
        </is>
      </c>
      <c r="E362" s="65" t="n"/>
      <c r="F362" s="65" t="inlineStr">
        <is>
          <t>Insumos y perifericos</t>
        </is>
      </c>
      <c r="G362" s="65" t="n"/>
      <c r="H362" s="65" t="inlineStr">
        <is>
          <t>Variable</t>
        </is>
      </c>
      <c r="I362" s="55" t="inlineStr">
        <is>
          <t>1 TAPA SUPERIOR PARA PC EN BACKUP</t>
        </is>
      </c>
      <c r="J362" s="55" t="inlineStr">
        <is>
          <t>Transversal</t>
        </is>
      </c>
      <c r="K362" s="55" t="inlineStr">
        <is>
          <t>PFE10222</t>
        </is>
      </c>
      <c r="L362" s="63" t="n"/>
      <c r="M362" s="63" t="n"/>
      <c r="N362" s="63" t="n"/>
      <c r="O362" s="66" t="n">
        <v>196350</v>
      </c>
      <c r="P362" s="55" t="n">
        <v>0</v>
      </c>
      <c r="Q362" s="55" t="n">
        <v>0</v>
      </c>
      <c r="R362" s="65" t="n">
        <v>196350</v>
      </c>
      <c r="S362" s="65" t="inlineStr">
        <is>
          <t>mayo 2025</t>
        </is>
      </c>
      <c r="T362" s="55" t="inlineStr">
        <is>
          <t>3388</t>
        </is>
      </c>
      <c r="U362" s="63" t="n"/>
      <c r="V362" s="63" t="n"/>
      <c r="W362" s="55" t="n"/>
      <c r="X362" s="55" t="n"/>
      <c r="Y362" s="55" t="n"/>
      <c r="Z362" s="63" t="n"/>
    </row>
    <row r="363">
      <c r="A363" s="64" t="n">
        <v>360</v>
      </c>
      <c r="B363" s="55" t="inlineStr">
        <is>
          <t>JOSE MAURICIO RUIZ VIAFARA</t>
        </is>
      </c>
      <c r="C363" s="55" t="n"/>
      <c r="D363" s="65" t="inlineStr">
        <is>
          <t>ADM</t>
        </is>
      </c>
      <c r="E363" s="65" t="n"/>
      <c r="F363" s="65" t="inlineStr">
        <is>
          <t>Conservacion Y Manutenimiento De Oficina</t>
        </is>
      </c>
      <c r="G363" s="65" t="n"/>
      <c r="H363" s="65" t="inlineStr">
        <is>
          <t>Variable</t>
        </is>
      </c>
      <c r="I363" s="55" t="inlineStr">
        <is>
          <t xml:space="preserve">MANTENIMIENTO  PREVENTIVO  AIRE ACONDICIONADO CRAFT BUENAVENTURA  </t>
        </is>
      </c>
      <c r="J363" s="55" t="inlineStr">
        <is>
          <t>Buenaventura</t>
        </is>
      </c>
      <c r="K363" s="55" t="inlineStr">
        <is>
          <t>FEJR152</t>
        </is>
      </c>
      <c r="L363" s="63" t="n"/>
      <c r="M363" s="63" t="n"/>
      <c r="N363" s="63" t="n"/>
      <c r="O363" s="66" t="n">
        <v>140000</v>
      </c>
      <c r="P363" s="55" t="n">
        <v>0</v>
      </c>
      <c r="Q363" s="55" t="n">
        <v>0</v>
      </c>
      <c r="R363" s="65" t="n">
        <v>140000</v>
      </c>
      <c r="S363" s="65" t="inlineStr">
        <is>
          <t>mayo 2025</t>
        </is>
      </c>
      <c r="T363" s="55" t="inlineStr">
        <is>
          <t>12</t>
        </is>
      </c>
      <c r="U363" s="63" t="n"/>
      <c r="V363" s="63" t="n"/>
      <c r="W363" s="55" t="n"/>
      <c r="X363" s="55" t="n"/>
      <c r="Y363" s="55" t="n"/>
      <c r="Z363" s="63" t="n"/>
    </row>
    <row r="364">
      <c r="A364" s="64" t="n">
        <v>361</v>
      </c>
      <c r="B364" s="55" t="inlineStr">
        <is>
          <t>PORTUS GLOBAL SAS</t>
        </is>
      </c>
      <c r="C364" s="55" t="n"/>
      <c r="D364" s="65" t="inlineStr">
        <is>
          <t>ADM</t>
        </is>
      </c>
      <c r="E364" s="65" t="n"/>
      <c r="F364" s="65" t="inlineStr">
        <is>
          <t>Arriendos</t>
        </is>
      </c>
      <c r="G364" s="65" t="n"/>
      <c r="H364" s="65" t="inlineStr">
        <is>
          <t>Fijo</t>
        </is>
      </c>
      <c r="I364" s="55" t="inlineStr">
        <is>
          <t>CANON DE ARRENDAMIENTO OF 1502 SUC CRAFT CARTAGENA</t>
        </is>
      </c>
      <c r="J364" s="55" t="inlineStr">
        <is>
          <t>Cartagena</t>
        </is>
      </c>
      <c r="K364" s="55" t="inlineStr">
        <is>
          <t>736</t>
        </is>
      </c>
      <c r="L364" s="63" t="n"/>
      <c r="M364" s="63" t="n"/>
      <c r="N364" s="63" t="n"/>
      <c r="O364" s="66" t="n">
        <v>8477869</v>
      </c>
      <c r="P364" s="55" t="n">
        <v>0</v>
      </c>
      <c r="Q364" s="55" t="n">
        <v>0</v>
      </c>
      <c r="R364" s="65" t="n">
        <v>8477869</v>
      </c>
      <c r="S364" s="65" t="inlineStr">
        <is>
          <t>mayo 2025</t>
        </is>
      </c>
      <c r="T364" s="55" t="inlineStr">
        <is>
          <t>24</t>
        </is>
      </c>
      <c r="U364" s="63" t="n"/>
      <c r="V364" s="63" t="n"/>
      <c r="W364" s="55" t="n"/>
      <c r="X364" s="55" t="n"/>
      <c r="Y364" s="55" t="n"/>
      <c r="Z364" s="63" t="n"/>
    </row>
    <row r="365">
      <c r="A365" s="64" t="n">
        <v>362</v>
      </c>
      <c r="B365" s="55" t="inlineStr">
        <is>
          <t>EPM MEDELLIN</t>
        </is>
      </c>
      <c r="C365" s="55" t="n"/>
      <c r="D365" s="65" t="inlineStr">
        <is>
          <t>ADM</t>
        </is>
      </c>
      <c r="E365" s="65" t="n"/>
      <c r="F365" s="65" t="inlineStr">
        <is>
          <t>Agua</t>
        </is>
      </c>
      <c r="G365" s="65" t="n"/>
      <c r="H365" s="65" t="inlineStr">
        <is>
          <t>Fijo</t>
        </is>
      </c>
      <c r="I365" s="55" t="inlineStr">
        <is>
          <t>SERVICOS PUBLICOS CRAFT MEDELLIN</t>
        </is>
      </c>
      <c r="J365" s="55" t="inlineStr">
        <is>
          <t>Medellín</t>
        </is>
      </c>
      <c r="K365" s="55" t="inlineStr">
        <is>
          <t>DEE50198463</t>
        </is>
      </c>
      <c r="L365" s="63" t="n"/>
      <c r="M365" s="63" t="n"/>
      <c r="N365" s="63" t="n"/>
      <c r="O365" s="66" t="n">
        <v>290985</v>
      </c>
      <c r="P365" s="55" t="n">
        <v>0</v>
      </c>
      <c r="Q365" s="55" t="n">
        <v>0</v>
      </c>
      <c r="R365" s="65" t="n">
        <v>290985</v>
      </c>
      <c r="S365" s="65" t="inlineStr">
        <is>
          <t>mayo 2025</t>
        </is>
      </c>
      <c r="T365" s="55" t="inlineStr">
        <is>
          <t>55</t>
        </is>
      </c>
      <c r="U365" s="63" t="n"/>
      <c r="V365" s="63" t="n"/>
      <c r="W365" s="55" t="n"/>
      <c r="X365" s="55" t="n"/>
      <c r="Y365" s="55" t="n"/>
      <c r="Z365" s="63" t="n"/>
    </row>
    <row r="366">
      <c r="A366" s="64" t="n">
        <v>363</v>
      </c>
      <c r="B366" s="55" t="inlineStr">
        <is>
          <t>EDIFICIO PORTUS MANGA CARTAGENA</t>
        </is>
      </c>
      <c r="C366" s="55" t="n"/>
      <c r="D366" s="65" t="inlineStr">
        <is>
          <t>ADM</t>
        </is>
      </c>
      <c r="E366" s="65" t="n"/>
      <c r="F366" s="65" t="inlineStr">
        <is>
          <t>Administración</t>
        </is>
      </c>
      <c r="G366" s="65" t="n"/>
      <c r="H366" s="65" t="inlineStr">
        <is>
          <t>Fijo</t>
        </is>
      </c>
      <c r="I366" s="55" t="inlineStr">
        <is>
          <t>EXPENSAS DE  ADMINISTRACION   CRAFT CARTAGENA Y PRQUEADERO</t>
        </is>
      </c>
      <c r="J366" s="55" t="inlineStr">
        <is>
          <t>Cartagena</t>
        </is>
      </c>
      <c r="K366" s="55" t="inlineStr">
        <is>
          <t>1028</t>
        </is>
      </c>
      <c r="L366" s="63" t="n"/>
      <c r="M366" s="63" t="n"/>
      <c r="N366" s="63" t="n"/>
      <c r="O366" s="66" t="n">
        <v>740527</v>
      </c>
      <c r="P366" s="55" t="n">
        <v>0</v>
      </c>
      <c r="Q366" s="55" t="n">
        <v>0</v>
      </c>
      <c r="R366" s="65" t="n">
        <v>740527</v>
      </c>
      <c r="S366" s="65" t="inlineStr">
        <is>
          <t>mayo 2025</t>
        </is>
      </c>
      <c r="T366" s="55" t="inlineStr">
        <is>
          <t>25</t>
        </is>
      </c>
      <c r="U366" s="63" t="n"/>
      <c r="V366" s="63" t="n"/>
      <c r="W366" s="55" t="n"/>
      <c r="X366" s="55" t="n"/>
      <c r="Y366" s="55" t="n"/>
      <c r="Z366" s="63" t="n"/>
    </row>
    <row r="367">
      <c r="A367" s="64" t="n">
        <v>364</v>
      </c>
      <c r="B367" s="55" t="inlineStr">
        <is>
          <t>CLARO S.A.</t>
        </is>
      </c>
      <c r="C367" s="55" t="n"/>
      <c r="D367" s="65" t="inlineStr">
        <is>
          <t>ADM</t>
        </is>
      </c>
      <c r="E367" s="65" t="n"/>
      <c r="F367" s="65" t="inlineStr">
        <is>
          <t>Celulares</t>
        </is>
      </c>
      <c r="G367" s="65" t="n"/>
      <c r="H367" s="65" t="inlineStr">
        <is>
          <t>Fijo</t>
        </is>
      </c>
      <c r="I367" s="55" t="inlineStr">
        <is>
          <t>SERVICIO TELEFONIA CELULAR COLABORADORES CRAFT</t>
        </is>
      </c>
      <c r="J367" s="55" t="inlineStr">
        <is>
          <t>Transversal</t>
        </is>
      </c>
      <c r="K367" s="55" t="inlineStr">
        <is>
          <t>E6060527186</t>
        </is>
      </c>
      <c r="L367" s="63" t="n"/>
      <c r="M367" s="63" t="n"/>
      <c r="N367" s="63" t="n"/>
      <c r="O367" s="66" t="n">
        <v>3006044</v>
      </c>
      <c r="P367" s="55" t="n">
        <v>0</v>
      </c>
      <c r="Q367" s="55" t="n">
        <v>0</v>
      </c>
      <c r="R367" s="65" t="n">
        <v>3006044</v>
      </c>
      <c r="S367" s="65" t="inlineStr">
        <is>
          <t>mayo 2025</t>
        </is>
      </c>
      <c r="T367" s="55" t="inlineStr">
        <is>
          <t>3425</t>
        </is>
      </c>
      <c r="U367" s="63" t="n"/>
      <c r="V367" s="63" t="n"/>
      <c r="W367" s="55" t="n"/>
      <c r="X367" s="55" t="n"/>
      <c r="Y367" s="55" t="n"/>
      <c r="Z367" s="63" t="n"/>
    </row>
    <row r="368">
      <c r="A368" s="64" t="n">
        <v>365</v>
      </c>
      <c r="B368" s="55" t="inlineStr">
        <is>
          <t>LUZ DARY MINA GARCES</t>
        </is>
      </c>
      <c r="C368" s="55" t="n"/>
      <c r="D368" s="65" t="inlineStr">
        <is>
          <t>ADM</t>
        </is>
      </c>
      <c r="E368" s="65" t="n"/>
      <c r="F368" s="65" t="inlineStr">
        <is>
          <t>Otros Gastos CASA LIMPIA PLANILLA AC OTROS</t>
        </is>
      </c>
      <c r="G368" s="65" t="n"/>
      <c r="H368" s="65" t="inlineStr">
        <is>
          <t>Fijo</t>
        </is>
      </c>
      <c r="I368" s="55" t="inlineStr">
        <is>
          <t>SERVICIO ASEO GENERAL OFICINA CRAFT BUENAVENTURA</t>
        </is>
      </c>
      <c r="J368" s="55" t="inlineStr">
        <is>
          <t>Buenaventura</t>
        </is>
      </c>
      <c r="K368" s="55" t="inlineStr">
        <is>
          <t>177</t>
        </is>
      </c>
      <c r="L368" s="63" t="n"/>
      <c r="M368" s="63" t="n"/>
      <c r="N368" s="63" t="n"/>
      <c r="O368" s="66" t="n">
        <v>1000000</v>
      </c>
      <c r="P368" s="55" t="n">
        <v>0</v>
      </c>
      <c r="Q368" s="55" t="n">
        <v>0</v>
      </c>
      <c r="R368" s="65" t="n">
        <v>1000000</v>
      </c>
      <c r="S368" s="65" t="inlineStr">
        <is>
          <t>mayo 2025</t>
        </is>
      </c>
      <c r="T368" s="55" t="inlineStr">
        <is>
          <t>18</t>
        </is>
      </c>
      <c r="U368" s="63" t="n"/>
      <c r="V368" s="63" t="n"/>
      <c r="W368" s="55" t="n"/>
      <c r="X368" s="55" t="n"/>
      <c r="Y368" s="55" t="n"/>
      <c r="Z368" s="63" t="n"/>
    </row>
    <row r="369">
      <c r="A369" s="64" t="n">
        <v>366</v>
      </c>
      <c r="B369" s="55" t="inlineStr">
        <is>
          <t>TIGO</t>
        </is>
      </c>
      <c r="C369" s="55" t="n"/>
      <c r="D369" s="65" t="inlineStr">
        <is>
          <t>ADM</t>
        </is>
      </c>
      <c r="E369" s="65" t="n"/>
      <c r="F369" s="65" t="inlineStr">
        <is>
          <t>Telefono fijo</t>
        </is>
      </c>
      <c r="G369" s="65" t="n"/>
      <c r="H369" s="65" t="inlineStr">
        <is>
          <t>Fijo</t>
        </is>
      </c>
      <c r="I369" s="55" t="inlineStr">
        <is>
          <t>SERVICIO NUMERO UNICO CRAFT MEDELLIN</t>
        </is>
      </c>
      <c r="J369" s="55" t="inlineStr">
        <is>
          <t>Medellín</t>
        </is>
      </c>
      <c r="K369" s="55" t="inlineStr">
        <is>
          <t>BOPU135011601</t>
        </is>
      </c>
      <c r="L369" s="63" t="n"/>
      <c r="M369" s="63" t="n"/>
      <c r="N369" s="63" t="n"/>
      <c r="O369" s="66" t="n">
        <v>27351</v>
      </c>
      <c r="P369" s="55" t="n">
        <v>0</v>
      </c>
      <c r="Q369" s="55" t="n">
        <v>0</v>
      </c>
      <c r="R369" s="65" t="n">
        <v>27351</v>
      </c>
      <c r="S369" s="65" t="inlineStr">
        <is>
          <t>mayo 2025</t>
        </is>
      </c>
      <c r="T369" s="55" t="inlineStr">
        <is>
          <t>85</t>
        </is>
      </c>
      <c r="U369" s="63" t="n"/>
      <c r="V369" s="63" t="n"/>
      <c r="W369" s="55" t="n"/>
      <c r="X369" s="55" t="n"/>
      <c r="Y369" s="55" t="n"/>
      <c r="Z369" s="63" t="n"/>
    </row>
    <row r="370">
      <c r="A370" s="64" t="n">
        <v>367</v>
      </c>
      <c r="B370" s="55" t="inlineStr">
        <is>
          <t>TIGO</t>
        </is>
      </c>
      <c r="C370" s="55" t="n"/>
      <c r="D370" s="65" t="inlineStr">
        <is>
          <t>ADM</t>
        </is>
      </c>
      <c r="E370" s="65" t="n"/>
      <c r="F370" s="65" t="inlineStr">
        <is>
          <t>Telefono fijo</t>
        </is>
      </c>
      <c r="G370" s="65" t="n"/>
      <c r="H370" s="65" t="inlineStr">
        <is>
          <t>Fijo</t>
        </is>
      </c>
      <c r="I370" s="55" t="inlineStr">
        <is>
          <t>SERVICIO TELEFONIA CRAFT MEDELLIN</t>
        </is>
      </c>
      <c r="J370" s="55" t="inlineStr">
        <is>
          <t>Medellín</t>
        </is>
      </c>
      <c r="K370" s="55" t="inlineStr">
        <is>
          <t>BOPU135064712</t>
        </is>
      </c>
      <c r="L370" s="63" t="n"/>
      <c r="M370" s="63" t="n"/>
      <c r="N370" s="63" t="n"/>
      <c r="O370" s="66" t="n">
        <v>116630</v>
      </c>
      <c r="P370" s="55" t="n">
        <v>0</v>
      </c>
      <c r="Q370" s="55" t="n">
        <v>0</v>
      </c>
      <c r="R370" s="65" t="n">
        <v>116630</v>
      </c>
      <c r="S370" s="65" t="inlineStr">
        <is>
          <t>mayo 2025</t>
        </is>
      </c>
      <c r="T370" s="55" t="inlineStr">
        <is>
          <t>83</t>
        </is>
      </c>
      <c r="U370" s="63" t="n"/>
      <c r="V370" s="63" t="n"/>
      <c r="W370" s="55" t="n"/>
      <c r="X370" s="55" t="n"/>
      <c r="Y370" s="55" t="n"/>
      <c r="Z370" s="63" t="n"/>
    </row>
    <row r="371">
      <c r="A371" s="64" t="n">
        <v>368</v>
      </c>
      <c r="B371" s="55" t="inlineStr">
        <is>
          <t>TIGO</t>
        </is>
      </c>
      <c r="C371" s="55" t="n"/>
      <c r="D371" s="65" t="inlineStr">
        <is>
          <t>IT</t>
        </is>
      </c>
      <c r="E371" s="65" t="n"/>
      <c r="F371" s="65" t="inlineStr">
        <is>
          <t>Internet oficinas</t>
        </is>
      </c>
      <c r="G371" s="65" t="n"/>
      <c r="H371" s="65" t="inlineStr">
        <is>
          <t>Fijo</t>
        </is>
      </c>
      <c r="I371" s="55" t="inlineStr">
        <is>
          <t>SERVICIO INTERNET CRAFT MEDELLIN</t>
        </is>
      </c>
      <c r="J371" s="55" t="inlineStr">
        <is>
          <t>Medellín</t>
        </is>
      </c>
      <c r="K371" s="55" t="inlineStr">
        <is>
          <t>BOPU135022670</t>
        </is>
      </c>
      <c r="L371" s="63" t="n"/>
      <c r="M371" s="63" t="n"/>
      <c r="N371" s="63" t="n"/>
      <c r="O371" s="66" t="n">
        <v>143404</v>
      </c>
      <c r="P371" s="55" t="n">
        <v>0</v>
      </c>
      <c r="Q371" s="55" t="n">
        <v>0</v>
      </c>
      <c r="R371" s="65" t="n">
        <v>143404</v>
      </c>
      <c r="S371" s="65" t="inlineStr">
        <is>
          <t>mayo 2025</t>
        </is>
      </c>
      <c r="T371" s="55" t="inlineStr">
        <is>
          <t>84</t>
        </is>
      </c>
      <c r="U371" s="63" t="n"/>
      <c r="V371" s="63" t="n"/>
      <c r="W371" s="55" t="n"/>
      <c r="X371" s="55" t="n"/>
      <c r="Y371" s="55" t="n"/>
      <c r="Z371" s="63" t="n"/>
    </row>
    <row r="372">
      <c r="A372" s="64" t="n">
        <v>369</v>
      </c>
      <c r="B372" s="55" t="inlineStr">
        <is>
          <t>CLARO S.A.</t>
        </is>
      </c>
      <c r="C372" s="55" t="n"/>
      <c r="D372" s="65" t="inlineStr">
        <is>
          <t>ADM</t>
        </is>
      </c>
      <c r="E372" s="65" t="n"/>
      <c r="F372" s="65" t="inlineStr">
        <is>
          <t>Celulares</t>
        </is>
      </c>
      <c r="G372" s="65" t="n"/>
      <c r="H372" s="65" t="inlineStr">
        <is>
          <t>Fijo</t>
        </is>
      </c>
      <c r="I372" s="55" t="inlineStr">
        <is>
          <t>PLAN DATOS RAFAEL DE SA</t>
        </is>
      </c>
      <c r="J372" s="55" t="inlineStr">
        <is>
          <t>Transversal</t>
        </is>
      </c>
      <c r="K372" s="55" t="inlineStr">
        <is>
          <t>E6062313304</t>
        </is>
      </c>
      <c r="L372" s="63" t="n"/>
      <c r="M372" s="63" t="n"/>
      <c r="N372" s="63" t="n"/>
      <c r="O372" s="66" t="n">
        <v>142443</v>
      </c>
      <c r="P372" s="55" t="n">
        <v>0</v>
      </c>
      <c r="Q372" s="55" t="n">
        <v>0</v>
      </c>
      <c r="R372" s="65" t="n">
        <v>142443</v>
      </c>
      <c r="S372" s="65" t="inlineStr">
        <is>
          <t>mayo 2025</t>
        </is>
      </c>
      <c r="T372" s="55" t="inlineStr">
        <is>
          <t>5052</t>
        </is>
      </c>
      <c r="U372" s="63" t="n"/>
      <c r="V372" s="63" t="n"/>
      <c r="W372" s="55" t="n"/>
      <c r="X372" s="55" t="n"/>
      <c r="Y372" s="55" t="n"/>
      <c r="Z372" s="63" t="n"/>
    </row>
    <row r="373">
      <c r="A373" s="64" t="n">
        <v>370</v>
      </c>
      <c r="B373" s="55" t="inlineStr">
        <is>
          <t>MULTICOPY JV ZOMAC SAS</t>
        </is>
      </c>
      <c r="C373" s="55" t="n"/>
      <c r="D373" s="65" t="inlineStr">
        <is>
          <t>IT</t>
        </is>
      </c>
      <c r="E373" s="65" t="n"/>
      <c r="F373" s="65" t="inlineStr">
        <is>
          <t>Conservacion Y Manutenimiento De Oficina</t>
        </is>
      </c>
      <c r="G373" s="65" t="n"/>
      <c r="H373" s="65" t="n"/>
      <c r="I373" s="55" t="inlineStr">
        <is>
          <t>ALQUILER IMPRESORA CRAFT BUENAVENTURA</t>
        </is>
      </c>
      <c r="J373" s="55" t="inlineStr">
        <is>
          <t>Buenaventura</t>
        </is>
      </c>
      <c r="K373" s="55" t="inlineStr">
        <is>
          <t>FEMC10308</t>
        </is>
      </c>
      <c r="L373" s="63" t="n"/>
      <c r="M373" s="63" t="n"/>
      <c r="N373" s="63" t="n"/>
      <c r="O373" s="66" t="n">
        <v>218990</v>
      </c>
      <c r="P373" s="55" t="n">
        <v>0</v>
      </c>
      <c r="Q373" s="55" t="n">
        <v>0</v>
      </c>
      <c r="R373" s="65" t="n">
        <v>218990</v>
      </c>
      <c r="S373" s="65" t="inlineStr">
        <is>
          <t>mayo 2025</t>
        </is>
      </c>
      <c r="T373" s="55" t="inlineStr">
        <is>
          <t>16</t>
        </is>
      </c>
      <c r="U373" s="63" t="n"/>
      <c r="V373" s="63" t="n"/>
      <c r="W373" s="55" t="n"/>
      <c r="X373" s="55" t="n"/>
      <c r="Y373" s="55" t="n"/>
      <c r="Z373" s="63" t="n"/>
    </row>
    <row r="374">
      <c r="A374" s="64" t="n">
        <v>371</v>
      </c>
      <c r="B374" s="55" t="inlineStr">
        <is>
          <t>CLARO S.A.</t>
        </is>
      </c>
      <c r="C374" s="55" t="n"/>
      <c r="D374" s="65" t="inlineStr">
        <is>
          <t>ADM</t>
        </is>
      </c>
      <c r="E374" s="65" t="n"/>
      <c r="F374" s="65" t="inlineStr">
        <is>
          <t>Celulares</t>
        </is>
      </c>
      <c r="G374" s="65" t="n"/>
      <c r="H374" s="65" t="inlineStr">
        <is>
          <t>Fijo</t>
        </is>
      </c>
      <c r="I374" s="55" t="inlineStr">
        <is>
          <t>SIM TABLET CTG</t>
        </is>
      </c>
      <c r="J374" s="55" t="inlineStr">
        <is>
          <t>Cartagena</t>
        </is>
      </c>
      <c r="K374" s="55" t="inlineStr">
        <is>
          <t>E6062312825</t>
        </is>
      </c>
      <c r="L374" s="63" t="n"/>
      <c r="M374" s="63" t="n"/>
      <c r="N374" s="63" t="n"/>
      <c r="O374" s="66" t="n">
        <v>192117</v>
      </c>
      <c r="P374" s="55" t="n">
        <v>0</v>
      </c>
      <c r="Q374" s="55" t="n">
        <v>0</v>
      </c>
      <c r="R374" s="65" t="n">
        <v>192117</v>
      </c>
      <c r="S374" s="65" t="inlineStr">
        <is>
          <t>mayo 2025</t>
        </is>
      </c>
      <c r="T374" s="55" t="inlineStr">
        <is>
          <t>30</t>
        </is>
      </c>
      <c r="U374" s="63" t="n"/>
      <c r="V374" s="63" t="n"/>
      <c r="W374" s="55" t="n"/>
      <c r="X374" s="55" t="n"/>
      <c r="Y374" s="55" t="n"/>
      <c r="Z374" s="63" t="n"/>
    </row>
    <row r="375">
      <c r="A375" s="64" t="n">
        <v>372</v>
      </c>
      <c r="B375" s="55" t="inlineStr">
        <is>
          <t>CLARO S.A.</t>
        </is>
      </c>
      <c r="C375" s="55" t="n"/>
      <c r="D375" s="65" t="inlineStr">
        <is>
          <t>ADM</t>
        </is>
      </c>
      <c r="E375" s="65" t="n"/>
      <c r="F375" s="65" t="inlineStr">
        <is>
          <t>Celulares</t>
        </is>
      </c>
      <c r="G375" s="65" t="n"/>
      <c r="H375" s="65" t="inlineStr">
        <is>
          <t>Fijo</t>
        </is>
      </c>
      <c r="I375" s="55" t="inlineStr">
        <is>
          <t xml:space="preserve">SIM TABLET BUN Y AEROPUERTO  </t>
        </is>
      </c>
      <c r="J375" s="55" t="inlineStr">
        <is>
          <t>Puertos</t>
        </is>
      </c>
      <c r="K375" s="55" t="inlineStr">
        <is>
          <t>E6062315823</t>
        </is>
      </c>
      <c r="L375" s="63" t="n"/>
      <c r="M375" s="63" t="n"/>
      <c r="N375" s="63" t="n"/>
      <c r="O375" s="66" t="n">
        <v>325398</v>
      </c>
      <c r="P375" s="55" t="n">
        <v>0</v>
      </c>
      <c r="Q375" s="55" t="n">
        <v>0</v>
      </c>
      <c r="R375" s="65" t="n">
        <v>325398</v>
      </c>
      <c r="S375" s="65" t="inlineStr">
        <is>
          <t>mayo 2025</t>
        </is>
      </c>
      <c r="T375" s="55" t="inlineStr">
        <is>
          <t>17</t>
        </is>
      </c>
      <c r="U375" s="63" t="n"/>
      <c r="V375" s="63" t="n"/>
      <c r="W375" s="55" t="n"/>
      <c r="X375" s="55" t="n"/>
      <c r="Y375" s="55" t="n"/>
      <c r="Z375" s="63" t="n"/>
    </row>
    <row r="376">
      <c r="A376" s="64" t="n">
        <v>373</v>
      </c>
      <c r="B376" s="55" t="inlineStr">
        <is>
          <t>TECNOLOGIA INFORMATICA TECINF SAS</t>
        </is>
      </c>
      <c r="C376" s="55" t="n"/>
      <c r="D376" s="65" t="inlineStr">
        <is>
          <t>IT</t>
        </is>
      </c>
      <c r="E376" s="65" t="n"/>
      <c r="F376" s="65" t="inlineStr">
        <is>
          <t>Repositorio Veembackup</t>
        </is>
      </c>
      <c r="G376" s="65" t="n"/>
      <c r="H376" s="65" t="inlineStr">
        <is>
          <t>Fijo</t>
        </is>
      </c>
      <c r="I376" s="55" t="inlineStr">
        <is>
          <t>SERVICIOS VEAM BACKUP</t>
        </is>
      </c>
      <c r="J376" s="55" t="inlineStr">
        <is>
          <t>Transversal</t>
        </is>
      </c>
      <c r="K376" s="55" t="inlineStr">
        <is>
          <t>FEB27243</t>
        </is>
      </c>
      <c r="L376" s="63" t="n"/>
      <c r="M376" s="63" t="n"/>
      <c r="N376" s="63" t="n"/>
      <c r="O376" s="66" t="n">
        <v>2666664</v>
      </c>
      <c r="P376" s="55" t="n">
        <v>0</v>
      </c>
      <c r="Q376" s="55" t="n">
        <v>0</v>
      </c>
      <c r="R376" s="65" t="n">
        <v>2666664</v>
      </c>
      <c r="S376" s="65" t="inlineStr">
        <is>
          <t>mayo 2025</t>
        </is>
      </c>
      <c r="T376" s="55" t="inlineStr">
        <is>
          <t>6320</t>
        </is>
      </c>
      <c r="U376" s="63" t="n"/>
      <c r="V376" s="63" t="n"/>
      <c r="W376" s="55" t="n"/>
      <c r="X376" s="55" t="n"/>
      <c r="Y376" s="55" t="n"/>
      <c r="Z376" s="63" t="n"/>
    </row>
    <row r="377">
      <c r="A377" s="64" t="n">
        <v>374</v>
      </c>
      <c r="B377" s="55" t="inlineStr">
        <is>
          <t>COMPAÑIA PAPELERA NACIONAL S.A.S</t>
        </is>
      </c>
      <c r="C377" s="55" t="n"/>
      <c r="D377" s="65" t="inlineStr">
        <is>
          <t>ADM</t>
        </is>
      </c>
      <c r="E377" s="65" t="n"/>
      <c r="F377" s="65" t="inlineStr">
        <is>
          <t>Material Copa/Cozinha</t>
        </is>
      </c>
      <c r="G377" s="65" t="n"/>
      <c r="H377" s="65" t="inlineStr">
        <is>
          <t>Variable</t>
        </is>
      </c>
      <c r="I377" s="55" t="inlineStr">
        <is>
          <t>PEDIDO CAFETERIA CRAFT AEROPUERTO</t>
        </is>
      </c>
      <c r="J377" s="55" t="inlineStr">
        <is>
          <t>Aeropuerto</t>
        </is>
      </c>
      <c r="K377" s="55" t="inlineStr">
        <is>
          <t>CPFP212507</t>
        </is>
      </c>
      <c r="L377" s="63" t="n"/>
      <c r="M377" s="63" t="n"/>
      <c r="N377" s="63" t="n"/>
      <c r="O377" s="66" t="n">
        <v>212095</v>
      </c>
      <c r="P377" s="55" t="n">
        <v>0</v>
      </c>
      <c r="Q377" s="55" t="n">
        <v>0</v>
      </c>
      <c r="R377" s="65" t="n">
        <v>212095</v>
      </c>
      <c r="S377" s="65" t="inlineStr">
        <is>
          <t>mayo 2025</t>
        </is>
      </c>
      <c r="T377" s="55" t="inlineStr">
        <is>
          <t>6</t>
        </is>
      </c>
      <c r="U377" s="63" t="n"/>
      <c r="V377" s="63" t="n"/>
      <c r="W377" s="55" t="n"/>
      <c r="X377" s="55" t="n"/>
      <c r="Y377" s="55" t="n"/>
      <c r="Z377" s="63" t="n"/>
    </row>
    <row r="378">
      <c r="A378" s="64" t="n">
        <v>375</v>
      </c>
      <c r="B378" s="55" t="inlineStr">
        <is>
          <t>COMPAÑIA PAPELERA NACIONAL S.A.S</t>
        </is>
      </c>
      <c r="C378" s="55" t="n"/>
      <c r="D378" s="65" t="inlineStr">
        <is>
          <t>ADM</t>
        </is>
      </c>
      <c r="E378" s="65" t="n"/>
      <c r="F378" s="65" t="inlineStr">
        <is>
          <t>Material Copa/Cozinha</t>
        </is>
      </c>
      <c r="G378" s="65" t="n"/>
      <c r="H378" s="65" t="inlineStr">
        <is>
          <t>Variable</t>
        </is>
      </c>
      <c r="I378" s="55" t="inlineStr">
        <is>
          <t>PEDIDO CAFETERIA CRAFT AEROPUERTO</t>
        </is>
      </c>
      <c r="J378" s="55" t="inlineStr">
        <is>
          <t>Aeropuerto</t>
        </is>
      </c>
      <c r="K378" s="55" t="inlineStr">
        <is>
          <t>CPFP212506</t>
        </is>
      </c>
      <c r="L378" s="63" t="n"/>
      <c r="M378" s="63" t="n"/>
      <c r="N378" s="63" t="n"/>
      <c r="O378" s="66" t="n">
        <v>107421</v>
      </c>
      <c r="P378" s="55" t="n">
        <v>0</v>
      </c>
      <c r="Q378" s="55" t="n">
        <v>0</v>
      </c>
      <c r="R378" s="65" t="n">
        <v>107421</v>
      </c>
      <c r="S378" s="65" t="inlineStr">
        <is>
          <t>mayo 2025</t>
        </is>
      </c>
      <c r="T378" s="55" t="inlineStr">
        <is>
          <t>7</t>
        </is>
      </c>
      <c r="U378" s="63" t="n"/>
      <c r="V378" s="63" t="n"/>
      <c r="W378" s="55" t="n"/>
      <c r="X378" s="55" t="n"/>
      <c r="Y378" s="55" t="n"/>
      <c r="Z378" s="63" t="n"/>
    </row>
    <row r="379">
      <c r="A379" s="64" t="n">
        <v>376</v>
      </c>
      <c r="B379" s="55" t="inlineStr">
        <is>
          <t>COMPAÑIA PAPELERA NACIONAL S.A.S</t>
        </is>
      </c>
      <c r="C379" s="55" t="n"/>
      <c r="D379" s="65" t="inlineStr">
        <is>
          <t>ADM</t>
        </is>
      </c>
      <c r="E379" s="65" t="n"/>
      <c r="F379" s="65" t="inlineStr">
        <is>
          <t>Material Copa/Cozinha</t>
        </is>
      </c>
      <c r="G379" s="65" t="n"/>
      <c r="H379" s="65" t="inlineStr">
        <is>
          <t>Variable</t>
        </is>
      </c>
      <c r="I379" s="55" t="inlineStr">
        <is>
          <t>PEDIDO PAPELERIA CRAFT AEROPUERTO</t>
        </is>
      </c>
      <c r="J379" s="55" t="inlineStr">
        <is>
          <t>Aeropuerto</t>
        </is>
      </c>
      <c r="K379" s="55" t="inlineStr">
        <is>
          <t>CPFP212504</t>
        </is>
      </c>
      <c r="L379" s="63" t="n"/>
      <c r="M379" s="63" t="n"/>
      <c r="N379" s="63" t="n"/>
      <c r="O379" s="66" t="n">
        <v>450512</v>
      </c>
      <c r="P379" s="55" t="n">
        <v>0</v>
      </c>
      <c r="Q379" s="55" t="n">
        <v>0</v>
      </c>
      <c r="R379" s="65" t="n">
        <v>450512</v>
      </c>
      <c r="S379" s="65" t="inlineStr">
        <is>
          <t>mayo 2025</t>
        </is>
      </c>
      <c r="T379" s="55" t="inlineStr">
        <is>
          <t>8</t>
        </is>
      </c>
      <c r="U379" s="63" t="n"/>
      <c r="V379" s="63" t="n"/>
      <c r="W379" s="55" t="n"/>
      <c r="X379" s="55" t="n"/>
      <c r="Y379" s="55" t="n"/>
      <c r="Z379" s="63" t="n"/>
    </row>
    <row r="380">
      <c r="A380" s="64" t="n">
        <v>377</v>
      </c>
      <c r="B380" s="55" t="inlineStr">
        <is>
          <t>TECNOLOGIA INFORMATICA TECINF SAS</t>
        </is>
      </c>
      <c r="C380" s="55" t="n"/>
      <c r="D380" s="65" t="inlineStr">
        <is>
          <t>ADM</t>
        </is>
      </c>
      <c r="E380" s="65" t="n"/>
      <c r="F380" s="65" t="inlineStr">
        <is>
          <t>Licencias Firewall &amp; veembackup</t>
        </is>
      </c>
      <c r="G380" s="65" t="n"/>
      <c r="H380" s="65" t="inlineStr">
        <is>
          <t>Variable</t>
        </is>
      </c>
      <c r="I380" s="55" t="inlineStr">
        <is>
          <t>LICENCIA 365 PARA AUTOMATIZACIONES</t>
        </is>
      </c>
      <c r="J380" s="55" t="inlineStr">
        <is>
          <t>Transversal</t>
        </is>
      </c>
      <c r="K380" s="55" t="inlineStr">
        <is>
          <t>FEB27293</t>
        </is>
      </c>
      <c r="L380" s="63" t="n"/>
      <c r="M380" s="63" t="n"/>
      <c r="N380" s="63" t="n"/>
      <c r="O380" s="66" t="n">
        <v>504719</v>
      </c>
      <c r="P380" s="55" t="n">
        <v>0</v>
      </c>
      <c r="Q380" s="55" t="n">
        <v>0</v>
      </c>
      <c r="R380" s="65" t="n">
        <v>504719</v>
      </c>
      <c r="S380" s="65" t="inlineStr">
        <is>
          <t>mayo 2025</t>
        </is>
      </c>
      <c r="T380" s="55" t="inlineStr">
        <is>
          <t>6328</t>
        </is>
      </c>
      <c r="U380" s="63" t="n"/>
      <c r="V380" s="63" t="n"/>
      <c r="W380" s="55" t="n"/>
      <c r="X380" s="55" t="n"/>
      <c r="Y380" s="55" t="n"/>
      <c r="Z380" s="63" t="n"/>
    </row>
    <row r="381">
      <c r="A381" s="64" t="n">
        <v>378</v>
      </c>
      <c r="B381" s="55" t="inlineStr">
        <is>
          <t>PC QUICK SAS</t>
        </is>
      </c>
      <c r="C381" s="55" t="n"/>
      <c r="D381" s="65" t="inlineStr">
        <is>
          <t>ADM</t>
        </is>
      </c>
      <c r="E381" s="65" t="n"/>
      <c r="F381" s="65" t="inlineStr">
        <is>
          <t>Conservacion Y Manutenimiento De Oficina</t>
        </is>
      </c>
      <c r="G381" s="65" t="n"/>
      <c r="H381" s="65" t="inlineStr">
        <is>
          <t>Variable</t>
        </is>
      </c>
      <c r="I381" s="55" t="inlineStr">
        <is>
          <t>ARREGLO CAMARA PC TATIANA SANCHEZ Y JULIAN MACHACON</t>
        </is>
      </c>
      <c r="J381" s="55" t="inlineStr">
        <is>
          <t>Transversal</t>
        </is>
      </c>
      <c r="K381" s="55" t="inlineStr">
        <is>
          <t>PFE10259</t>
        </is>
      </c>
      <c r="L381" s="63" t="n"/>
      <c r="M381" s="63" t="n"/>
      <c r="N381" s="63" t="n"/>
      <c r="O381" s="66" t="n">
        <v>828240</v>
      </c>
      <c r="P381" s="55" t="n">
        <v>0</v>
      </c>
      <c r="Q381" s="55" t="n">
        <v>0</v>
      </c>
      <c r="R381" s="65" t="n">
        <v>828240</v>
      </c>
      <c r="S381" s="65" t="inlineStr">
        <is>
          <t>mayo 2025</t>
        </is>
      </c>
      <c r="T381" s="55" t="inlineStr">
        <is>
          <t>6330</t>
        </is>
      </c>
      <c r="U381" s="63" t="n"/>
      <c r="V381" s="63" t="n"/>
      <c r="W381" s="55" t="n"/>
      <c r="X381" s="55" t="n"/>
      <c r="Y381" s="55" t="n"/>
      <c r="Z381" s="63" t="n"/>
    </row>
    <row r="382">
      <c r="A382" s="64" t="n">
        <v>379</v>
      </c>
      <c r="B382" s="55" t="inlineStr">
        <is>
          <t>CHATOBRAND SAS</t>
        </is>
      </c>
      <c r="C382" s="55" t="n"/>
      <c r="D382" s="65" t="inlineStr">
        <is>
          <t>ADM</t>
        </is>
      </c>
      <c r="E382" s="65" t="n"/>
      <c r="F382" s="65" t="inlineStr">
        <is>
          <t>Gastos De Representacion</t>
        </is>
      </c>
      <c r="G382" s="65" t="n"/>
      <c r="H382" s="65" t="inlineStr">
        <is>
          <t>Variable</t>
        </is>
      </c>
      <c r="I382" s="55" t="inlineStr">
        <is>
          <t>COMPRA 2 PENDONES ROL AP PARA CAPACITACION FORWARDER SIMMIT</t>
        </is>
      </c>
      <c r="J382" s="55" t="inlineStr">
        <is>
          <t>Transversal</t>
        </is>
      </c>
      <c r="K382" s="55" t="inlineStr">
        <is>
          <t>FEV290</t>
        </is>
      </c>
      <c r="L382" s="63" t="n"/>
      <c r="M382" s="63" t="n"/>
      <c r="N382" s="63" t="n"/>
      <c r="O382" s="66" t="n">
        <v>464100</v>
      </c>
      <c r="P382" s="55" t="n">
        <v>0</v>
      </c>
      <c r="Q382" s="55" t="n">
        <v>0</v>
      </c>
      <c r="R382" s="65" t="n">
        <v>464100</v>
      </c>
      <c r="S382" s="65" t="inlineStr">
        <is>
          <t>mayo 2025</t>
        </is>
      </c>
      <c r="T382" s="55" t="inlineStr">
        <is>
          <t>5096</t>
        </is>
      </c>
      <c r="U382" s="63" t="n"/>
      <c r="V382" s="63" t="n"/>
      <c r="W382" s="55" t="n"/>
      <c r="X382" s="55" t="n"/>
      <c r="Y382" s="55" t="n"/>
      <c r="Z382" s="63" t="n"/>
    </row>
    <row r="383">
      <c r="A383" s="64" t="n">
        <v>380</v>
      </c>
      <c r="B383" s="55" t="inlineStr">
        <is>
          <t>TURISMO 24 HORAS S.A.S</t>
        </is>
      </c>
      <c r="C383" s="55" t="n"/>
      <c r="D383" s="65" t="inlineStr">
        <is>
          <t>ADM</t>
        </is>
      </c>
      <c r="E383" s="65" t="n"/>
      <c r="F383" s="65" t="n"/>
      <c r="G383" s="65" t="n"/>
      <c r="H383" s="65" t="inlineStr">
        <is>
          <t>Variable</t>
        </is>
      </c>
      <c r="I383" s="55" t="inlineStr">
        <is>
          <t>COMPRA TIQUETES CORRERIA FABIO MIGUEL ,ANA Y SILVIA</t>
        </is>
      </c>
      <c r="J383" s="55" t="inlineStr">
        <is>
          <t>Transversal</t>
        </is>
      </c>
      <c r="K383" s="55" t="inlineStr">
        <is>
          <t>T24H13423</t>
        </is>
      </c>
      <c r="L383" s="63" t="n"/>
      <c r="M383" s="63" t="n"/>
      <c r="N383" s="63" t="n"/>
      <c r="O383" s="66" t="n">
        <v>7094600</v>
      </c>
      <c r="P383" s="55" t="n">
        <v>0</v>
      </c>
      <c r="Q383" s="55" t="n">
        <v>0</v>
      </c>
      <c r="R383" s="65" t="n">
        <v>7094600</v>
      </c>
      <c r="S383" s="65" t="inlineStr">
        <is>
          <t>mayo 2025</t>
        </is>
      </c>
      <c r="T383" s="55" t="inlineStr">
        <is>
          <t>6331</t>
        </is>
      </c>
      <c r="U383" s="63" t="n"/>
      <c r="V383" s="63" t="n"/>
      <c r="W383" s="55" t="n"/>
      <c r="X383" s="55" t="n"/>
      <c r="Y383" s="55" t="n"/>
      <c r="Z383" s="63" t="n"/>
    </row>
    <row r="384">
      <c r="A384" s="64" t="n">
        <v>381</v>
      </c>
      <c r="B384" s="55" t="inlineStr">
        <is>
          <t>MATEO GUZMAN</t>
        </is>
      </c>
      <c r="C384" s="55" t="n"/>
      <c r="D384" s="65" t="inlineStr">
        <is>
          <t>ADM</t>
        </is>
      </c>
      <c r="E384" s="65" t="n"/>
      <c r="F384" s="65" t="inlineStr">
        <is>
          <t>Malote</t>
        </is>
      </c>
      <c r="G384" s="65" t="n"/>
      <c r="H384" s="65" t="inlineStr">
        <is>
          <t>Variable</t>
        </is>
      </c>
      <c r="I384" s="55" t="inlineStr">
        <is>
          <t>SERVICO MENSAJERIA LLEVAR PC CARO LOPEZ, RECOGER PENDONES</t>
        </is>
      </c>
      <c r="J384" s="55" t="inlineStr">
        <is>
          <t>Calle 100</t>
        </is>
      </c>
      <c r="K384" s="55" t="inlineStr">
        <is>
          <t>36</t>
        </is>
      </c>
      <c r="L384" s="63" t="n"/>
      <c r="M384" s="63" t="n"/>
      <c r="N384" s="63" t="n"/>
      <c r="O384" s="66" t="n">
        <v>251200</v>
      </c>
      <c r="P384" s="55" t="n">
        <v>0</v>
      </c>
      <c r="Q384" s="55" t="n">
        <v>0</v>
      </c>
      <c r="R384" s="65" t="n">
        <v>251200</v>
      </c>
      <c r="S384" s="65" t="inlineStr">
        <is>
          <t>mayo 2025</t>
        </is>
      </c>
      <c r="T384" s="55" t="inlineStr">
        <is>
          <t>6353</t>
        </is>
      </c>
      <c r="U384" s="63" t="n"/>
      <c r="V384" s="63" t="n"/>
      <c r="W384" s="55" t="n"/>
      <c r="X384" s="55" t="n"/>
      <c r="Y384" s="55" t="n"/>
      <c r="Z384" s="63" t="n"/>
    </row>
    <row r="385">
      <c r="A385" s="64" t="n">
        <v>382</v>
      </c>
      <c r="B385" s="55" t="inlineStr">
        <is>
          <t>IFX NETWORKS COLOMBIA S.A.S.</t>
        </is>
      </c>
      <c r="C385" s="55" t="n"/>
      <c r="D385" s="65" t="inlineStr">
        <is>
          <t>IT</t>
        </is>
      </c>
      <c r="E385" s="65" t="n"/>
      <c r="F385" s="65" t="inlineStr">
        <is>
          <t>Internet oficinas</t>
        </is>
      </c>
      <c r="G385" s="65" t="n"/>
      <c r="H385" s="65" t="inlineStr">
        <is>
          <t>Fijo</t>
        </is>
      </c>
      <c r="I385" s="55" t="inlineStr">
        <is>
          <t>SERVICIO SD WAN</t>
        </is>
      </c>
      <c r="J385" s="55" t="inlineStr">
        <is>
          <t>Transversal</t>
        </is>
      </c>
      <c r="K385" s="55" t="inlineStr">
        <is>
          <t>IFXC463353</t>
        </is>
      </c>
      <c r="L385" s="63" t="n"/>
      <c r="M385" s="63" t="n"/>
      <c r="N385" s="63" t="n"/>
      <c r="O385" s="66" t="n">
        <v>3488538</v>
      </c>
      <c r="P385" s="55" t="n">
        <v>0</v>
      </c>
      <c r="Q385" s="55" t="n">
        <v>0</v>
      </c>
      <c r="R385" s="65" t="n">
        <v>3488538</v>
      </c>
      <c r="S385" s="65" t="inlineStr">
        <is>
          <t>junio 2025</t>
        </is>
      </c>
      <c r="T385" s="55" t="n"/>
      <c r="U385" s="63" t="n"/>
      <c r="V385" s="63" t="n"/>
      <c r="W385" s="55" t="n"/>
      <c r="X385" s="55" t="n"/>
      <c r="Y385" s="55" t="n"/>
      <c r="Z385" s="63" t="n"/>
    </row>
    <row r="386">
      <c r="A386" s="64" t="n">
        <v>383</v>
      </c>
      <c r="B386" s="55" t="inlineStr">
        <is>
          <t>IFX NETWORKS COLOMBIA S.A.S.</t>
        </is>
      </c>
      <c r="C386" s="55" t="n"/>
      <c r="D386" s="65" t="inlineStr">
        <is>
          <t>IT</t>
        </is>
      </c>
      <c r="E386" s="65" t="n"/>
      <c r="F386" s="65" t="inlineStr">
        <is>
          <t>Internet oficinas</t>
        </is>
      </c>
      <c r="G386" s="65" t="n"/>
      <c r="H386" s="65" t="inlineStr">
        <is>
          <t>Fijo</t>
        </is>
      </c>
      <c r="I386" s="55" t="inlineStr">
        <is>
          <t>SERVICO DE INTERNET EN TODAS LAS SUCURSALES</t>
        </is>
      </c>
      <c r="J386" s="55" t="inlineStr">
        <is>
          <t>Transversal</t>
        </is>
      </c>
      <c r="K386" s="55" t="inlineStr">
        <is>
          <t>IFXC463354</t>
        </is>
      </c>
      <c r="L386" s="63" t="n"/>
      <c r="M386" s="63" t="n"/>
      <c r="N386" s="63" t="n"/>
      <c r="O386" s="66" t="n">
        <v>12101082</v>
      </c>
      <c r="P386" s="55" t="n">
        <v>0</v>
      </c>
      <c r="Q386" s="55" t="n">
        <v>0</v>
      </c>
      <c r="R386" s="65" t="n">
        <v>12101082</v>
      </c>
      <c r="S386" s="65" t="inlineStr">
        <is>
          <t>junio 2025</t>
        </is>
      </c>
      <c r="T386" s="55" t="n"/>
      <c r="U386" s="63" t="n"/>
      <c r="V386" s="63" t="n"/>
      <c r="W386" s="55" t="n"/>
      <c r="X386" s="55" t="n"/>
      <c r="Y386" s="55" t="n"/>
      <c r="Z386" s="63" t="n"/>
    </row>
    <row r="387">
      <c r="A387" s="64" t="n">
        <v>384</v>
      </c>
      <c r="B387" s="55" t="inlineStr">
        <is>
          <t>PALAN SOCIEDAD POR ACCIONES SIMPLIFICADA</t>
        </is>
      </c>
      <c r="C387" s="55" t="n"/>
      <c r="D387" s="65" t="inlineStr">
        <is>
          <t>ADM</t>
        </is>
      </c>
      <c r="E387" s="65" t="n"/>
      <c r="F387" s="65" t="inlineStr">
        <is>
          <t>Arriendos</t>
        </is>
      </c>
      <c r="G387" s="65" t="n"/>
      <c r="H387" s="65" t="inlineStr">
        <is>
          <t>Fijo</t>
        </is>
      </c>
      <c r="I387" s="55" t="inlineStr">
        <is>
          <t>CANON ARRENDAMIENTO OF 802 SUC CRAFT BOGOTA</t>
        </is>
      </c>
      <c r="J387" s="55" t="inlineStr">
        <is>
          <t>Calle 100</t>
        </is>
      </c>
      <c r="K387" s="55" t="inlineStr">
        <is>
          <t>FE292</t>
        </is>
      </c>
      <c r="L387" s="63" t="n"/>
      <c r="M387" s="63" t="n"/>
      <c r="N387" s="63" t="n"/>
      <c r="O387" s="66" t="n">
        <v>28741955</v>
      </c>
      <c r="P387" s="55" t="n">
        <v>0</v>
      </c>
      <c r="Q387" s="55" t="n">
        <v>0</v>
      </c>
      <c r="R387" s="65" t="n">
        <v>28741955</v>
      </c>
      <c r="S387" s="65" t="inlineStr">
        <is>
          <t>junio 2025</t>
        </is>
      </c>
      <c r="T387" s="55" t="inlineStr">
        <is>
          <t>739</t>
        </is>
      </c>
      <c r="U387" s="63" t="n"/>
      <c r="V387" s="63" t="n"/>
      <c r="W387" s="55" t="n"/>
      <c r="X387" s="55" t="n"/>
      <c r="Y387" s="55" t="n"/>
      <c r="Z387" s="63" t="n"/>
    </row>
    <row r="388">
      <c r="A388" s="64" t="n">
        <v>385</v>
      </c>
      <c r="B388" s="55" t="inlineStr">
        <is>
          <t>LI STORAGE SAS</t>
        </is>
      </c>
      <c r="C388" s="55" t="n"/>
      <c r="D388" s="65" t="inlineStr">
        <is>
          <t>ADM</t>
        </is>
      </c>
      <c r="E388" s="65" t="n"/>
      <c r="F388" s="65" t="inlineStr">
        <is>
          <t>Bodegas</t>
        </is>
      </c>
      <c r="G388" s="65" t="n"/>
      <c r="H388" s="65" t="inlineStr">
        <is>
          <t>Fijo</t>
        </is>
      </c>
      <c r="I388" s="55" t="inlineStr">
        <is>
          <t>ALMACENAMIENTO EN BODEGA  205 CRAFT BOGOTA</t>
        </is>
      </c>
      <c r="J388" s="55" t="inlineStr">
        <is>
          <t>Transversal</t>
        </is>
      </c>
      <c r="K388" s="55" t="inlineStr">
        <is>
          <t>FE5323</t>
        </is>
      </c>
      <c r="L388" s="63" t="n"/>
      <c r="M388" s="63" t="n"/>
      <c r="N388" s="63" t="n"/>
      <c r="O388" s="66" t="n">
        <v>697697</v>
      </c>
      <c r="P388" s="55" t="n">
        <v>0</v>
      </c>
      <c r="Q388" s="55" t="n">
        <v>0</v>
      </c>
      <c r="R388" s="65" t="n">
        <v>697697</v>
      </c>
      <c r="S388" s="65" t="inlineStr">
        <is>
          <t>junio 2025</t>
        </is>
      </c>
      <c r="T388" s="55" t="inlineStr">
        <is>
          <t>741</t>
        </is>
      </c>
      <c r="U388" s="63" t="n"/>
      <c r="V388" s="63" t="n"/>
      <c r="W388" s="55" t="n"/>
      <c r="X388" s="55" t="n"/>
      <c r="Y388" s="55" t="n"/>
      <c r="Z388" s="63" t="n"/>
    </row>
    <row r="389">
      <c r="A389" s="64" t="n">
        <v>386</v>
      </c>
      <c r="B389" s="55" t="inlineStr">
        <is>
          <t>ASTURIAS SOLUCIONES DE INGENIERIA BUCEO COMERCIAL Y DRAGADO SAS</t>
        </is>
      </c>
      <c r="C389" s="55" t="n"/>
      <c r="D389" s="65" t="inlineStr">
        <is>
          <t>ADM</t>
        </is>
      </c>
      <c r="E389" s="65" t="n"/>
      <c r="F389" s="65" t="inlineStr">
        <is>
          <t>Administración</t>
        </is>
      </c>
      <c r="G389" s="65" t="n"/>
      <c r="H389" s="65" t="inlineStr">
        <is>
          <t>Fijo</t>
        </is>
      </c>
      <c r="I389" s="55" t="inlineStr">
        <is>
          <t>CUOTA ADMINISTRCION OF 501 CRAFT BUENAVENTURA</t>
        </is>
      </c>
      <c r="J389" s="55" t="inlineStr">
        <is>
          <t>Buenaventura</t>
        </is>
      </c>
      <c r="K389" s="55" t="inlineStr">
        <is>
          <t>FVEL2887</t>
        </is>
      </c>
      <c r="L389" s="63" t="n"/>
      <c r="M389" s="63" t="n"/>
      <c r="N389" s="63" t="n"/>
      <c r="O389" s="66" t="n">
        <v>680090</v>
      </c>
      <c r="P389" s="55" t="n">
        <v>0</v>
      </c>
      <c r="Q389" s="55" t="n">
        <v>0</v>
      </c>
      <c r="R389" s="65" t="n">
        <v>680090</v>
      </c>
      <c r="S389" s="65" t="inlineStr">
        <is>
          <t>junio 2025</t>
        </is>
      </c>
      <c r="T389" s="55" t="inlineStr">
        <is>
          <t>3</t>
        </is>
      </c>
      <c r="U389" s="63" t="n"/>
      <c r="V389" s="63" t="n"/>
      <c r="W389" s="55" t="n"/>
      <c r="X389" s="55" t="n"/>
      <c r="Y389" s="55" t="n"/>
      <c r="Z389" s="63" t="n"/>
    </row>
    <row r="390">
      <c r="A390" s="64" t="n">
        <v>387</v>
      </c>
      <c r="B390" s="55" t="inlineStr">
        <is>
          <t>ASTURIAS SOLUCIONES DE INGENIERIA BUCEO COMERCIAL Y DRAGADO SAS</t>
        </is>
      </c>
      <c r="C390" s="55" t="n"/>
      <c r="D390" s="65" t="inlineStr">
        <is>
          <t>ADM</t>
        </is>
      </c>
      <c r="E390" s="65" t="n"/>
      <c r="F390" s="65" t="inlineStr">
        <is>
          <t>Arriendos</t>
        </is>
      </c>
      <c r="G390" s="65" t="n"/>
      <c r="H390" s="65" t="inlineStr">
        <is>
          <t>Fijo</t>
        </is>
      </c>
      <c r="I390" s="55" t="inlineStr">
        <is>
          <t>ALQUILER OFICINA 501 SUC CRAFT BUENAVENTURA</t>
        </is>
      </c>
      <c r="J390" s="55" t="inlineStr">
        <is>
          <t>Buenaventura</t>
        </is>
      </c>
      <c r="K390" s="55" t="inlineStr">
        <is>
          <t>FVEL2888</t>
        </is>
      </c>
      <c r="L390" s="63" t="n"/>
      <c r="M390" s="63" t="n"/>
      <c r="N390" s="63" t="n"/>
      <c r="O390" s="66" t="n">
        <v>7042846</v>
      </c>
      <c r="P390" s="55" t="n">
        <v>0</v>
      </c>
      <c r="Q390" s="55" t="n">
        <v>0</v>
      </c>
      <c r="R390" s="65" t="n">
        <v>7042846</v>
      </c>
      <c r="S390" s="65" t="inlineStr">
        <is>
          <t>junio 2025</t>
        </is>
      </c>
      <c r="T390" s="55" t="inlineStr">
        <is>
          <t>2</t>
        </is>
      </c>
      <c r="U390" s="63" t="n"/>
      <c r="V390" s="63" t="n"/>
      <c r="W390" s="55" t="n"/>
      <c r="X390" s="55" t="n"/>
      <c r="Y390" s="55" t="n"/>
      <c r="Z390" s="63" t="n"/>
    </row>
    <row r="391">
      <c r="A391" s="64" t="n">
        <v>388</v>
      </c>
      <c r="B391" s="55" t="inlineStr">
        <is>
          <t>CONTRATOS Y FIANZAS DE ARRENDAMIENTO S.A.S.</t>
        </is>
      </c>
      <c r="C391" s="55" t="n"/>
      <c r="D391" s="65" t="inlineStr">
        <is>
          <t>ADM</t>
        </is>
      </c>
      <c r="E391" s="65" t="n"/>
      <c r="F391" s="65" t="inlineStr">
        <is>
          <t>Arriendos</t>
        </is>
      </c>
      <c r="G391" s="65" t="n"/>
      <c r="H391" s="65" t="inlineStr">
        <is>
          <t>Fijo</t>
        </is>
      </c>
      <c r="I391" s="55" t="inlineStr">
        <is>
          <t>CANON DE ARRENDAMIENTO CRAFT MEDELLIN</t>
        </is>
      </c>
      <c r="J391" s="55" t="inlineStr">
        <is>
          <t>Medellín</t>
        </is>
      </c>
      <c r="K391" s="55" t="inlineStr">
        <is>
          <t>FE584866</t>
        </is>
      </c>
      <c r="L391" s="63" t="n"/>
      <c r="M391" s="63" t="n"/>
      <c r="N391" s="63" t="n"/>
      <c r="O391" s="66" t="n">
        <v>7090363</v>
      </c>
      <c r="P391" s="55" t="n">
        <v>0</v>
      </c>
      <c r="Q391" s="55" t="n">
        <v>0</v>
      </c>
      <c r="R391" s="65" t="n">
        <v>7090363</v>
      </c>
      <c r="S391" s="65" t="inlineStr">
        <is>
          <t>enero 2025</t>
        </is>
      </c>
      <c r="T391" s="55" t="inlineStr">
        <is>
          <t>13</t>
        </is>
      </c>
      <c r="U391" s="63" t="n"/>
      <c r="V391" s="63" t="n"/>
      <c r="W391" s="55" t="n"/>
      <c r="X391" s="55" t="n"/>
      <c r="Y391" s="55" t="n"/>
      <c r="Z391" s="63" t="n"/>
    </row>
    <row r="392">
      <c r="A392" s="64" t="n">
        <v>389</v>
      </c>
      <c r="B392" s="55" t="inlineStr">
        <is>
          <t>HARDSOFT SOLUTIONS INTEGRAL SAS</t>
        </is>
      </c>
      <c r="C392" s="55" t="n"/>
      <c r="D392" s="65" t="inlineStr">
        <is>
          <t>IT</t>
        </is>
      </c>
      <c r="E392" s="65" t="n"/>
      <c r="F392" s="65" t="inlineStr">
        <is>
          <t>Conservacion Y Manutenimiento De Oficina</t>
        </is>
      </c>
      <c r="G392" s="65" t="n"/>
      <c r="H392" s="65" t="n"/>
      <c r="I392" s="55" t="inlineStr">
        <is>
          <t xml:space="preserve">MANTENIMIENTO IT EN CTG </t>
        </is>
      </c>
      <c r="J392" s="55" t="inlineStr">
        <is>
          <t>Cartagena</t>
        </is>
      </c>
      <c r="K392" s="55" t="inlineStr">
        <is>
          <t>HS675</t>
        </is>
      </c>
      <c r="L392" s="63" t="n"/>
      <c r="M392" s="63" t="n"/>
      <c r="N392" s="63" t="n"/>
      <c r="O392" s="66" t="n">
        <v>581938</v>
      </c>
      <c r="P392" s="55" t="n">
        <v>0</v>
      </c>
      <c r="Q392" s="55" t="n">
        <v>0</v>
      </c>
      <c r="R392" s="65" t="n">
        <v>581938</v>
      </c>
      <c r="S392" s="65" t="inlineStr">
        <is>
          <t>junio 2025</t>
        </is>
      </c>
      <c r="T392" s="55" t="inlineStr">
        <is>
          <t>8</t>
        </is>
      </c>
      <c r="U392" s="63" t="n"/>
      <c r="V392" s="63" t="n"/>
      <c r="W392" s="55" t="n"/>
      <c r="X392" s="55" t="n"/>
      <c r="Y392" s="55" t="n"/>
      <c r="Z392" s="63" t="n"/>
    </row>
    <row r="393">
      <c r="A393" s="64" t="n">
        <v>390</v>
      </c>
      <c r="B393" s="55" t="inlineStr">
        <is>
          <t>SPA SILLAS SAS</t>
        </is>
      </c>
      <c r="C393" s="55" t="n"/>
      <c r="D393" s="65" t="inlineStr">
        <is>
          <t>ADM</t>
        </is>
      </c>
      <c r="E393" s="65" t="n"/>
      <c r="F393" s="65" t="inlineStr">
        <is>
          <t>Conservacion Y Manutenimiento De Oficina</t>
        </is>
      </c>
      <c r="G393" s="65" t="n"/>
      <c r="H393" s="65" t="inlineStr">
        <is>
          <t>Variable</t>
        </is>
      </c>
      <c r="I393" s="55" t="inlineStr">
        <is>
          <t>2 SILLAS DE ESCRITORIO PARA CRAFT MEDELLIN PAULINA Y CRISTIAN</t>
        </is>
      </c>
      <c r="J393" s="55" t="inlineStr">
        <is>
          <t>Medellín</t>
        </is>
      </c>
      <c r="K393" s="55" t="inlineStr">
        <is>
          <t>FESS333</t>
        </is>
      </c>
      <c r="L393" s="63" t="n"/>
      <c r="M393" s="63" t="n"/>
      <c r="N393" s="63" t="n"/>
      <c r="O393" s="66" t="n">
        <v>1523200</v>
      </c>
      <c r="P393" s="55" t="n">
        <v>0</v>
      </c>
      <c r="Q393" s="55" t="n">
        <v>0</v>
      </c>
      <c r="R393" s="65" t="n">
        <v>1523200</v>
      </c>
      <c r="S393" s="65" t="inlineStr">
        <is>
          <t>mayo 2025</t>
        </is>
      </c>
      <c r="T393" s="55" t="inlineStr">
        <is>
          <t>86</t>
        </is>
      </c>
      <c r="U393" s="63" t="n"/>
      <c r="V393" s="63" t="n"/>
      <c r="W393" s="55" t="n"/>
      <c r="X393" s="55" t="n"/>
      <c r="Y393" s="55" t="n"/>
      <c r="Z393" s="63" t="n"/>
    </row>
    <row r="394">
      <c r="A394" s="64" t="n">
        <v>391</v>
      </c>
      <c r="B394" s="55" t="inlineStr">
        <is>
          <t>INVERSIONES HOTELERAS BUENAVENTURA S.A.S.</t>
        </is>
      </c>
      <c r="C394" s="55" t="n"/>
      <c r="D394" s="65" t="inlineStr">
        <is>
          <t>ADM</t>
        </is>
      </c>
      <c r="E394" s="65" t="n"/>
      <c r="F394" s="65" t="inlineStr">
        <is>
          <t>Agua</t>
        </is>
      </c>
      <c r="G394" s="65" t="n"/>
      <c r="H394" s="65" t="inlineStr">
        <is>
          <t>Fijo</t>
        </is>
      </c>
      <c r="I394" s="55" t="inlineStr">
        <is>
          <t xml:space="preserve">RECOBRO SERVICIOS PUBLICOS  DE CRAFT BUENAVENTURA  </t>
        </is>
      </c>
      <c r="J394" s="55" t="inlineStr">
        <is>
          <t>Buenaventura</t>
        </is>
      </c>
      <c r="K394" s="55" t="inlineStr">
        <is>
          <t>RCE6965</t>
        </is>
      </c>
      <c r="L394" s="63" t="n"/>
      <c r="M394" s="63" t="n"/>
      <c r="N394" s="63" t="n"/>
      <c r="O394" s="66" t="n">
        <v>554042</v>
      </c>
      <c r="P394" s="55" t="n">
        <v>0</v>
      </c>
      <c r="Q394" s="55" t="n">
        <v>0</v>
      </c>
      <c r="R394" s="65" t="n">
        <v>554042</v>
      </c>
      <c r="S394" s="65" t="inlineStr">
        <is>
          <t>mayo 2025</t>
        </is>
      </c>
      <c r="T394" s="55" t="inlineStr">
        <is>
          <t>22</t>
        </is>
      </c>
      <c r="U394" s="63" t="n"/>
      <c r="V394" s="63" t="n"/>
      <c r="W394" s="55" t="n"/>
      <c r="X394" s="55" t="n"/>
      <c r="Y394" s="55" t="n"/>
      <c r="Z394" s="63" t="n"/>
    </row>
    <row r="395">
      <c r="A395" s="64" t="n">
        <v>392</v>
      </c>
      <c r="B395" s="55" t="inlineStr">
        <is>
          <t>BLUE DOORS KIU LUXURY SUITES SAS</t>
        </is>
      </c>
      <c r="C395" s="55" t="n"/>
      <c r="D395" s="65" t="inlineStr">
        <is>
          <t>ADM</t>
        </is>
      </c>
      <c r="E395" s="65" t="n"/>
      <c r="F395" s="65" t="inlineStr">
        <is>
          <t>Viagens E Estadias</t>
        </is>
      </c>
      <c r="G395" s="65" t="n"/>
      <c r="H395" s="65" t="inlineStr">
        <is>
          <t>Variable</t>
        </is>
      </c>
      <c r="I395" s="55" t="inlineStr">
        <is>
          <t>ALOJAMIENTO EN BOGOTA FABIO MIGUEL CAVALCANTE</t>
        </is>
      </c>
      <c r="J395" s="55" t="inlineStr">
        <is>
          <t>Transversal</t>
        </is>
      </c>
      <c r="K395" s="55" t="inlineStr">
        <is>
          <t>F10033518</t>
        </is>
      </c>
      <c r="L395" s="63" t="n"/>
      <c r="M395" s="63" t="n"/>
      <c r="N395" s="63" t="n"/>
      <c r="O395" s="66" t="n">
        <v>844900</v>
      </c>
      <c r="P395" s="55" t="n">
        <v>0</v>
      </c>
      <c r="Q395" s="55" t="n">
        <v>0</v>
      </c>
      <c r="R395" s="65" t="n">
        <v>844900</v>
      </c>
      <c r="S395" s="65" t="inlineStr">
        <is>
          <t>junio 2025</t>
        </is>
      </c>
      <c r="T395" s="55" t="n"/>
      <c r="U395" s="63" t="n"/>
      <c r="V395" s="63" t="n"/>
      <c r="W395" s="55" t="n"/>
      <c r="X395" s="55" t="n"/>
      <c r="Y395" s="55" t="n"/>
      <c r="Z395" s="63" t="n"/>
    </row>
    <row r="396">
      <c r="A396" s="64" t="n">
        <v>393</v>
      </c>
      <c r="B396" s="55" t="inlineStr">
        <is>
          <t>HOTELES CACIQUE INTERNACIONAL S.A.S.</t>
        </is>
      </c>
      <c r="C396" s="55" t="n"/>
      <c r="D396" s="65" t="inlineStr">
        <is>
          <t>ADM</t>
        </is>
      </c>
      <c r="E396" s="65" t="n"/>
      <c r="F396" s="65" t="inlineStr">
        <is>
          <t>Viagens E Estadias</t>
        </is>
      </c>
      <c r="G396" s="65" t="n"/>
      <c r="H396" s="65" t="inlineStr">
        <is>
          <t>Variable</t>
        </is>
      </c>
      <c r="I396" s="55" t="inlineStr">
        <is>
          <t>ALOJAMIENTO EN BARRANQUILLA SILVIA TRIANA</t>
        </is>
      </c>
      <c r="J396" s="55" t="inlineStr">
        <is>
          <t>Barranquilla</t>
        </is>
      </c>
      <c r="K396" s="55" t="inlineStr">
        <is>
          <t>HSC126826</t>
        </is>
      </c>
      <c r="L396" s="63" t="n"/>
      <c r="M396" s="63" t="n"/>
      <c r="N396" s="63" t="n"/>
      <c r="O396" s="66" t="n">
        <v>427210</v>
      </c>
      <c r="P396" s="55" t="n">
        <v>0</v>
      </c>
      <c r="Q396" s="55" t="n">
        <v>0</v>
      </c>
      <c r="R396" s="65" t="n">
        <v>427210</v>
      </c>
      <c r="S396" s="65" t="inlineStr">
        <is>
          <t>junio 2025</t>
        </is>
      </c>
      <c r="T396" s="55" t="n"/>
      <c r="U396" s="63" t="n"/>
      <c r="V396" s="63" t="n"/>
      <c r="W396" s="55" t="n"/>
      <c r="X396" s="55" t="n"/>
      <c r="Y396" s="55" t="n"/>
      <c r="Z396" s="63" t="n"/>
    </row>
    <row r="397">
      <c r="A397" s="64" t="n">
        <v>394</v>
      </c>
      <c r="B397" s="55" t="inlineStr">
        <is>
          <t>HOTELES CACIQUE INTERNACIONAL S.A.S.</t>
        </is>
      </c>
      <c r="C397" s="55" t="n"/>
      <c r="D397" s="65" t="inlineStr">
        <is>
          <t>ADM</t>
        </is>
      </c>
      <c r="E397" s="65" t="n"/>
      <c r="F397" s="65" t="inlineStr">
        <is>
          <t>Viagens E Estadias</t>
        </is>
      </c>
      <c r="G397" s="65" t="n"/>
      <c r="H397" s="65" t="inlineStr">
        <is>
          <t>Variable</t>
        </is>
      </c>
      <c r="I397" s="55" t="inlineStr">
        <is>
          <t>ALOJAMIENTO EN BARRANQUILLA FABIO MIGUEL CAVALCANTE</t>
        </is>
      </c>
      <c r="J397" s="55" t="inlineStr">
        <is>
          <t>Barranquilla</t>
        </is>
      </c>
      <c r="K397" s="55" t="inlineStr">
        <is>
          <t>HSC126827</t>
        </is>
      </c>
      <c r="L397" s="63" t="n"/>
      <c r="M397" s="63" t="n"/>
      <c r="N397" s="63" t="n"/>
      <c r="O397" s="66" t="n">
        <v>427210</v>
      </c>
      <c r="P397" s="55" t="n">
        <v>0</v>
      </c>
      <c r="Q397" s="55" t="n">
        <v>0</v>
      </c>
      <c r="R397" s="65" t="n">
        <v>427210</v>
      </c>
      <c r="S397" s="65" t="inlineStr">
        <is>
          <t>junio 2025</t>
        </is>
      </c>
      <c r="T397" s="55" t="n"/>
      <c r="U397" s="63" t="n"/>
      <c r="V397" s="63" t="n"/>
      <c r="W397" s="55" t="n"/>
      <c r="X397" s="55" t="n"/>
      <c r="Y397" s="55" t="n"/>
      <c r="Z397" s="63" t="n"/>
    </row>
    <row r="398">
      <c r="A398" s="64" t="n">
        <v>395</v>
      </c>
      <c r="B398" s="55" t="inlineStr">
        <is>
          <t>COMPUASOCIADOS</t>
        </is>
      </c>
      <c r="C398" s="55" t="n"/>
      <c r="D398" s="65" t="inlineStr">
        <is>
          <t>IT</t>
        </is>
      </c>
      <c r="E398" s="65" t="n"/>
      <c r="F398" s="65" t="inlineStr">
        <is>
          <t>Conservacion Y Manutenimiento De Oficina</t>
        </is>
      </c>
      <c r="G398" s="65" t="n"/>
      <c r="H398" s="65" t="inlineStr">
        <is>
          <t>Fijo</t>
        </is>
      </c>
      <c r="I398" s="55" t="inlineStr">
        <is>
          <t>SOPORTE TECNICO IT EQUPOS CCTV E IMPRESORA EN CRAFT BUENAVENTURA</t>
        </is>
      </c>
      <c r="J398" s="55" t="inlineStr">
        <is>
          <t>Buenaventura</t>
        </is>
      </c>
      <c r="K398" s="55" t="inlineStr">
        <is>
          <t>3866</t>
        </is>
      </c>
      <c r="L398" s="63" t="n"/>
      <c r="M398" s="63" t="n"/>
      <c r="N398" s="63" t="n"/>
      <c r="O398" s="66" t="n">
        <v>390000</v>
      </c>
      <c r="P398" s="55" t="n">
        <v>0</v>
      </c>
      <c r="Q398" s="55" t="n">
        <v>0</v>
      </c>
      <c r="R398" s="65" t="n">
        <v>390000</v>
      </c>
      <c r="S398" s="65" t="inlineStr">
        <is>
          <t>junio 2025</t>
        </is>
      </c>
      <c r="T398" s="55" t="inlineStr">
        <is>
          <t>5</t>
        </is>
      </c>
      <c r="U398" s="63" t="n"/>
      <c r="V398" s="63" t="n"/>
      <c r="W398" s="55" t="n"/>
      <c r="X398" s="55" t="n"/>
      <c r="Y398" s="55" t="n"/>
      <c r="Z398" s="63" t="n"/>
    </row>
    <row r="399">
      <c r="A399" s="64" t="n">
        <v>396</v>
      </c>
      <c r="B399" s="55" t="inlineStr">
        <is>
          <t>SERVIDOMESTICAS SAS</t>
        </is>
      </c>
      <c r="C399" s="55" t="n"/>
      <c r="D399" s="65" t="inlineStr">
        <is>
          <t>ADM</t>
        </is>
      </c>
      <c r="E399" s="65" t="n"/>
      <c r="F399" s="65" t="inlineStr">
        <is>
          <t>Otros Gastos CASA LIMPIA PLANILLA AC OTROS</t>
        </is>
      </c>
      <c r="G399" s="65" t="n"/>
      <c r="H399" s="65" t="inlineStr">
        <is>
          <t>Fijo</t>
        </is>
      </c>
      <c r="I399" s="55" t="inlineStr">
        <is>
          <t>LIMPIEZA OFICINA SUCURSAL CRAFT MEDELLIN</t>
        </is>
      </c>
      <c r="J399" s="55" t="inlineStr">
        <is>
          <t>Medellín</t>
        </is>
      </c>
      <c r="K399" s="55" t="inlineStr">
        <is>
          <t>VP33644</t>
        </is>
      </c>
      <c r="L399" s="63" t="n"/>
      <c r="M399" s="63" t="n"/>
      <c r="N399" s="63" t="n"/>
      <c r="O399" s="66" t="n">
        <v>1142550</v>
      </c>
      <c r="P399" s="55" t="n">
        <v>0</v>
      </c>
      <c r="Q399" s="55" t="n">
        <v>0</v>
      </c>
      <c r="R399" s="65" t="n">
        <v>1142550</v>
      </c>
      <c r="S399" s="65" t="inlineStr">
        <is>
          <t>junio 2025</t>
        </is>
      </c>
      <c r="T399" s="55" t="inlineStr">
        <is>
          <t>14</t>
        </is>
      </c>
      <c r="U399" s="63" t="n"/>
      <c r="V399" s="63" t="n"/>
      <c r="W399" s="55" t="n"/>
      <c r="X399" s="55" t="n"/>
      <c r="Y399" s="55" t="n"/>
      <c r="Z399" s="63" t="n"/>
    </row>
    <row r="400">
      <c r="A400" s="64" t="n">
        <v>397</v>
      </c>
      <c r="B400" s="55" t="inlineStr">
        <is>
          <t>JCO INVERSIONES S.A.S</t>
        </is>
      </c>
      <c r="C400" s="55" t="n"/>
      <c r="D400" s="65" t="inlineStr">
        <is>
          <t>ADM</t>
        </is>
      </c>
      <c r="E400" s="65" t="n"/>
      <c r="F400" s="65" t="inlineStr">
        <is>
          <t>Parqueaderos</t>
        </is>
      </c>
      <c r="G400" s="65" t="n"/>
      <c r="H400" s="65" t="inlineStr">
        <is>
          <t>Fijo</t>
        </is>
      </c>
      <c r="I400" s="55" t="inlineStr">
        <is>
          <t>CANON ARRENDAMIENTO 2 ESPACIOS DE PARQUEADERO CRAFT BOGOTA</t>
        </is>
      </c>
      <c r="J400" s="55" t="inlineStr">
        <is>
          <t>Calle 100</t>
        </is>
      </c>
      <c r="K400" s="55" t="inlineStr">
        <is>
          <t>702405</t>
        </is>
      </c>
      <c r="L400" s="63" t="n"/>
      <c r="M400" s="63" t="n"/>
      <c r="N400" s="63" t="n"/>
      <c r="O400" s="66" t="n">
        <v>748176</v>
      </c>
      <c r="P400" s="55" t="n">
        <v>0</v>
      </c>
      <c r="Q400" s="55" t="n">
        <v>0</v>
      </c>
      <c r="R400" s="65" t="n">
        <v>748176</v>
      </c>
      <c r="S400" s="65" t="inlineStr">
        <is>
          <t>junio 2025</t>
        </is>
      </c>
      <c r="T400" s="55" t="inlineStr">
        <is>
          <t>804</t>
        </is>
      </c>
      <c r="U400" s="63" t="n"/>
      <c r="V400" s="63" t="n"/>
      <c r="W400" s="55" t="n"/>
      <c r="X400" s="55" t="n"/>
      <c r="Y400" s="55" t="n"/>
      <c r="Z400" s="63" t="n"/>
    </row>
    <row r="401">
      <c r="A401" s="64" t="n">
        <v>398</v>
      </c>
      <c r="B401" s="55" t="inlineStr">
        <is>
          <t>EDIFICIO TORRES DEL ATLANTICO</t>
        </is>
      </c>
      <c r="C401" s="55" t="n"/>
      <c r="D401" s="65" t="inlineStr">
        <is>
          <t>ADM</t>
        </is>
      </c>
      <c r="E401" s="65" t="n"/>
      <c r="F401" s="65" t="inlineStr">
        <is>
          <t>Administración</t>
        </is>
      </c>
      <c r="G401" s="65" t="n"/>
      <c r="H401" s="65" t="inlineStr">
        <is>
          <t>Fijo</t>
        </is>
      </c>
      <c r="I401" s="55" t="inlineStr">
        <is>
          <t>CUOTA DE ADMINISTRACION CRAFT BARRANQUILLA</t>
        </is>
      </c>
      <c r="J401" s="55" t="inlineStr">
        <is>
          <t>Barranquilla</t>
        </is>
      </c>
      <c r="K401" s="55" t="inlineStr">
        <is>
          <t>TDA8293</t>
        </is>
      </c>
      <c r="L401" s="63" t="n"/>
      <c r="M401" s="63" t="n"/>
      <c r="N401" s="63" t="n"/>
      <c r="O401" s="66" t="n">
        <v>860510</v>
      </c>
      <c r="P401" s="55" t="n">
        <v>0</v>
      </c>
      <c r="Q401" s="55" t="n">
        <v>0</v>
      </c>
      <c r="R401" s="65" t="n">
        <v>860510</v>
      </c>
      <c r="S401" s="65" t="inlineStr">
        <is>
          <t>junio 2025</t>
        </is>
      </c>
      <c r="T401" s="55" t="inlineStr">
        <is>
          <t>1</t>
        </is>
      </c>
      <c r="U401" s="63" t="n"/>
      <c r="V401" s="63" t="n"/>
      <c r="W401" s="55" t="n"/>
      <c r="X401" s="55" t="n"/>
      <c r="Y401" s="55" t="n"/>
      <c r="Z401" s="63" t="n"/>
    </row>
    <row r="402">
      <c r="A402" s="64" t="n">
        <v>399</v>
      </c>
      <c r="B402" s="55" t="inlineStr">
        <is>
          <t>DOTASERVIS INTEGRALES SAS</t>
        </is>
      </c>
      <c r="C402" s="55" t="n"/>
      <c r="D402" s="65" t="inlineStr">
        <is>
          <t>ADM</t>
        </is>
      </c>
      <c r="E402" s="65" t="n"/>
      <c r="F402" s="65" t="inlineStr">
        <is>
          <t>Conservacion Y Manutenimiento De Oficina</t>
        </is>
      </c>
      <c r="G402" s="65" t="n"/>
      <c r="H402" s="65" t="inlineStr">
        <is>
          <t>Variable</t>
        </is>
      </c>
      <c r="I402" s="55" t="inlineStr">
        <is>
          <t>COMPRA SILLA NUEVA PARA REEMPLAZAR LA DE KAREN SALDAÑA</t>
        </is>
      </c>
      <c r="J402" s="55" t="inlineStr">
        <is>
          <t>Calle 100</t>
        </is>
      </c>
      <c r="K402" s="55" t="inlineStr">
        <is>
          <t>DSI175</t>
        </is>
      </c>
      <c r="L402" s="63" t="n"/>
      <c r="M402" s="63" t="n"/>
      <c r="N402" s="63" t="n"/>
      <c r="O402" s="66" t="n">
        <v>514675</v>
      </c>
      <c r="P402" s="55" t="n">
        <v>0</v>
      </c>
      <c r="Q402" s="55" t="n">
        <v>0</v>
      </c>
      <c r="R402" s="65" t="n">
        <v>514675</v>
      </c>
      <c r="S402" s="65" t="inlineStr">
        <is>
          <t>junio 2025</t>
        </is>
      </c>
      <c r="T402" s="55" t="inlineStr">
        <is>
          <t>864</t>
        </is>
      </c>
      <c r="U402" s="63" t="n"/>
      <c r="V402" s="63" t="n"/>
      <c r="W402" s="55" t="n"/>
      <c r="X402" s="55" t="n"/>
      <c r="Y402" s="55" t="n"/>
      <c r="Z402" s="63" t="n"/>
    </row>
    <row r="403">
      <c r="A403" s="64" t="n">
        <v>400</v>
      </c>
      <c r="B403" s="55" t="inlineStr">
        <is>
          <t>ASTURIAS SOLUCIONES DE INGENIERIA BUCEO COMERCIAL Y DRAGADO SAS</t>
        </is>
      </c>
      <c r="C403" s="55" t="n"/>
      <c r="D403" s="65" t="inlineStr">
        <is>
          <t>ADM</t>
        </is>
      </c>
      <c r="E403" s="65" t="n"/>
      <c r="F403" s="65" t="inlineStr">
        <is>
          <t>Administración</t>
        </is>
      </c>
      <c r="G403" s="65" t="n"/>
      <c r="H403" s="65" t="inlineStr">
        <is>
          <t>Fijo</t>
        </is>
      </c>
      <c r="I403" s="55" t="inlineStr">
        <is>
          <t>CUOTA ADMINISTRCION OF 501 CRAFT BUENAVENTURA</t>
        </is>
      </c>
      <c r="J403" s="55" t="inlineStr">
        <is>
          <t>Buenaventura</t>
        </is>
      </c>
      <c r="K403" s="55" t="inlineStr">
        <is>
          <t>FVEL2844</t>
        </is>
      </c>
      <c r="L403" s="63" t="n"/>
      <c r="M403" s="63" t="n"/>
      <c r="N403" s="63" t="n"/>
      <c r="O403" s="66" t="n">
        <v>680090</v>
      </c>
      <c r="P403" s="55" t="n">
        <v>0</v>
      </c>
      <c r="Q403" s="55" t="n">
        <v>0</v>
      </c>
      <c r="R403" s="65" t="n">
        <v>680090</v>
      </c>
      <c r="S403" s="65" t="inlineStr">
        <is>
          <t>junio 2025</t>
        </is>
      </c>
      <c r="T403" s="55" t="inlineStr">
        <is>
          <t>20</t>
        </is>
      </c>
      <c r="U403" s="63" t="n"/>
      <c r="V403" s="63" t="n"/>
      <c r="W403" s="55" t="n"/>
      <c r="X403" s="55" t="n"/>
      <c r="Y403" s="55" t="n"/>
      <c r="Z403" s="63" t="n"/>
    </row>
    <row r="404">
      <c r="A404" s="64" t="n">
        <v>401</v>
      </c>
      <c r="B404" s="55" t="inlineStr">
        <is>
          <t>ASTURIAS SOLUCIONES DE INGENIERIA BUCEO COMERCIAL Y DRAGADO SAS</t>
        </is>
      </c>
      <c r="C404" s="55" t="n"/>
      <c r="D404" s="65" t="inlineStr">
        <is>
          <t>ADM</t>
        </is>
      </c>
      <c r="E404" s="65" t="n"/>
      <c r="F404" s="65" t="inlineStr">
        <is>
          <t>Arriendos</t>
        </is>
      </c>
      <c r="G404" s="65" t="n"/>
      <c r="H404" s="65" t="inlineStr">
        <is>
          <t>Fijo</t>
        </is>
      </c>
      <c r="I404" s="55" t="inlineStr">
        <is>
          <t>ALQUILER OFICINA 501 SUC CRAFT BUENAVENTURA</t>
        </is>
      </c>
      <c r="J404" s="55" t="inlineStr">
        <is>
          <t>Buenaventura</t>
        </is>
      </c>
      <c r="K404" s="55" t="inlineStr">
        <is>
          <t>FVEL2845</t>
        </is>
      </c>
      <c r="L404" s="63" t="n"/>
      <c r="M404" s="63" t="n"/>
      <c r="N404" s="63" t="n"/>
      <c r="O404" s="66" t="n">
        <v>7042846</v>
      </c>
      <c r="P404" s="55" t="n">
        <v>0</v>
      </c>
      <c r="Q404" s="55" t="n">
        <v>0</v>
      </c>
      <c r="R404" s="65" t="n">
        <v>7042846</v>
      </c>
      <c r="S404" s="65" t="inlineStr">
        <is>
          <t>junio 2025</t>
        </is>
      </c>
      <c r="T404" s="55" t="inlineStr">
        <is>
          <t>21</t>
        </is>
      </c>
      <c r="U404" s="63" t="n"/>
      <c r="V404" s="63" t="n"/>
      <c r="W404" s="55" t="n"/>
      <c r="X404" s="55" t="n"/>
      <c r="Y404" s="55" t="n"/>
      <c r="Z404" s="63" t="n"/>
    </row>
    <row r="405">
      <c r="A405" s="64" t="n">
        <v>402</v>
      </c>
      <c r="B405" s="55" t="inlineStr">
        <is>
          <t>SUMAR INVERSIONES Y PROYECTOS S.A.S.</t>
        </is>
      </c>
      <c r="C405" s="55" t="n"/>
      <c r="D405" s="65" t="inlineStr">
        <is>
          <t>ADM</t>
        </is>
      </c>
      <c r="E405" s="65" t="n"/>
      <c r="F405" s="65" t="inlineStr">
        <is>
          <t>Arriendos</t>
        </is>
      </c>
      <c r="G405" s="65" t="n"/>
      <c r="H405" s="65" t="inlineStr">
        <is>
          <t>Fijo</t>
        </is>
      </c>
      <c r="I405" s="55" t="inlineStr">
        <is>
          <t>CANON DE ARRENDAMIENTO Y ADMON CRAFT CALI</t>
        </is>
      </c>
      <c r="J405" s="55" t="inlineStr">
        <is>
          <t>Cali</t>
        </is>
      </c>
      <c r="K405" s="55" t="inlineStr">
        <is>
          <t>FESU267</t>
        </is>
      </c>
      <c r="L405" s="63" t="n"/>
      <c r="M405" s="63" t="n"/>
      <c r="N405" s="63" t="n"/>
      <c r="O405" s="66" t="n">
        <v>5310474</v>
      </c>
      <c r="P405" s="55" t="n">
        <v>0</v>
      </c>
      <c r="Q405" s="55" t="n">
        <v>0</v>
      </c>
      <c r="R405" s="65" t="n">
        <v>5310474</v>
      </c>
      <c r="S405" s="65" t="inlineStr">
        <is>
          <t>junio 2025</t>
        </is>
      </c>
      <c r="T405" s="55" t="inlineStr">
        <is>
          <t>1</t>
        </is>
      </c>
      <c r="U405" s="63" t="n"/>
      <c r="V405" s="63" t="n"/>
      <c r="W405" s="55" t="n"/>
      <c r="X405" s="55" t="n"/>
      <c r="Y405" s="55" t="n"/>
      <c r="Z405" s="63" t="n"/>
    </row>
    <row r="406">
      <c r="A406" s="64" t="n">
        <v>403</v>
      </c>
      <c r="B406" s="55" t="inlineStr">
        <is>
          <t>MARVAL S.A.S.</t>
        </is>
      </c>
      <c r="C406" s="55" t="n"/>
      <c r="D406" s="65" t="inlineStr">
        <is>
          <t>ADM</t>
        </is>
      </c>
      <c r="E406" s="65" t="n"/>
      <c r="F406" s="65" t="inlineStr">
        <is>
          <t>Arriendos</t>
        </is>
      </c>
      <c r="G406" s="65" t="n"/>
      <c r="H406" s="65" t="inlineStr">
        <is>
          <t>Fijo</t>
        </is>
      </c>
      <c r="I406" s="55" t="inlineStr">
        <is>
          <t>CANON DE ARRENDAMIENTO OF CRAFT BARRANQUILLA</t>
        </is>
      </c>
      <c r="J406" s="55" t="inlineStr">
        <is>
          <t>Barranquilla</t>
        </is>
      </c>
      <c r="K406" s="55" t="inlineStr">
        <is>
          <t>MAVF512</t>
        </is>
      </c>
      <c r="L406" s="63" t="n"/>
      <c r="M406" s="63" t="n"/>
      <c r="N406" s="63" t="n"/>
      <c r="O406" s="66" t="n">
        <v>3685223</v>
      </c>
      <c r="P406" s="55" t="n">
        <v>0</v>
      </c>
      <c r="Q406" s="55" t="n">
        <v>0</v>
      </c>
      <c r="R406" s="65" t="n">
        <v>3685223</v>
      </c>
      <c r="S406" s="65" t="inlineStr">
        <is>
          <t>junio 2025</t>
        </is>
      </c>
      <c r="T406" s="55" t="inlineStr">
        <is>
          <t>2</t>
        </is>
      </c>
      <c r="U406" s="63" t="n"/>
      <c r="V406" s="63" t="n"/>
      <c r="W406" s="55" t="n"/>
      <c r="X406" s="55" t="n"/>
      <c r="Y406" s="55" t="n"/>
      <c r="Z406" s="63" t="n"/>
    </row>
    <row r="407">
      <c r="A407" s="64" t="n">
        <v>404</v>
      </c>
      <c r="B407" s="55" t="inlineStr">
        <is>
          <t>PC QUICK SAS</t>
        </is>
      </c>
      <c r="C407" s="55" t="n"/>
      <c r="D407" s="65" t="inlineStr">
        <is>
          <t>IT</t>
        </is>
      </c>
      <c r="E407" s="65" t="n"/>
      <c r="F407" s="65" t="inlineStr">
        <is>
          <t>Conservacion Y Manutenimiento De Oficina</t>
        </is>
      </c>
      <c r="G407" s="65" t="n"/>
      <c r="H407" s="65" t="inlineStr">
        <is>
          <t>Variable</t>
        </is>
      </c>
      <c r="I407" s="55" t="inlineStr">
        <is>
          <t>COMPRA DE PC RENOCACION EQUPOS ISABELLA RODRIGUEZ,STUAR IBAÑEZ,HAIDI DURAN, NADIA MARTINEZ</t>
        </is>
      </c>
      <c r="J407" s="55" t="inlineStr">
        <is>
          <t>Transversal</t>
        </is>
      </c>
      <c r="K407" s="55" t="inlineStr">
        <is>
          <t>PFE10321</t>
        </is>
      </c>
      <c r="L407" s="63" t="n"/>
      <c r="M407" s="63" t="n"/>
      <c r="N407" s="63" t="n"/>
      <c r="O407" s="66" t="n">
        <v>10472000</v>
      </c>
      <c r="P407" s="55" t="n">
        <v>0</v>
      </c>
      <c r="Q407" s="55" t="n">
        <v>0</v>
      </c>
      <c r="R407" s="65" t="n">
        <v>10472000</v>
      </c>
      <c r="S407" s="65" t="inlineStr">
        <is>
          <t>junio 2025</t>
        </is>
      </c>
      <c r="T407" s="55" t="n"/>
      <c r="U407" s="63" t="n"/>
      <c r="V407" s="63" t="n"/>
      <c r="W407" s="55" t="n"/>
      <c r="X407" s="55" t="n"/>
      <c r="Y407" s="55" t="n"/>
      <c r="Z407" s="63" t="n"/>
    </row>
    <row r="408">
      <c r="A408" s="64" t="n">
        <v>405</v>
      </c>
      <c r="B408" s="55" t="inlineStr">
        <is>
          <t>CLARO S.A.</t>
        </is>
      </c>
      <c r="C408" s="55" t="n"/>
      <c r="D408" s="65" t="inlineStr">
        <is>
          <t>IT</t>
        </is>
      </c>
      <c r="E408" s="65" t="n"/>
      <c r="F408" s="65" t="inlineStr">
        <is>
          <t>Internet oficinas</t>
        </is>
      </c>
      <c r="G408" s="65" t="n"/>
      <c r="H408" s="65" t="inlineStr">
        <is>
          <t>Fijo</t>
        </is>
      </c>
      <c r="I408" s="55" t="inlineStr">
        <is>
          <t>SERVICIO TV, INTERNET Y TELEFONIA CRAFT CALI</t>
        </is>
      </c>
      <c r="J408" s="55" t="inlineStr">
        <is>
          <t>Cali</t>
        </is>
      </c>
      <c r="K408" s="55" t="inlineStr">
        <is>
          <t>R1153921695</t>
        </is>
      </c>
      <c r="L408" s="63" t="n"/>
      <c r="M408" s="63" t="n"/>
      <c r="N408" s="63" t="n"/>
      <c r="O408" s="66" t="n">
        <v>170501</v>
      </c>
      <c r="P408" s="55" t="n">
        <v>0</v>
      </c>
      <c r="Q408" s="55" t="n">
        <v>0</v>
      </c>
      <c r="R408" s="65" t="n">
        <v>170501</v>
      </c>
      <c r="S408" s="65" t="inlineStr">
        <is>
          <t>junio 2025</t>
        </is>
      </c>
      <c r="T408" s="55" t="n"/>
      <c r="U408" s="63" t="n"/>
      <c r="V408" s="63" t="n"/>
      <c r="W408" s="55" t="n"/>
      <c r="X408" s="55" t="n"/>
      <c r="Y408" s="55" t="n"/>
      <c r="Z408" s="63" t="n"/>
    </row>
    <row r="409">
      <c r="A409" s="64" t="n">
        <v>406</v>
      </c>
      <c r="B409" s="55" t="inlineStr">
        <is>
          <t>COMPUASOCIADOS</t>
        </is>
      </c>
      <c r="C409" s="55" t="n"/>
      <c r="D409" s="65" t="inlineStr">
        <is>
          <t>IT</t>
        </is>
      </c>
      <c r="E409" s="65" t="n"/>
      <c r="F409" s="65" t="inlineStr">
        <is>
          <t>Conservacion Y Manutenimiento De Oficina</t>
        </is>
      </c>
      <c r="G409" s="65" t="n"/>
      <c r="H409" s="65" t="inlineStr">
        <is>
          <t>Fijo</t>
        </is>
      </c>
      <c r="I409" s="55" t="inlineStr">
        <is>
          <t>SOPORTE TECNICO IT EQUPOS CCTV E IMPRESORA EN CRAFT BUENAVENTURA</t>
        </is>
      </c>
      <c r="J409" s="55" t="inlineStr">
        <is>
          <t>Buenaventura</t>
        </is>
      </c>
      <c r="K409" s="55" t="inlineStr">
        <is>
          <t>3852</t>
        </is>
      </c>
      <c r="L409" s="63" t="n"/>
      <c r="M409" s="63" t="n"/>
      <c r="N409" s="63" t="n"/>
      <c r="O409" s="66" t="n">
        <v>390000</v>
      </c>
      <c r="P409" s="55" t="n">
        <v>0</v>
      </c>
      <c r="Q409" s="55" t="n">
        <v>0</v>
      </c>
      <c r="R409" s="65" t="n">
        <v>390000</v>
      </c>
      <c r="S409" s="65" t="inlineStr">
        <is>
          <t>junio 2025</t>
        </is>
      </c>
      <c r="T409" s="55" t="inlineStr">
        <is>
          <t>23</t>
        </is>
      </c>
      <c r="U409" s="63" t="n"/>
      <c r="V409" s="63" t="n"/>
      <c r="W409" s="55" t="n"/>
      <c r="X409" s="55" t="n"/>
      <c r="Y409" s="55" t="n"/>
      <c r="Z409" s="63" t="n"/>
    </row>
    <row r="410">
      <c r="A410" s="64" t="n">
        <v>407</v>
      </c>
      <c r="B410" s="55" t="inlineStr">
        <is>
          <t>COMPAÑIA PAPELERA NACIONAL S.A.S</t>
        </is>
      </c>
      <c r="C410" s="55" t="n"/>
      <c r="D410" s="65" t="inlineStr">
        <is>
          <t>ADM</t>
        </is>
      </c>
      <c r="E410" s="65" t="n"/>
      <c r="F410" s="65" t="inlineStr">
        <is>
          <t>Conservacion Y Manutenimiento De Oficina</t>
        </is>
      </c>
      <c r="G410" s="65" t="n"/>
      <c r="H410" s="65" t="inlineStr">
        <is>
          <t>Variable</t>
        </is>
      </c>
      <c r="I410" s="55" t="inlineStr">
        <is>
          <t>PEDIDO ASEO Y CAFETERIA CRAFT BARRANQUILLA</t>
        </is>
      </c>
      <c r="J410" s="55" t="inlineStr">
        <is>
          <t>Barranquilla</t>
        </is>
      </c>
      <c r="K410" s="55" t="inlineStr">
        <is>
          <t>CPFP214586</t>
        </is>
      </c>
      <c r="L410" s="63" t="n"/>
      <c r="M410" s="63" t="n"/>
      <c r="N410" s="63" t="n"/>
      <c r="O410" s="66" t="n">
        <v>318276</v>
      </c>
      <c r="P410" s="55" t="n">
        <v>0</v>
      </c>
      <c r="Q410" s="55" t="n">
        <v>0</v>
      </c>
      <c r="R410" s="65" t="n">
        <v>318276</v>
      </c>
      <c r="S410" s="65" t="inlineStr">
        <is>
          <t>junio 2025</t>
        </is>
      </c>
      <c r="T410" s="55" t="n"/>
      <c r="U410" s="63" t="n"/>
      <c r="V410" s="63" t="n"/>
      <c r="W410" s="55" t="n"/>
      <c r="X410" s="55" t="n"/>
      <c r="Y410" s="55" t="n"/>
      <c r="Z410" s="63" t="n"/>
    </row>
    <row r="411">
      <c r="A411" s="64" t="n">
        <v>408</v>
      </c>
      <c r="B411" s="55" t="inlineStr">
        <is>
          <t>COMPAÑIA PAPELERA NACIONAL S.A.S</t>
        </is>
      </c>
      <c r="C411" s="55" t="n"/>
      <c r="D411" s="65" t="inlineStr">
        <is>
          <t>ADM</t>
        </is>
      </c>
      <c r="E411" s="65" t="n"/>
      <c r="F411" s="65" t="inlineStr">
        <is>
          <t>Botiquin</t>
        </is>
      </c>
      <c r="G411" s="65" t="n"/>
      <c r="H411" s="65" t="inlineStr">
        <is>
          <t>Variable</t>
        </is>
      </c>
      <c r="I411" s="55" t="inlineStr">
        <is>
          <t>COMPRA ELEMENTOS BOTIQUIN CRAFT BUENAVENTURA</t>
        </is>
      </c>
      <c r="J411" s="55" t="inlineStr">
        <is>
          <t>Buenaventura</t>
        </is>
      </c>
      <c r="K411" s="55" t="inlineStr">
        <is>
          <t>CPFP214587</t>
        </is>
      </c>
      <c r="L411" s="63" t="n"/>
      <c r="M411" s="63" t="n"/>
      <c r="N411" s="63" t="n"/>
      <c r="O411" s="66" t="n">
        <v>159733</v>
      </c>
      <c r="P411" s="55" t="n">
        <v>0</v>
      </c>
      <c r="Q411" s="55" t="n">
        <v>0</v>
      </c>
      <c r="R411" s="65" t="n">
        <v>159733</v>
      </c>
      <c r="S411" s="65" t="inlineStr">
        <is>
          <t>junio 2025</t>
        </is>
      </c>
      <c r="T411" s="55" t="n"/>
      <c r="U411" s="63" t="n"/>
      <c r="V411" s="63" t="n"/>
      <c r="W411" s="55" t="n"/>
      <c r="X411" s="55" t="n"/>
      <c r="Y411" s="55" t="n"/>
      <c r="Z411" s="63" t="n"/>
    </row>
    <row r="412">
      <c r="A412" s="64" t="n">
        <v>409</v>
      </c>
      <c r="B412" s="55" t="inlineStr">
        <is>
          <t>COMPAÑIA PAPELERA NACIONAL S.A.S</t>
        </is>
      </c>
      <c r="C412" s="55" t="n"/>
      <c r="D412" s="65" t="inlineStr">
        <is>
          <t>ADM</t>
        </is>
      </c>
      <c r="E412" s="65" t="n"/>
      <c r="F412" s="65" t="inlineStr">
        <is>
          <t>Botiquin</t>
        </is>
      </c>
      <c r="G412" s="65" t="n"/>
      <c r="H412" s="65" t="inlineStr">
        <is>
          <t>Variable</t>
        </is>
      </c>
      <c r="I412" s="55" t="inlineStr">
        <is>
          <t>COMPRA ELEMENTOS BOTIQUIN CRAFT CARTAGENA</t>
        </is>
      </c>
      <c r="J412" s="55" t="inlineStr">
        <is>
          <t>Cartagena</t>
        </is>
      </c>
      <c r="K412" s="55" t="inlineStr">
        <is>
          <t>CPFP214585</t>
        </is>
      </c>
      <c r="L412" s="63" t="n"/>
      <c r="M412" s="63" t="n"/>
      <c r="N412" s="63" t="n"/>
      <c r="O412" s="66" t="n">
        <v>173273</v>
      </c>
      <c r="P412" s="55" t="n">
        <v>0</v>
      </c>
      <c r="Q412" s="55" t="n">
        <v>0</v>
      </c>
      <c r="R412" s="65" t="n">
        <v>173273</v>
      </c>
      <c r="S412" s="65" t="inlineStr">
        <is>
          <t>junio 2025</t>
        </is>
      </c>
      <c r="T412" s="55" t="n"/>
      <c r="U412" s="63" t="n"/>
      <c r="V412" s="63" t="n"/>
      <c r="W412" s="55" t="n"/>
      <c r="X412" s="55" t="n"/>
      <c r="Y412" s="55" t="n"/>
      <c r="Z412" s="63" t="n"/>
    </row>
    <row r="413">
      <c r="A413" s="64" t="n">
        <v>410</v>
      </c>
      <c r="B413" s="55" t="inlineStr">
        <is>
          <t>COMPAÑIA PAPELERA NACIONAL S.A.S</t>
        </is>
      </c>
      <c r="C413" s="55" t="n"/>
      <c r="D413" s="65" t="inlineStr">
        <is>
          <t>ADM</t>
        </is>
      </c>
      <c r="E413" s="65" t="n"/>
      <c r="F413" s="65" t="inlineStr">
        <is>
          <t>Botiquin</t>
        </is>
      </c>
      <c r="G413" s="65" t="n"/>
      <c r="H413" s="65" t="inlineStr">
        <is>
          <t>Variable</t>
        </is>
      </c>
      <c r="I413" s="55" t="inlineStr">
        <is>
          <t>COMPRA ELEMENTOS BOTIQUIN CRAFT BOGOTA</t>
        </is>
      </c>
      <c r="J413" s="55" t="inlineStr">
        <is>
          <t>Calle 100</t>
        </is>
      </c>
      <c r="K413" s="55" t="inlineStr">
        <is>
          <t>CPFP214575</t>
        </is>
      </c>
      <c r="L413" s="63" t="n"/>
      <c r="M413" s="63" t="n"/>
      <c r="N413" s="63" t="n"/>
      <c r="O413" s="66" t="n">
        <v>18352</v>
      </c>
      <c r="P413" s="55" t="n">
        <v>0</v>
      </c>
      <c r="Q413" s="55" t="n">
        <v>0</v>
      </c>
      <c r="R413" s="65" t="n">
        <v>18352</v>
      </c>
      <c r="S413" s="65" t="inlineStr">
        <is>
          <t>junio 2025</t>
        </is>
      </c>
      <c r="T413" s="55" t="n"/>
      <c r="U413" s="63" t="n"/>
      <c r="V413" s="63" t="n"/>
      <c r="W413" s="55" t="n"/>
      <c r="X413" s="55" t="n"/>
      <c r="Y413" s="55" t="n"/>
      <c r="Z413" s="63" t="n"/>
    </row>
    <row r="414">
      <c r="A414" s="64" t="n">
        <v>411</v>
      </c>
      <c r="B414" s="55" t="inlineStr">
        <is>
          <t>COMPAÑIA PAPELERA NACIONAL S.A.S</t>
        </is>
      </c>
      <c r="C414" s="55" t="n"/>
      <c r="D414" s="65" t="inlineStr">
        <is>
          <t>ADM</t>
        </is>
      </c>
      <c r="E414" s="65" t="n"/>
      <c r="F414" s="65" t="inlineStr">
        <is>
          <t>Botiquin</t>
        </is>
      </c>
      <c r="G414" s="65" t="n"/>
      <c r="H414" s="65" t="inlineStr">
        <is>
          <t>Variable</t>
        </is>
      </c>
      <c r="I414" s="55" t="inlineStr">
        <is>
          <t>COMPRA ELEMENTOS BOTIQUIN CRAFT MEDELLIN</t>
        </is>
      </c>
      <c r="J414" s="55" t="inlineStr">
        <is>
          <t>Medellín</t>
        </is>
      </c>
      <c r="K414" s="55" t="inlineStr">
        <is>
          <t>CPFP214574</t>
        </is>
      </c>
      <c r="L414" s="63" t="n"/>
      <c r="M414" s="63" t="n"/>
      <c r="N414" s="63" t="n"/>
      <c r="O414" s="66" t="n">
        <v>51132</v>
      </c>
      <c r="P414" s="55" t="n">
        <v>0</v>
      </c>
      <c r="Q414" s="55" t="n">
        <v>0</v>
      </c>
      <c r="R414" s="65" t="n">
        <v>51132</v>
      </c>
      <c r="S414" s="65" t="inlineStr">
        <is>
          <t>junio 2025</t>
        </is>
      </c>
      <c r="T414" s="55" t="n"/>
      <c r="U414" s="63" t="n"/>
      <c r="V414" s="63" t="n"/>
      <c r="W414" s="55" t="n"/>
      <c r="X414" s="55" t="n"/>
      <c r="Y414" s="55" t="n"/>
      <c r="Z414" s="63" t="n"/>
    </row>
    <row r="415">
      <c r="A415" s="64" t="n">
        <v>412</v>
      </c>
      <c r="B415" s="55" t="inlineStr">
        <is>
          <t>CLARO S.A.</t>
        </is>
      </c>
      <c r="C415" s="55" t="n"/>
      <c r="D415" s="65" t="inlineStr">
        <is>
          <t>IT</t>
        </is>
      </c>
      <c r="E415" s="65" t="n"/>
      <c r="F415" s="65" t="inlineStr">
        <is>
          <t>Internet oficinas</t>
        </is>
      </c>
      <c r="G415" s="65" t="n"/>
      <c r="H415" s="65" t="inlineStr">
        <is>
          <t>Fijo</t>
        </is>
      </c>
      <c r="I415" s="55" t="inlineStr">
        <is>
          <t>SERVICIO INTERNET Y TELEFONIA CRAFT BARRANQUILLA</t>
        </is>
      </c>
      <c r="J415" s="55" t="inlineStr">
        <is>
          <t>Barranquilla</t>
        </is>
      </c>
      <c r="K415" s="55" t="inlineStr">
        <is>
          <t>R1153260047</t>
        </is>
      </c>
      <c r="L415" s="63" t="n"/>
      <c r="M415" s="63" t="n"/>
      <c r="N415" s="63" t="n"/>
      <c r="O415" s="66" t="n">
        <v>132985</v>
      </c>
      <c r="P415" s="55" t="n">
        <v>0</v>
      </c>
      <c r="Q415" s="55" t="n">
        <v>0</v>
      </c>
      <c r="R415" s="65" t="n">
        <v>132985</v>
      </c>
      <c r="S415" s="65" t="inlineStr">
        <is>
          <t>junio 2025</t>
        </is>
      </c>
      <c r="T415" s="55" t="n"/>
      <c r="U415" s="63" t="n"/>
      <c r="V415" s="63" t="n"/>
      <c r="W415" s="55" t="n"/>
      <c r="X415" s="55" t="n"/>
      <c r="Y415" s="55" t="n"/>
      <c r="Z415" s="63" t="n"/>
    </row>
    <row r="416">
      <c r="A416" s="64" t="n">
        <v>413</v>
      </c>
      <c r="B416" s="55" t="inlineStr">
        <is>
          <t>EDIFICIO CAPITAL TOWERS PROPIEDAD HORIZONTAL</t>
        </is>
      </c>
      <c r="C416" s="55" t="n"/>
      <c r="D416" s="65" t="inlineStr">
        <is>
          <t>ADM</t>
        </is>
      </c>
      <c r="E416" s="65" t="n"/>
      <c r="F416" s="65" t="inlineStr">
        <is>
          <t>Bodegas</t>
        </is>
      </c>
      <c r="G416" s="65" t="n"/>
      <c r="H416" s="65" t="inlineStr">
        <is>
          <t>Fijo</t>
        </is>
      </c>
      <c r="I416" s="55" t="inlineStr">
        <is>
          <t>BODEGAS Y DEPOSITOS PISO 21 CRAFT BOGOTA</t>
        </is>
      </c>
      <c r="J416" s="55" t="inlineStr">
        <is>
          <t>Transversal</t>
        </is>
      </c>
      <c r="K416" s="55" t="inlineStr">
        <is>
          <t>FE10442</t>
        </is>
      </c>
      <c r="L416" s="63" t="n"/>
      <c r="M416" s="63" t="n"/>
      <c r="N416" s="63" t="n"/>
      <c r="O416" s="66" t="n">
        <v>1372245</v>
      </c>
      <c r="P416" s="55" t="n">
        <v>0</v>
      </c>
      <c r="Q416" s="55" t="n">
        <v>0</v>
      </c>
      <c r="R416" s="65" t="n">
        <v>1372245</v>
      </c>
      <c r="S416" s="65" t="inlineStr">
        <is>
          <t>junio 2025</t>
        </is>
      </c>
      <c r="T416" s="55" t="n"/>
      <c r="U416" s="63" t="n"/>
      <c r="V416" s="63" t="n"/>
      <c r="W416" s="55" t="n"/>
      <c r="X416" s="55" t="n"/>
      <c r="Y416" s="55" t="n"/>
      <c r="Z416" s="63" t="n"/>
    </row>
    <row r="417">
      <c r="A417" s="64" t="n">
        <v>414</v>
      </c>
      <c r="B417" s="55" t="inlineStr">
        <is>
          <t>EDIFICIO CAPITAL TOWERS PROPIEDAD HORIZONTAL</t>
        </is>
      </c>
      <c r="C417" s="55" t="n"/>
      <c r="D417" s="65" t="inlineStr">
        <is>
          <t>ADM</t>
        </is>
      </c>
      <c r="E417" s="65" t="n"/>
      <c r="F417" s="65" t="inlineStr">
        <is>
          <t>Parqueaderos</t>
        </is>
      </c>
      <c r="G417" s="65" t="n"/>
      <c r="H417" s="65" t="inlineStr">
        <is>
          <t>Fijo</t>
        </is>
      </c>
      <c r="I417" s="55" t="inlineStr">
        <is>
          <t>SERVICIO PARQUEADERO PATINETAS</t>
        </is>
      </c>
      <c r="J417" s="55" t="inlineStr">
        <is>
          <t>Calle 100</t>
        </is>
      </c>
      <c r="K417" s="55" t="inlineStr">
        <is>
          <t>FE10443</t>
        </is>
      </c>
      <c r="L417" s="63" t="n"/>
      <c r="M417" s="63" t="n"/>
      <c r="N417" s="63" t="n"/>
      <c r="O417" s="66" t="n">
        <v>312672</v>
      </c>
      <c r="P417" s="55" t="n">
        <v>0</v>
      </c>
      <c r="Q417" s="55" t="n">
        <v>0</v>
      </c>
      <c r="R417" s="65" t="n">
        <v>312672</v>
      </c>
      <c r="S417" s="65" t="inlineStr">
        <is>
          <t>junio 2025</t>
        </is>
      </c>
      <c r="T417" s="55" t="n"/>
      <c r="U417" s="63" t="n"/>
      <c r="V417" s="63" t="n"/>
      <c r="W417" s="55" t="n"/>
      <c r="X417" s="55" t="n"/>
      <c r="Y417" s="55" t="n"/>
      <c r="Z417" s="63" t="n"/>
    </row>
    <row r="418">
      <c r="A418" s="64" t="n">
        <v>415</v>
      </c>
      <c r="B418" s="55" t="inlineStr">
        <is>
          <t>EDIFICIO CAPITAL TOWERS PROPIEDAD HORIZONTAL</t>
        </is>
      </c>
      <c r="C418" s="55" t="n"/>
      <c r="D418" s="65" t="inlineStr">
        <is>
          <t>ADM</t>
        </is>
      </c>
      <c r="E418" s="65" t="n"/>
      <c r="F418" s="65" t="inlineStr">
        <is>
          <t>Administración</t>
        </is>
      </c>
      <c r="G418" s="65" t="n"/>
      <c r="H418" s="65" t="inlineStr">
        <is>
          <t>Fijo</t>
        </is>
      </c>
      <c r="I418" s="55" t="inlineStr">
        <is>
          <t>CUOTA DE ADMINISTRACION TORRE 1 CRAFT BOGOTA</t>
        </is>
      </c>
      <c r="J418" s="55" t="inlineStr">
        <is>
          <t>Calle 100</t>
        </is>
      </c>
      <c r="K418" s="55" t="inlineStr">
        <is>
          <t>FE10414</t>
        </is>
      </c>
      <c r="L418" s="63" t="n"/>
      <c r="M418" s="63" t="n"/>
      <c r="N418" s="63" t="n"/>
      <c r="O418" s="66" t="n">
        <v>5750418</v>
      </c>
      <c r="P418" s="55" t="n">
        <v>0</v>
      </c>
      <c r="Q418" s="55" t="n">
        <v>0</v>
      </c>
      <c r="R418" s="65" t="n">
        <v>5750418</v>
      </c>
      <c r="S418" s="65" t="inlineStr">
        <is>
          <t>junio 2025</t>
        </is>
      </c>
      <c r="T418" s="55" t="n"/>
      <c r="U418" s="63" t="n"/>
      <c r="V418" s="63" t="n"/>
      <c r="W418" s="55" t="n"/>
      <c r="X418" s="55" t="n"/>
      <c r="Y418" s="55" t="n"/>
      <c r="Z418" s="63" t="n"/>
    </row>
    <row r="419">
      <c r="A419" s="64" t="n">
        <v>416</v>
      </c>
      <c r="B419" s="55" t="inlineStr">
        <is>
          <t>TRANS INTERNATIONAL COURIER S.A.S</t>
        </is>
      </c>
      <c r="C419" s="55" t="n"/>
      <c r="D419" s="65" t="inlineStr">
        <is>
          <t>ADM</t>
        </is>
      </c>
      <c r="E419" s="65" t="n"/>
      <c r="F419" s="65" t="inlineStr">
        <is>
          <t>Malote</t>
        </is>
      </c>
      <c r="G419" s="65" t="n"/>
      <c r="H419" s="65" t="inlineStr">
        <is>
          <t>Variable</t>
        </is>
      </c>
      <c r="I419" s="55" t="inlineStr">
        <is>
          <t>SERVICIO DE MENSAJERIA NACIONAL Y URBANA CRAFT COLOMBIA</t>
        </is>
      </c>
      <c r="J419" s="55" t="inlineStr">
        <is>
          <t>Transversal</t>
        </is>
      </c>
      <c r="K419" s="55" t="inlineStr">
        <is>
          <t>TIC12115</t>
        </is>
      </c>
      <c r="L419" s="63" t="n"/>
      <c r="M419" s="63" t="n"/>
      <c r="N419" s="63" t="n"/>
      <c r="O419" s="66" t="n">
        <v>628624</v>
      </c>
      <c r="P419" s="55" t="n">
        <v>0</v>
      </c>
      <c r="Q419" s="55" t="n">
        <v>0</v>
      </c>
      <c r="R419" s="65" t="n">
        <v>628624</v>
      </c>
      <c r="S419" s="65" t="inlineStr">
        <is>
          <t>junio 2025</t>
        </is>
      </c>
      <c r="T419" s="55" t="n"/>
      <c r="U419" s="63" t="n"/>
      <c r="V419" s="63" t="n"/>
      <c r="W419" s="55" t="n"/>
      <c r="X419" s="55" t="n"/>
      <c r="Y419" s="55" t="n"/>
      <c r="Z419" s="63" t="n"/>
    </row>
    <row r="420">
      <c r="A420" s="64" t="n">
        <v>417</v>
      </c>
      <c r="B420" s="55" t="inlineStr">
        <is>
          <t>FEDERACION COLOMBIANA DE AGENTES LOGISTICOS EN COMERCIO INTERNACIONAL</t>
        </is>
      </c>
      <c r="C420" s="55" t="n"/>
      <c r="D420" s="65" t="inlineStr">
        <is>
          <t>ADM</t>
        </is>
      </c>
      <c r="E420" s="65" t="n"/>
      <c r="F420" s="65" t="inlineStr">
        <is>
          <t>FITAC Cuota de sostenimiento</t>
        </is>
      </c>
      <c r="G420" s="65" t="n"/>
      <c r="H420" s="65" t="inlineStr">
        <is>
          <t>Variable</t>
        </is>
      </c>
      <c r="I420" s="55" t="inlineStr">
        <is>
          <t>CUOTA SOSTENIMIENTO ANUAL BAQ</t>
        </is>
      </c>
      <c r="J420" s="55" t="inlineStr">
        <is>
          <t>Barranquilla</t>
        </is>
      </c>
      <c r="K420" s="55" t="inlineStr">
        <is>
          <t>47487</t>
        </is>
      </c>
      <c r="L420" s="63" t="n"/>
      <c r="M420" s="63" t="n"/>
      <c r="N420" s="63" t="n"/>
      <c r="O420" s="66" t="n">
        <v>2700000</v>
      </c>
      <c r="P420" s="55" t="n">
        <v>0</v>
      </c>
      <c r="Q420" s="55" t="n">
        <v>0</v>
      </c>
      <c r="R420" s="65" t="n">
        <v>2700000</v>
      </c>
      <c r="S420" s="65" t="inlineStr">
        <is>
          <t>junio 2025</t>
        </is>
      </c>
      <c r="T420" s="55" t="n"/>
      <c r="U420" s="63" t="n"/>
      <c r="V420" s="63" t="n"/>
      <c r="W420" s="55" t="n"/>
      <c r="X420" s="55" t="n"/>
      <c r="Y420" s="55" t="n"/>
      <c r="Z420" s="63" t="n"/>
    </row>
    <row r="421">
      <c r="A421" s="64" t="n">
        <v>418</v>
      </c>
      <c r="B421" s="55" t="inlineStr">
        <is>
          <t>OPAIN SA AEROPUERTO EL DORADO</t>
        </is>
      </c>
      <c r="C421" s="55" t="n"/>
      <c r="D421" s="65" t="inlineStr">
        <is>
          <t>ADM</t>
        </is>
      </c>
      <c r="E421" s="65" t="n"/>
      <c r="F421" s="65" t="inlineStr">
        <is>
          <t>Administración</t>
        </is>
      </c>
      <c r="G421" s="65" t="n"/>
      <c r="H421" s="65" t="inlineStr">
        <is>
          <t>Fijo</t>
        </is>
      </c>
      <c r="I421" s="55" t="inlineStr">
        <is>
          <t>GASTOS REEMBOLSABLES CRAFT AEROPUERTO</t>
        </is>
      </c>
      <c r="J421" s="55" t="inlineStr">
        <is>
          <t>Aeropuerto</t>
        </is>
      </c>
      <c r="K421" s="55" t="inlineStr">
        <is>
          <t>CCG22600</t>
        </is>
      </c>
      <c r="L421" s="63" t="n"/>
      <c r="M421" s="63" t="n"/>
      <c r="N421" s="63" t="n"/>
      <c r="O421" s="66" t="n">
        <v>712343</v>
      </c>
      <c r="P421" s="55" t="n">
        <v>0</v>
      </c>
      <c r="Q421" s="55" t="n">
        <v>0</v>
      </c>
      <c r="R421" s="65" t="n">
        <v>712343</v>
      </c>
      <c r="S421" s="65" t="inlineStr">
        <is>
          <t>junio 2025</t>
        </is>
      </c>
      <c r="T421" s="55" t="n"/>
      <c r="U421" s="63" t="n"/>
      <c r="V421" s="63" t="n"/>
      <c r="W421" s="55" t="n"/>
      <c r="X421" s="55" t="n"/>
      <c r="Y421" s="55" t="n"/>
      <c r="Z421" s="63" t="n"/>
    </row>
    <row r="422">
      <c r="A422" s="64">
        <f>IF(B422&lt;&gt;"",ROW()-3,"")</f>
        <v/>
      </c>
      <c r="B422" s="55" t="n"/>
      <c r="C422" s="55" t="n"/>
      <c r="D422" s="65">
        <f>IF(OR(B422="",C422=""),"",IFERROR(VLOOKUP(B422&amp;"|||"&amp;C422,MAESTRA!$A$3:$J$500,5,0),"⚠ No encontrado"))</f>
        <v/>
      </c>
      <c r="E422" s="65">
        <f>IF(OR(B422="",C422=""),"",IFERROR(VLOOKUP(B422&amp;"|||"&amp;C422,MAESTRA!$A$3:$J$500,6,0),"⚠ No encontrado"))</f>
        <v/>
      </c>
      <c r="F422" s="65">
        <f>IF(OR(B422="",C422=""),"",IFERROR(VLOOKUP(B422&amp;"|||"&amp;C422,MAESTRA!$A$3:$J$500,7,0),"⚠ No encontrado"))</f>
        <v/>
      </c>
      <c r="G422" s="65">
        <f>IF(OR(B422="",C422=""),"",IFERROR(VLOOKUP(B422&amp;"|||"&amp;C422,MAESTRA!$A$3:$J$500,8,0),"⚠ No encontrado"))</f>
        <v/>
      </c>
      <c r="H422" s="65">
        <f>IF(OR(B422="",C422=""),"",IFERROR(VLOOKUP(B422&amp;"|||"&amp;C422,MAESTRA!$A$3:$J$500,9,0),""))</f>
        <v/>
      </c>
      <c r="I422" s="55" t="n"/>
      <c r="J422" s="55" t="n"/>
      <c r="K422" s="55" t="n"/>
      <c r="L422" s="63" t="n"/>
      <c r="M422" s="63" t="n"/>
      <c r="N422" s="63" t="n"/>
      <c r="O422" s="66" t="n"/>
      <c r="P422" s="55" t="n"/>
      <c r="Q422" s="55" t="n"/>
      <c r="R422" s="65">
        <f>IF(O422="","",O422-IF(P422="",0,P422)-IF(Q422="",0,Q422))</f>
        <v/>
      </c>
      <c r="S422" s="65">
        <f>IF(M422="","",TEXT(M422,"mmmm yyyy"))</f>
        <v/>
      </c>
      <c r="T422" s="55" t="n"/>
      <c r="U422" s="63" t="n"/>
      <c r="V422" s="63" t="n"/>
      <c r="W422" s="55" t="n"/>
      <c r="X422" s="55" t="n"/>
      <c r="Y422" s="55" t="n"/>
      <c r="Z422" s="63" t="n"/>
    </row>
    <row r="423">
      <c r="A423" s="64">
        <f>IF(B423&lt;&gt;"",ROW()-3,"")</f>
        <v/>
      </c>
      <c r="B423" s="55" t="n"/>
      <c r="C423" s="55" t="n"/>
      <c r="D423" s="65">
        <f>IF(OR(B423="",C423=""),"",IFERROR(VLOOKUP(B423&amp;"|||"&amp;C423,MAESTRA!$A$3:$J$500,5,0),"⚠ No encontrado"))</f>
        <v/>
      </c>
      <c r="E423" s="65">
        <f>IF(OR(B423="",C423=""),"",IFERROR(VLOOKUP(B423&amp;"|||"&amp;C423,MAESTRA!$A$3:$J$500,6,0),"⚠ No encontrado"))</f>
        <v/>
      </c>
      <c r="F423" s="65">
        <f>IF(OR(B423="",C423=""),"",IFERROR(VLOOKUP(B423&amp;"|||"&amp;C423,MAESTRA!$A$3:$J$500,7,0),"⚠ No encontrado"))</f>
        <v/>
      </c>
      <c r="G423" s="65">
        <f>IF(OR(B423="",C423=""),"",IFERROR(VLOOKUP(B423&amp;"|||"&amp;C423,MAESTRA!$A$3:$J$500,8,0),"⚠ No encontrado"))</f>
        <v/>
      </c>
      <c r="H423" s="65">
        <f>IF(OR(B423="",C423=""),"",IFERROR(VLOOKUP(B423&amp;"|||"&amp;C423,MAESTRA!$A$3:$J$500,9,0),""))</f>
        <v/>
      </c>
      <c r="I423" s="55" t="n"/>
      <c r="J423" s="55" t="n"/>
      <c r="K423" s="55" t="n"/>
      <c r="L423" s="63" t="n"/>
      <c r="M423" s="63" t="n"/>
      <c r="N423" s="63" t="n"/>
      <c r="O423" s="66" t="n"/>
      <c r="P423" s="55" t="n"/>
      <c r="Q423" s="55" t="n"/>
      <c r="R423" s="65">
        <f>IF(O423="","",O423-IF(P423="",0,P423)-IF(Q423="",0,Q423))</f>
        <v/>
      </c>
      <c r="S423" s="65">
        <f>IF(M423="","",TEXT(M423,"mmmm yyyy"))</f>
        <v/>
      </c>
      <c r="T423" s="55" t="n"/>
      <c r="U423" s="63" t="n"/>
      <c r="V423" s="63" t="n"/>
      <c r="W423" s="55" t="n"/>
      <c r="X423" s="55" t="n"/>
      <c r="Y423" s="55" t="n"/>
      <c r="Z423" s="63" t="n"/>
    </row>
    <row r="424">
      <c r="A424" s="64">
        <f>IF(B424&lt;&gt;"",ROW()-3,"")</f>
        <v/>
      </c>
      <c r="B424" s="55" t="n"/>
      <c r="C424" s="55" t="n"/>
      <c r="D424" s="65">
        <f>IF(OR(B424="",C424=""),"",IFERROR(VLOOKUP(B424&amp;"|||"&amp;C424,MAESTRA!$A$3:$J$500,5,0),"⚠ No encontrado"))</f>
        <v/>
      </c>
      <c r="E424" s="65">
        <f>IF(OR(B424="",C424=""),"",IFERROR(VLOOKUP(B424&amp;"|||"&amp;C424,MAESTRA!$A$3:$J$500,6,0),"⚠ No encontrado"))</f>
        <v/>
      </c>
      <c r="F424" s="65">
        <f>IF(OR(B424="",C424=""),"",IFERROR(VLOOKUP(B424&amp;"|||"&amp;C424,MAESTRA!$A$3:$J$500,7,0),"⚠ No encontrado"))</f>
        <v/>
      </c>
      <c r="G424" s="65">
        <f>IF(OR(B424="",C424=""),"",IFERROR(VLOOKUP(B424&amp;"|||"&amp;C424,MAESTRA!$A$3:$J$500,8,0),"⚠ No encontrado"))</f>
        <v/>
      </c>
      <c r="H424" s="65">
        <f>IF(OR(B424="",C424=""),"",IFERROR(VLOOKUP(B424&amp;"|||"&amp;C424,MAESTRA!$A$3:$J$500,9,0),""))</f>
        <v/>
      </c>
      <c r="I424" s="55" t="n"/>
      <c r="J424" s="55" t="n"/>
      <c r="K424" s="55" t="n"/>
      <c r="L424" s="63" t="n"/>
      <c r="M424" s="63" t="n"/>
      <c r="N424" s="63" t="n"/>
      <c r="O424" s="66" t="n"/>
      <c r="P424" s="55" t="n"/>
      <c r="Q424" s="55" t="n"/>
      <c r="R424" s="65">
        <f>IF(O424="","",O424-IF(P424="",0,P424)-IF(Q424="",0,Q424))</f>
        <v/>
      </c>
      <c r="S424" s="65">
        <f>IF(M424="","",TEXT(M424,"mmmm yyyy"))</f>
        <v/>
      </c>
      <c r="T424" s="55" t="n"/>
      <c r="U424" s="63" t="n"/>
      <c r="V424" s="63" t="n"/>
      <c r="W424" s="55" t="n"/>
      <c r="X424" s="55" t="n"/>
      <c r="Y424" s="55" t="n"/>
      <c r="Z424" s="63" t="n"/>
    </row>
    <row r="425">
      <c r="A425" s="64">
        <f>IF(B425&lt;&gt;"",ROW()-3,"")</f>
        <v/>
      </c>
      <c r="B425" s="55" t="n"/>
      <c r="C425" s="55" t="n"/>
      <c r="D425" s="65">
        <f>IF(OR(B425="",C425=""),"",IFERROR(VLOOKUP(B425&amp;"|||"&amp;C425,MAESTRA!$A$3:$J$500,5,0),"⚠ No encontrado"))</f>
        <v/>
      </c>
      <c r="E425" s="65">
        <f>IF(OR(B425="",C425=""),"",IFERROR(VLOOKUP(B425&amp;"|||"&amp;C425,MAESTRA!$A$3:$J$500,6,0),"⚠ No encontrado"))</f>
        <v/>
      </c>
      <c r="F425" s="65">
        <f>IF(OR(B425="",C425=""),"",IFERROR(VLOOKUP(B425&amp;"|||"&amp;C425,MAESTRA!$A$3:$J$500,7,0),"⚠ No encontrado"))</f>
        <v/>
      </c>
      <c r="G425" s="65">
        <f>IF(OR(B425="",C425=""),"",IFERROR(VLOOKUP(B425&amp;"|||"&amp;C425,MAESTRA!$A$3:$J$500,8,0),"⚠ No encontrado"))</f>
        <v/>
      </c>
      <c r="H425" s="65">
        <f>IF(OR(B425="",C425=""),"",IFERROR(VLOOKUP(B425&amp;"|||"&amp;C425,MAESTRA!$A$3:$J$500,9,0),""))</f>
        <v/>
      </c>
      <c r="I425" s="55" t="n"/>
      <c r="J425" s="55" t="n"/>
      <c r="K425" s="55" t="n"/>
      <c r="L425" s="63" t="n"/>
      <c r="M425" s="63" t="n"/>
      <c r="N425" s="63" t="n"/>
      <c r="O425" s="66" t="n"/>
      <c r="P425" s="55" t="n"/>
      <c r="Q425" s="55" t="n"/>
      <c r="R425" s="65">
        <f>IF(O425="","",O425-IF(P425="",0,P425)-IF(Q425="",0,Q425))</f>
        <v/>
      </c>
      <c r="S425" s="65">
        <f>IF(M425="","",TEXT(M425,"mmmm yyyy"))</f>
        <v/>
      </c>
      <c r="T425" s="55" t="n"/>
      <c r="U425" s="63" t="n"/>
      <c r="V425" s="63" t="n"/>
      <c r="W425" s="55" t="n"/>
      <c r="X425" s="55" t="n"/>
      <c r="Y425" s="55" t="n"/>
      <c r="Z425" s="63" t="n"/>
    </row>
    <row r="426">
      <c r="A426" s="64">
        <f>IF(B426&lt;&gt;"",ROW()-3,"")</f>
        <v/>
      </c>
      <c r="B426" s="55" t="n"/>
      <c r="C426" s="55" t="n"/>
      <c r="D426" s="65">
        <f>IF(OR(B426="",C426=""),"",IFERROR(VLOOKUP(B426&amp;"|||"&amp;C426,MAESTRA!$A$3:$J$500,5,0),"⚠ No encontrado"))</f>
        <v/>
      </c>
      <c r="E426" s="65">
        <f>IF(OR(B426="",C426=""),"",IFERROR(VLOOKUP(B426&amp;"|||"&amp;C426,MAESTRA!$A$3:$J$500,6,0),"⚠ No encontrado"))</f>
        <v/>
      </c>
      <c r="F426" s="65">
        <f>IF(OR(B426="",C426=""),"",IFERROR(VLOOKUP(B426&amp;"|||"&amp;C426,MAESTRA!$A$3:$J$500,7,0),"⚠ No encontrado"))</f>
        <v/>
      </c>
      <c r="G426" s="65">
        <f>IF(OR(B426="",C426=""),"",IFERROR(VLOOKUP(B426&amp;"|||"&amp;C426,MAESTRA!$A$3:$J$500,8,0),"⚠ No encontrado"))</f>
        <v/>
      </c>
      <c r="H426" s="65">
        <f>IF(OR(B426="",C426=""),"",IFERROR(VLOOKUP(B426&amp;"|||"&amp;C426,MAESTRA!$A$3:$J$500,9,0),""))</f>
        <v/>
      </c>
      <c r="I426" s="55" t="n"/>
      <c r="J426" s="55" t="n"/>
      <c r="K426" s="55" t="n"/>
      <c r="L426" s="63" t="n"/>
      <c r="M426" s="63" t="n"/>
      <c r="N426" s="63" t="n"/>
      <c r="O426" s="66" t="n"/>
      <c r="P426" s="55" t="n"/>
      <c r="Q426" s="55" t="n"/>
      <c r="R426" s="65">
        <f>IF(O426="","",O426-IF(P426="",0,P426)-IF(Q426="",0,Q426))</f>
        <v/>
      </c>
      <c r="S426" s="65">
        <f>IF(M426="","",TEXT(M426,"mmmm yyyy"))</f>
        <v/>
      </c>
      <c r="T426" s="55" t="n"/>
      <c r="U426" s="63" t="n"/>
      <c r="V426" s="63" t="n"/>
      <c r="W426" s="55" t="n"/>
      <c r="X426" s="55" t="n"/>
      <c r="Y426" s="55" t="n"/>
      <c r="Z426" s="63" t="n"/>
    </row>
    <row r="427">
      <c r="A427" s="64">
        <f>IF(B427&lt;&gt;"",ROW()-3,"")</f>
        <v/>
      </c>
      <c r="B427" s="55" t="n"/>
      <c r="C427" s="55" t="n"/>
      <c r="D427" s="65">
        <f>IF(OR(B427="",C427=""),"",IFERROR(VLOOKUP(B427&amp;"|||"&amp;C427,MAESTRA!$A$3:$J$500,5,0),"⚠ No encontrado"))</f>
        <v/>
      </c>
      <c r="E427" s="65">
        <f>IF(OR(B427="",C427=""),"",IFERROR(VLOOKUP(B427&amp;"|||"&amp;C427,MAESTRA!$A$3:$J$500,6,0),"⚠ No encontrado"))</f>
        <v/>
      </c>
      <c r="F427" s="65">
        <f>IF(OR(B427="",C427=""),"",IFERROR(VLOOKUP(B427&amp;"|||"&amp;C427,MAESTRA!$A$3:$J$500,7,0),"⚠ No encontrado"))</f>
        <v/>
      </c>
      <c r="G427" s="65">
        <f>IF(OR(B427="",C427=""),"",IFERROR(VLOOKUP(B427&amp;"|||"&amp;C427,MAESTRA!$A$3:$J$500,8,0),"⚠ No encontrado"))</f>
        <v/>
      </c>
      <c r="H427" s="65">
        <f>IF(OR(B427="",C427=""),"",IFERROR(VLOOKUP(B427&amp;"|||"&amp;C427,MAESTRA!$A$3:$J$500,9,0),""))</f>
        <v/>
      </c>
      <c r="I427" s="55" t="n"/>
      <c r="J427" s="55" t="n"/>
      <c r="K427" s="55" t="n"/>
      <c r="L427" s="63" t="n"/>
      <c r="M427" s="63" t="n"/>
      <c r="N427" s="63" t="n"/>
      <c r="O427" s="66" t="n"/>
      <c r="P427" s="55" t="n"/>
      <c r="Q427" s="55" t="n"/>
      <c r="R427" s="65">
        <f>IF(O427="","",O427-IF(P427="",0,P427)-IF(Q427="",0,Q427))</f>
        <v/>
      </c>
      <c r="S427" s="65">
        <f>IF(M427="","",TEXT(M427,"mmmm yyyy"))</f>
        <v/>
      </c>
      <c r="T427" s="55" t="n"/>
      <c r="U427" s="63" t="n"/>
      <c r="V427" s="63" t="n"/>
      <c r="W427" s="55" t="n"/>
      <c r="X427" s="55" t="n"/>
      <c r="Y427" s="55" t="n"/>
      <c r="Z427" s="63" t="n"/>
    </row>
    <row r="428">
      <c r="A428" s="64">
        <f>IF(B428&lt;&gt;"",ROW()-3,"")</f>
        <v/>
      </c>
      <c r="B428" s="55" t="n"/>
      <c r="C428" s="55" t="n"/>
      <c r="D428" s="65">
        <f>IF(OR(B428="",C428=""),"",IFERROR(VLOOKUP(B428&amp;"|||"&amp;C428,MAESTRA!$A$3:$J$500,5,0),"⚠ No encontrado"))</f>
        <v/>
      </c>
      <c r="E428" s="65">
        <f>IF(OR(B428="",C428=""),"",IFERROR(VLOOKUP(B428&amp;"|||"&amp;C428,MAESTRA!$A$3:$J$500,6,0),"⚠ No encontrado"))</f>
        <v/>
      </c>
      <c r="F428" s="65">
        <f>IF(OR(B428="",C428=""),"",IFERROR(VLOOKUP(B428&amp;"|||"&amp;C428,MAESTRA!$A$3:$J$500,7,0),"⚠ No encontrado"))</f>
        <v/>
      </c>
      <c r="G428" s="65">
        <f>IF(OR(B428="",C428=""),"",IFERROR(VLOOKUP(B428&amp;"|||"&amp;C428,MAESTRA!$A$3:$J$500,8,0),"⚠ No encontrado"))</f>
        <v/>
      </c>
      <c r="H428" s="65">
        <f>IF(OR(B428="",C428=""),"",IFERROR(VLOOKUP(B428&amp;"|||"&amp;C428,MAESTRA!$A$3:$J$500,9,0),""))</f>
        <v/>
      </c>
      <c r="I428" s="55" t="n"/>
      <c r="J428" s="55" t="n"/>
      <c r="K428" s="55" t="n"/>
      <c r="L428" s="63" t="n"/>
      <c r="M428" s="63" t="n"/>
      <c r="N428" s="63" t="n"/>
      <c r="O428" s="66" t="n"/>
      <c r="P428" s="55" t="n"/>
      <c r="Q428" s="55" t="n"/>
      <c r="R428" s="65">
        <f>IF(O428="","",O428-IF(P428="",0,P428)-IF(Q428="",0,Q428))</f>
        <v/>
      </c>
      <c r="S428" s="65">
        <f>IF(M428="","",TEXT(M428,"mmmm yyyy"))</f>
        <v/>
      </c>
      <c r="T428" s="55" t="n"/>
      <c r="U428" s="63" t="n"/>
      <c r="V428" s="63" t="n"/>
      <c r="W428" s="55" t="n"/>
      <c r="X428" s="55" t="n"/>
      <c r="Y428" s="55" t="n"/>
      <c r="Z428" s="63" t="n"/>
    </row>
    <row r="429">
      <c r="A429" s="64">
        <f>IF(B429&lt;&gt;"",ROW()-3,"")</f>
        <v/>
      </c>
      <c r="B429" s="55" t="n"/>
      <c r="C429" s="55" t="n"/>
      <c r="D429" s="65">
        <f>IF(OR(B429="",C429=""),"",IFERROR(VLOOKUP(B429&amp;"|||"&amp;C429,MAESTRA!$A$3:$J$500,5,0),"⚠ No encontrado"))</f>
        <v/>
      </c>
      <c r="E429" s="65">
        <f>IF(OR(B429="",C429=""),"",IFERROR(VLOOKUP(B429&amp;"|||"&amp;C429,MAESTRA!$A$3:$J$500,6,0),"⚠ No encontrado"))</f>
        <v/>
      </c>
      <c r="F429" s="65">
        <f>IF(OR(B429="",C429=""),"",IFERROR(VLOOKUP(B429&amp;"|||"&amp;C429,MAESTRA!$A$3:$J$500,7,0),"⚠ No encontrado"))</f>
        <v/>
      </c>
      <c r="G429" s="65">
        <f>IF(OR(B429="",C429=""),"",IFERROR(VLOOKUP(B429&amp;"|||"&amp;C429,MAESTRA!$A$3:$J$500,8,0),"⚠ No encontrado"))</f>
        <v/>
      </c>
      <c r="H429" s="65">
        <f>IF(OR(B429="",C429=""),"",IFERROR(VLOOKUP(B429&amp;"|||"&amp;C429,MAESTRA!$A$3:$J$500,9,0),""))</f>
        <v/>
      </c>
      <c r="I429" s="55" t="n"/>
      <c r="J429" s="55" t="n"/>
      <c r="K429" s="55" t="n"/>
      <c r="L429" s="63" t="n"/>
      <c r="M429" s="63" t="n"/>
      <c r="N429" s="63" t="n"/>
      <c r="O429" s="66" t="n"/>
      <c r="P429" s="55" t="n"/>
      <c r="Q429" s="55" t="n"/>
      <c r="R429" s="65">
        <f>IF(O429="","",O429-IF(P429="",0,P429)-IF(Q429="",0,Q429))</f>
        <v/>
      </c>
      <c r="S429" s="65">
        <f>IF(M429="","",TEXT(M429,"mmmm yyyy"))</f>
        <v/>
      </c>
      <c r="T429" s="55" t="n"/>
      <c r="U429" s="63" t="n"/>
      <c r="V429" s="63" t="n"/>
      <c r="W429" s="55" t="n"/>
      <c r="X429" s="55" t="n"/>
      <c r="Y429" s="55" t="n"/>
      <c r="Z429" s="63" t="n"/>
    </row>
    <row r="430">
      <c r="A430" s="64">
        <f>IF(B430&lt;&gt;"",ROW()-3,"")</f>
        <v/>
      </c>
      <c r="B430" s="55" t="n"/>
      <c r="C430" s="55" t="n"/>
      <c r="D430" s="65">
        <f>IF(OR(B430="",C430=""),"",IFERROR(VLOOKUP(B430&amp;"|||"&amp;C430,MAESTRA!$A$3:$J$500,5,0),"⚠ No encontrado"))</f>
        <v/>
      </c>
      <c r="E430" s="65">
        <f>IF(OR(B430="",C430=""),"",IFERROR(VLOOKUP(B430&amp;"|||"&amp;C430,MAESTRA!$A$3:$J$500,6,0),"⚠ No encontrado"))</f>
        <v/>
      </c>
      <c r="F430" s="65">
        <f>IF(OR(B430="",C430=""),"",IFERROR(VLOOKUP(B430&amp;"|||"&amp;C430,MAESTRA!$A$3:$J$500,7,0),"⚠ No encontrado"))</f>
        <v/>
      </c>
      <c r="G430" s="65">
        <f>IF(OR(B430="",C430=""),"",IFERROR(VLOOKUP(B430&amp;"|||"&amp;C430,MAESTRA!$A$3:$J$500,8,0),"⚠ No encontrado"))</f>
        <v/>
      </c>
      <c r="H430" s="65">
        <f>IF(OR(B430="",C430=""),"",IFERROR(VLOOKUP(B430&amp;"|||"&amp;C430,MAESTRA!$A$3:$J$500,9,0),""))</f>
        <v/>
      </c>
      <c r="I430" s="55" t="n"/>
      <c r="J430" s="55" t="n"/>
      <c r="K430" s="55" t="n"/>
      <c r="L430" s="63" t="n"/>
      <c r="M430" s="63" t="n"/>
      <c r="N430" s="63" t="n"/>
      <c r="O430" s="66" t="n"/>
      <c r="P430" s="55" t="n"/>
      <c r="Q430" s="55" t="n"/>
      <c r="R430" s="65">
        <f>IF(O430="","",O430-IF(P430="",0,P430)-IF(Q430="",0,Q430))</f>
        <v/>
      </c>
      <c r="S430" s="65">
        <f>IF(M430="","",TEXT(M430,"mmmm yyyy"))</f>
        <v/>
      </c>
      <c r="T430" s="55" t="n"/>
      <c r="U430" s="63" t="n"/>
      <c r="V430" s="63" t="n"/>
      <c r="W430" s="55" t="n"/>
      <c r="X430" s="55" t="n"/>
      <c r="Y430" s="55" t="n"/>
      <c r="Z430" s="63" t="n"/>
    </row>
    <row r="431">
      <c r="A431" s="64">
        <f>IF(B431&lt;&gt;"",ROW()-3,"")</f>
        <v/>
      </c>
      <c r="B431" s="55" t="n"/>
      <c r="C431" s="55" t="n"/>
      <c r="D431" s="65">
        <f>IF(OR(B431="",C431=""),"",IFERROR(VLOOKUP(B431&amp;"|||"&amp;C431,MAESTRA!$A$3:$J$500,5,0),"⚠ No encontrado"))</f>
        <v/>
      </c>
      <c r="E431" s="65">
        <f>IF(OR(B431="",C431=""),"",IFERROR(VLOOKUP(B431&amp;"|||"&amp;C431,MAESTRA!$A$3:$J$500,6,0),"⚠ No encontrado"))</f>
        <v/>
      </c>
      <c r="F431" s="65">
        <f>IF(OR(B431="",C431=""),"",IFERROR(VLOOKUP(B431&amp;"|||"&amp;C431,MAESTRA!$A$3:$J$500,7,0),"⚠ No encontrado"))</f>
        <v/>
      </c>
      <c r="G431" s="65">
        <f>IF(OR(B431="",C431=""),"",IFERROR(VLOOKUP(B431&amp;"|||"&amp;C431,MAESTRA!$A$3:$J$500,8,0),"⚠ No encontrado"))</f>
        <v/>
      </c>
      <c r="H431" s="65">
        <f>IF(OR(B431="",C431=""),"",IFERROR(VLOOKUP(B431&amp;"|||"&amp;C431,MAESTRA!$A$3:$J$500,9,0),""))</f>
        <v/>
      </c>
      <c r="I431" s="55" t="n"/>
      <c r="J431" s="55" t="n"/>
      <c r="K431" s="55" t="n"/>
      <c r="L431" s="63" t="n"/>
      <c r="M431" s="63" t="n"/>
      <c r="N431" s="63" t="n"/>
      <c r="O431" s="66" t="n"/>
      <c r="P431" s="55" t="n"/>
      <c r="Q431" s="55" t="n"/>
      <c r="R431" s="65">
        <f>IF(O431="","",O431-IF(P431="",0,P431)-IF(Q431="",0,Q431))</f>
        <v/>
      </c>
      <c r="S431" s="65">
        <f>IF(M431="","",TEXT(M431,"mmmm yyyy"))</f>
        <v/>
      </c>
      <c r="T431" s="55" t="n"/>
      <c r="U431" s="63" t="n"/>
      <c r="V431" s="63" t="n"/>
      <c r="W431" s="55" t="n"/>
      <c r="X431" s="55" t="n"/>
      <c r="Y431" s="55" t="n"/>
      <c r="Z431" s="63" t="n"/>
    </row>
    <row r="432">
      <c r="A432" s="64">
        <f>IF(B432&lt;&gt;"",ROW()-3,"")</f>
        <v/>
      </c>
      <c r="B432" s="55" t="n"/>
      <c r="C432" s="55" t="n"/>
      <c r="D432" s="65">
        <f>IF(OR(B432="",C432=""),"",IFERROR(VLOOKUP(B432&amp;"|||"&amp;C432,MAESTRA!$A$3:$J$500,5,0),"⚠ No encontrado"))</f>
        <v/>
      </c>
      <c r="E432" s="65">
        <f>IF(OR(B432="",C432=""),"",IFERROR(VLOOKUP(B432&amp;"|||"&amp;C432,MAESTRA!$A$3:$J$500,6,0),"⚠ No encontrado"))</f>
        <v/>
      </c>
      <c r="F432" s="65">
        <f>IF(OR(B432="",C432=""),"",IFERROR(VLOOKUP(B432&amp;"|||"&amp;C432,MAESTRA!$A$3:$J$500,7,0),"⚠ No encontrado"))</f>
        <v/>
      </c>
      <c r="G432" s="65">
        <f>IF(OR(B432="",C432=""),"",IFERROR(VLOOKUP(B432&amp;"|||"&amp;C432,MAESTRA!$A$3:$J$500,8,0),"⚠ No encontrado"))</f>
        <v/>
      </c>
      <c r="H432" s="65">
        <f>IF(OR(B432="",C432=""),"",IFERROR(VLOOKUP(B432&amp;"|||"&amp;C432,MAESTRA!$A$3:$J$500,9,0),""))</f>
        <v/>
      </c>
      <c r="I432" s="55" t="n"/>
      <c r="J432" s="55" t="n"/>
      <c r="K432" s="55" t="n"/>
      <c r="L432" s="63" t="n"/>
      <c r="M432" s="63" t="n"/>
      <c r="N432" s="63" t="n"/>
      <c r="O432" s="66" t="n"/>
      <c r="P432" s="55" t="n"/>
      <c r="Q432" s="55" t="n"/>
      <c r="R432" s="65">
        <f>IF(O432="","",O432-IF(P432="",0,P432)-IF(Q432="",0,Q432))</f>
        <v/>
      </c>
      <c r="S432" s="65">
        <f>IF(M432="","",TEXT(M432,"mmmm yyyy"))</f>
        <v/>
      </c>
      <c r="T432" s="55" t="n"/>
      <c r="U432" s="63" t="n"/>
      <c r="V432" s="63" t="n"/>
      <c r="W432" s="55" t="n"/>
      <c r="X432" s="55" t="n"/>
      <c r="Y432" s="55" t="n"/>
      <c r="Z432" s="63" t="n"/>
    </row>
    <row r="433">
      <c r="A433" s="64">
        <f>IF(B433&lt;&gt;"",ROW()-3,"")</f>
        <v/>
      </c>
      <c r="B433" s="55" t="n"/>
      <c r="C433" s="55" t="n"/>
      <c r="D433" s="65">
        <f>IF(OR(B433="",C433=""),"",IFERROR(VLOOKUP(B433&amp;"|||"&amp;C433,MAESTRA!$A$3:$J$500,5,0),"⚠ No encontrado"))</f>
        <v/>
      </c>
      <c r="E433" s="65">
        <f>IF(OR(B433="",C433=""),"",IFERROR(VLOOKUP(B433&amp;"|||"&amp;C433,MAESTRA!$A$3:$J$500,6,0),"⚠ No encontrado"))</f>
        <v/>
      </c>
      <c r="F433" s="65">
        <f>IF(OR(B433="",C433=""),"",IFERROR(VLOOKUP(B433&amp;"|||"&amp;C433,MAESTRA!$A$3:$J$500,7,0),"⚠ No encontrado"))</f>
        <v/>
      </c>
      <c r="G433" s="65">
        <f>IF(OR(B433="",C433=""),"",IFERROR(VLOOKUP(B433&amp;"|||"&amp;C433,MAESTRA!$A$3:$J$500,8,0),"⚠ No encontrado"))</f>
        <v/>
      </c>
      <c r="H433" s="65">
        <f>IF(OR(B433="",C433=""),"",IFERROR(VLOOKUP(B433&amp;"|||"&amp;C433,MAESTRA!$A$3:$J$500,9,0),""))</f>
        <v/>
      </c>
      <c r="I433" s="55" t="n"/>
      <c r="J433" s="55" t="n"/>
      <c r="K433" s="55" t="n"/>
      <c r="L433" s="63" t="n"/>
      <c r="M433" s="63" t="n"/>
      <c r="N433" s="63" t="n"/>
      <c r="O433" s="66" t="n"/>
      <c r="P433" s="55" t="n"/>
      <c r="Q433" s="55" t="n"/>
      <c r="R433" s="65">
        <f>IF(O433="","",O433-IF(P433="",0,P433)-IF(Q433="",0,Q433))</f>
        <v/>
      </c>
      <c r="S433" s="65">
        <f>IF(M433="","",TEXT(M433,"mmmm yyyy"))</f>
        <v/>
      </c>
      <c r="T433" s="55" t="n"/>
      <c r="U433" s="63" t="n"/>
      <c r="V433" s="63" t="n"/>
      <c r="W433" s="55" t="n"/>
      <c r="X433" s="55" t="n"/>
      <c r="Y433" s="55" t="n"/>
      <c r="Z433" s="63" t="n"/>
    </row>
    <row r="434">
      <c r="A434" s="64">
        <f>IF(B434&lt;&gt;"",ROW()-3,"")</f>
        <v/>
      </c>
      <c r="B434" s="55" t="n"/>
      <c r="C434" s="55" t="n"/>
      <c r="D434" s="65">
        <f>IF(OR(B434="",C434=""),"",IFERROR(VLOOKUP(B434&amp;"|||"&amp;C434,MAESTRA!$A$3:$J$500,5,0),"⚠ No encontrado"))</f>
        <v/>
      </c>
      <c r="E434" s="65">
        <f>IF(OR(B434="",C434=""),"",IFERROR(VLOOKUP(B434&amp;"|||"&amp;C434,MAESTRA!$A$3:$J$500,6,0),"⚠ No encontrado"))</f>
        <v/>
      </c>
      <c r="F434" s="65">
        <f>IF(OR(B434="",C434=""),"",IFERROR(VLOOKUP(B434&amp;"|||"&amp;C434,MAESTRA!$A$3:$J$500,7,0),"⚠ No encontrado"))</f>
        <v/>
      </c>
      <c r="G434" s="65">
        <f>IF(OR(B434="",C434=""),"",IFERROR(VLOOKUP(B434&amp;"|||"&amp;C434,MAESTRA!$A$3:$J$500,8,0),"⚠ No encontrado"))</f>
        <v/>
      </c>
      <c r="H434" s="65">
        <f>IF(OR(B434="",C434=""),"",IFERROR(VLOOKUP(B434&amp;"|||"&amp;C434,MAESTRA!$A$3:$J$500,9,0),""))</f>
        <v/>
      </c>
      <c r="I434" s="55" t="n"/>
      <c r="J434" s="55" t="n"/>
      <c r="K434" s="55" t="n"/>
      <c r="L434" s="63" t="n"/>
      <c r="M434" s="63" t="n"/>
      <c r="N434" s="63" t="n"/>
      <c r="O434" s="66" t="n"/>
      <c r="P434" s="55" t="n"/>
      <c r="Q434" s="55" t="n"/>
      <c r="R434" s="65">
        <f>IF(O434="","",O434-IF(P434="",0,P434)-IF(Q434="",0,Q434))</f>
        <v/>
      </c>
      <c r="S434" s="65">
        <f>IF(M434="","",TEXT(M434,"mmmm yyyy"))</f>
        <v/>
      </c>
      <c r="T434" s="55" t="n"/>
      <c r="U434" s="63" t="n"/>
      <c r="V434" s="63" t="n"/>
      <c r="W434" s="55" t="n"/>
      <c r="X434" s="55" t="n"/>
      <c r="Y434" s="55" t="n"/>
      <c r="Z434" s="63" t="n"/>
    </row>
    <row r="435">
      <c r="A435" s="64">
        <f>IF(B435&lt;&gt;"",ROW()-3,"")</f>
        <v/>
      </c>
      <c r="B435" s="55" t="n"/>
      <c r="C435" s="55" t="n"/>
      <c r="D435" s="65">
        <f>IF(OR(B435="",C435=""),"",IFERROR(VLOOKUP(B435&amp;"|||"&amp;C435,MAESTRA!$A$3:$J$500,5,0),"⚠ No encontrado"))</f>
        <v/>
      </c>
      <c r="E435" s="65">
        <f>IF(OR(B435="",C435=""),"",IFERROR(VLOOKUP(B435&amp;"|||"&amp;C435,MAESTRA!$A$3:$J$500,6,0),"⚠ No encontrado"))</f>
        <v/>
      </c>
      <c r="F435" s="65">
        <f>IF(OR(B435="",C435=""),"",IFERROR(VLOOKUP(B435&amp;"|||"&amp;C435,MAESTRA!$A$3:$J$500,7,0),"⚠ No encontrado"))</f>
        <v/>
      </c>
      <c r="G435" s="65">
        <f>IF(OR(B435="",C435=""),"",IFERROR(VLOOKUP(B435&amp;"|||"&amp;C435,MAESTRA!$A$3:$J$500,8,0),"⚠ No encontrado"))</f>
        <v/>
      </c>
      <c r="H435" s="65">
        <f>IF(OR(B435="",C435=""),"",IFERROR(VLOOKUP(B435&amp;"|||"&amp;C435,MAESTRA!$A$3:$J$500,9,0),""))</f>
        <v/>
      </c>
      <c r="I435" s="55" t="n"/>
      <c r="J435" s="55" t="n"/>
      <c r="K435" s="55" t="n"/>
      <c r="L435" s="63" t="n"/>
      <c r="M435" s="63" t="n"/>
      <c r="N435" s="63" t="n"/>
      <c r="O435" s="66" t="n"/>
      <c r="P435" s="55" t="n"/>
      <c r="Q435" s="55" t="n"/>
      <c r="R435" s="65">
        <f>IF(O435="","",O435-IF(P435="",0,P435)-IF(Q435="",0,Q435))</f>
        <v/>
      </c>
      <c r="S435" s="65">
        <f>IF(M435="","",TEXT(M435,"mmmm yyyy"))</f>
        <v/>
      </c>
      <c r="T435" s="55" t="n"/>
      <c r="U435" s="63" t="n"/>
      <c r="V435" s="63" t="n"/>
      <c r="W435" s="55" t="n"/>
      <c r="X435" s="55" t="n"/>
      <c r="Y435" s="55" t="n"/>
      <c r="Z435" s="63" t="n"/>
    </row>
    <row r="436">
      <c r="A436" s="64">
        <f>IF(B436&lt;&gt;"",ROW()-3,"")</f>
        <v/>
      </c>
      <c r="B436" s="55" t="n"/>
      <c r="C436" s="55" t="n"/>
      <c r="D436" s="65">
        <f>IF(OR(B436="",C436=""),"",IFERROR(VLOOKUP(B436&amp;"|||"&amp;C436,MAESTRA!$A$3:$J$500,5,0),"⚠ No encontrado"))</f>
        <v/>
      </c>
      <c r="E436" s="65">
        <f>IF(OR(B436="",C436=""),"",IFERROR(VLOOKUP(B436&amp;"|||"&amp;C436,MAESTRA!$A$3:$J$500,6,0),"⚠ No encontrado"))</f>
        <v/>
      </c>
      <c r="F436" s="65">
        <f>IF(OR(B436="",C436=""),"",IFERROR(VLOOKUP(B436&amp;"|||"&amp;C436,MAESTRA!$A$3:$J$500,7,0),"⚠ No encontrado"))</f>
        <v/>
      </c>
      <c r="G436" s="65">
        <f>IF(OR(B436="",C436=""),"",IFERROR(VLOOKUP(B436&amp;"|||"&amp;C436,MAESTRA!$A$3:$J$500,8,0),"⚠ No encontrado"))</f>
        <v/>
      </c>
      <c r="H436" s="65">
        <f>IF(OR(B436="",C436=""),"",IFERROR(VLOOKUP(B436&amp;"|||"&amp;C436,MAESTRA!$A$3:$J$500,9,0),""))</f>
        <v/>
      </c>
      <c r="I436" s="55" t="n"/>
      <c r="J436" s="55" t="n"/>
      <c r="K436" s="55" t="n"/>
      <c r="L436" s="63" t="n"/>
      <c r="M436" s="63" t="n"/>
      <c r="N436" s="63" t="n"/>
      <c r="O436" s="66" t="n"/>
      <c r="P436" s="55" t="n"/>
      <c r="Q436" s="55" t="n"/>
      <c r="R436" s="65">
        <f>IF(O436="","",O436-IF(P436="",0,P436)-IF(Q436="",0,Q436))</f>
        <v/>
      </c>
      <c r="S436" s="65">
        <f>IF(M436="","",TEXT(M436,"mmmm yyyy"))</f>
        <v/>
      </c>
      <c r="T436" s="55" t="n"/>
      <c r="U436" s="63" t="n"/>
      <c r="V436" s="63" t="n"/>
      <c r="W436" s="55" t="n"/>
      <c r="X436" s="55" t="n"/>
      <c r="Y436" s="55" t="n"/>
      <c r="Z436" s="63" t="n"/>
    </row>
    <row r="437">
      <c r="A437" s="64">
        <f>IF(B437&lt;&gt;"",ROW()-3,"")</f>
        <v/>
      </c>
      <c r="B437" s="55" t="n"/>
      <c r="C437" s="55" t="n"/>
      <c r="D437" s="65">
        <f>IF(OR(B437="",C437=""),"",IFERROR(VLOOKUP(B437&amp;"|||"&amp;C437,MAESTRA!$A$3:$J$500,5,0),"⚠ No encontrado"))</f>
        <v/>
      </c>
      <c r="E437" s="65">
        <f>IF(OR(B437="",C437=""),"",IFERROR(VLOOKUP(B437&amp;"|||"&amp;C437,MAESTRA!$A$3:$J$500,6,0),"⚠ No encontrado"))</f>
        <v/>
      </c>
      <c r="F437" s="65">
        <f>IF(OR(B437="",C437=""),"",IFERROR(VLOOKUP(B437&amp;"|||"&amp;C437,MAESTRA!$A$3:$J$500,7,0),"⚠ No encontrado"))</f>
        <v/>
      </c>
      <c r="G437" s="65">
        <f>IF(OR(B437="",C437=""),"",IFERROR(VLOOKUP(B437&amp;"|||"&amp;C437,MAESTRA!$A$3:$J$500,8,0),"⚠ No encontrado"))</f>
        <v/>
      </c>
      <c r="H437" s="65">
        <f>IF(OR(B437="",C437=""),"",IFERROR(VLOOKUP(B437&amp;"|||"&amp;C437,MAESTRA!$A$3:$J$500,9,0),""))</f>
        <v/>
      </c>
      <c r="I437" s="55" t="n"/>
      <c r="J437" s="55" t="n"/>
      <c r="K437" s="55" t="n"/>
      <c r="L437" s="63" t="n"/>
      <c r="M437" s="63" t="n"/>
      <c r="N437" s="63" t="n"/>
      <c r="O437" s="66" t="n"/>
      <c r="P437" s="55" t="n"/>
      <c r="Q437" s="55" t="n"/>
      <c r="R437" s="65">
        <f>IF(O437="","",O437-IF(P437="",0,P437)-IF(Q437="",0,Q437))</f>
        <v/>
      </c>
      <c r="S437" s="65">
        <f>IF(M437="","",TEXT(M437,"mmmm yyyy"))</f>
        <v/>
      </c>
      <c r="T437" s="55" t="n"/>
      <c r="U437" s="63" t="n"/>
      <c r="V437" s="63" t="n"/>
      <c r="W437" s="55" t="n"/>
      <c r="X437" s="55" t="n"/>
      <c r="Y437" s="55" t="n"/>
      <c r="Z437" s="63" t="n"/>
    </row>
    <row r="438">
      <c r="A438" s="64">
        <f>IF(B438&lt;&gt;"",ROW()-3,"")</f>
        <v/>
      </c>
      <c r="B438" s="55" t="n"/>
      <c r="C438" s="55" t="n"/>
      <c r="D438" s="65">
        <f>IF(OR(B438="",C438=""),"",IFERROR(VLOOKUP(B438&amp;"|||"&amp;C438,MAESTRA!$A$3:$J$500,5,0),"⚠ No encontrado"))</f>
        <v/>
      </c>
      <c r="E438" s="65">
        <f>IF(OR(B438="",C438=""),"",IFERROR(VLOOKUP(B438&amp;"|||"&amp;C438,MAESTRA!$A$3:$J$500,6,0),"⚠ No encontrado"))</f>
        <v/>
      </c>
      <c r="F438" s="65">
        <f>IF(OR(B438="",C438=""),"",IFERROR(VLOOKUP(B438&amp;"|||"&amp;C438,MAESTRA!$A$3:$J$500,7,0),"⚠ No encontrado"))</f>
        <v/>
      </c>
      <c r="G438" s="65">
        <f>IF(OR(B438="",C438=""),"",IFERROR(VLOOKUP(B438&amp;"|||"&amp;C438,MAESTRA!$A$3:$J$500,8,0),"⚠ No encontrado"))</f>
        <v/>
      </c>
      <c r="H438" s="65">
        <f>IF(OR(B438="",C438=""),"",IFERROR(VLOOKUP(B438&amp;"|||"&amp;C438,MAESTRA!$A$3:$J$500,9,0),""))</f>
        <v/>
      </c>
      <c r="I438" s="55" t="n"/>
      <c r="J438" s="55" t="n"/>
      <c r="K438" s="55" t="n"/>
      <c r="L438" s="63" t="n"/>
      <c r="M438" s="63" t="n"/>
      <c r="N438" s="63" t="n"/>
      <c r="O438" s="66" t="n"/>
      <c r="P438" s="55" t="n"/>
      <c r="Q438" s="55" t="n"/>
      <c r="R438" s="65">
        <f>IF(O438="","",O438-IF(P438="",0,P438)-IF(Q438="",0,Q438))</f>
        <v/>
      </c>
      <c r="S438" s="65">
        <f>IF(M438="","",TEXT(M438,"mmmm yyyy"))</f>
        <v/>
      </c>
      <c r="T438" s="55" t="n"/>
      <c r="U438" s="63" t="n"/>
      <c r="V438" s="63" t="n"/>
      <c r="W438" s="55" t="n"/>
      <c r="X438" s="55" t="n"/>
      <c r="Y438" s="55" t="n"/>
      <c r="Z438" s="63" t="n"/>
    </row>
    <row r="439">
      <c r="A439" s="64">
        <f>IF(B439&lt;&gt;"",ROW()-3,"")</f>
        <v/>
      </c>
      <c r="B439" s="55" t="n"/>
      <c r="C439" s="55" t="n"/>
      <c r="D439" s="65">
        <f>IF(OR(B439="",C439=""),"",IFERROR(VLOOKUP(B439&amp;"|||"&amp;C439,MAESTRA!$A$3:$J$500,5,0),"⚠ No encontrado"))</f>
        <v/>
      </c>
      <c r="E439" s="65">
        <f>IF(OR(B439="",C439=""),"",IFERROR(VLOOKUP(B439&amp;"|||"&amp;C439,MAESTRA!$A$3:$J$500,6,0),"⚠ No encontrado"))</f>
        <v/>
      </c>
      <c r="F439" s="65">
        <f>IF(OR(B439="",C439=""),"",IFERROR(VLOOKUP(B439&amp;"|||"&amp;C439,MAESTRA!$A$3:$J$500,7,0),"⚠ No encontrado"))</f>
        <v/>
      </c>
      <c r="G439" s="65">
        <f>IF(OR(B439="",C439=""),"",IFERROR(VLOOKUP(B439&amp;"|||"&amp;C439,MAESTRA!$A$3:$J$500,8,0),"⚠ No encontrado"))</f>
        <v/>
      </c>
      <c r="H439" s="65">
        <f>IF(OR(B439="",C439=""),"",IFERROR(VLOOKUP(B439&amp;"|||"&amp;C439,MAESTRA!$A$3:$J$500,9,0),""))</f>
        <v/>
      </c>
      <c r="I439" s="55" t="n"/>
      <c r="J439" s="55" t="n"/>
      <c r="K439" s="55" t="n"/>
      <c r="L439" s="63" t="n"/>
      <c r="M439" s="63" t="n"/>
      <c r="N439" s="63" t="n"/>
      <c r="O439" s="66" t="n"/>
      <c r="P439" s="55" t="n"/>
      <c r="Q439" s="55" t="n"/>
      <c r="R439" s="65">
        <f>IF(O439="","",O439-IF(P439="",0,P439)-IF(Q439="",0,Q439))</f>
        <v/>
      </c>
      <c r="S439" s="65">
        <f>IF(M439="","",TEXT(M439,"mmmm yyyy"))</f>
        <v/>
      </c>
      <c r="T439" s="55" t="n"/>
      <c r="U439" s="63" t="n"/>
      <c r="V439" s="63" t="n"/>
      <c r="W439" s="55" t="n"/>
      <c r="X439" s="55" t="n"/>
      <c r="Y439" s="55" t="n"/>
      <c r="Z439" s="63" t="n"/>
    </row>
    <row r="440">
      <c r="A440" s="64">
        <f>IF(B440&lt;&gt;"",ROW()-3,"")</f>
        <v/>
      </c>
      <c r="B440" s="55" t="n"/>
      <c r="C440" s="55" t="n"/>
      <c r="D440" s="65">
        <f>IF(OR(B440="",C440=""),"",IFERROR(VLOOKUP(B440&amp;"|||"&amp;C440,MAESTRA!$A$3:$J$500,5,0),"⚠ No encontrado"))</f>
        <v/>
      </c>
      <c r="E440" s="65">
        <f>IF(OR(B440="",C440=""),"",IFERROR(VLOOKUP(B440&amp;"|||"&amp;C440,MAESTRA!$A$3:$J$500,6,0),"⚠ No encontrado"))</f>
        <v/>
      </c>
      <c r="F440" s="65">
        <f>IF(OR(B440="",C440=""),"",IFERROR(VLOOKUP(B440&amp;"|||"&amp;C440,MAESTRA!$A$3:$J$500,7,0),"⚠ No encontrado"))</f>
        <v/>
      </c>
      <c r="G440" s="65">
        <f>IF(OR(B440="",C440=""),"",IFERROR(VLOOKUP(B440&amp;"|||"&amp;C440,MAESTRA!$A$3:$J$500,8,0),"⚠ No encontrado"))</f>
        <v/>
      </c>
      <c r="H440" s="65">
        <f>IF(OR(B440="",C440=""),"",IFERROR(VLOOKUP(B440&amp;"|||"&amp;C440,MAESTRA!$A$3:$J$500,9,0),""))</f>
        <v/>
      </c>
      <c r="I440" s="55" t="n"/>
      <c r="J440" s="55" t="n"/>
      <c r="K440" s="55" t="n"/>
      <c r="L440" s="63" t="n"/>
      <c r="M440" s="63" t="n"/>
      <c r="N440" s="63" t="n"/>
      <c r="O440" s="66" t="n"/>
      <c r="P440" s="55" t="n"/>
      <c r="Q440" s="55" t="n"/>
      <c r="R440" s="65">
        <f>IF(O440="","",O440-IF(P440="",0,P440)-IF(Q440="",0,Q440))</f>
        <v/>
      </c>
      <c r="S440" s="65">
        <f>IF(M440="","",TEXT(M440,"mmmm yyyy"))</f>
        <v/>
      </c>
      <c r="T440" s="55" t="n"/>
      <c r="U440" s="63" t="n"/>
      <c r="V440" s="63" t="n"/>
      <c r="W440" s="55" t="n"/>
      <c r="X440" s="55" t="n"/>
      <c r="Y440" s="55" t="n"/>
      <c r="Z440" s="63" t="n"/>
    </row>
    <row r="441">
      <c r="A441" s="64">
        <f>IF(B441&lt;&gt;"",ROW()-3,"")</f>
        <v/>
      </c>
      <c r="B441" s="55" t="n"/>
      <c r="C441" s="55" t="n"/>
      <c r="D441" s="65">
        <f>IF(OR(B441="",C441=""),"",IFERROR(VLOOKUP(B441&amp;"|||"&amp;C441,MAESTRA!$A$3:$J$500,5,0),"⚠ No encontrado"))</f>
        <v/>
      </c>
      <c r="E441" s="65">
        <f>IF(OR(B441="",C441=""),"",IFERROR(VLOOKUP(B441&amp;"|||"&amp;C441,MAESTRA!$A$3:$J$500,6,0),"⚠ No encontrado"))</f>
        <v/>
      </c>
      <c r="F441" s="65">
        <f>IF(OR(B441="",C441=""),"",IFERROR(VLOOKUP(B441&amp;"|||"&amp;C441,MAESTRA!$A$3:$J$500,7,0),"⚠ No encontrado"))</f>
        <v/>
      </c>
      <c r="G441" s="65">
        <f>IF(OR(B441="",C441=""),"",IFERROR(VLOOKUP(B441&amp;"|||"&amp;C441,MAESTRA!$A$3:$J$500,8,0),"⚠ No encontrado"))</f>
        <v/>
      </c>
      <c r="H441" s="65">
        <f>IF(OR(B441="",C441=""),"",IFERROR(VLOOKUP(B441&amp;"|||"&amp;C441,MAESTRA!$A$3:$J$500,9,0),""))</f>
        <v/>
      </c>
      <c r="I441" s="55" t="n"/>
      <c r="J441" s="55" t="n"/>
      <c r="K441" s="55" t="n"/>
      <c r="L441" s="63" t="n"/>
      <c r="M441" s="63" t="n"/>
      <c r="N441" s="63" t="n"/>
      <c r="O441" s="66" t="n"/>
      <c r="P441" s="55" t="n"/>
      <c r="Q441" s="55" t="n"/>
      <c r="R441" s="65">
        <f>IF(O441="","",O441-IF(P441="",0,P441)-IF(Q441="",0,Q441))</f>
        <v/>
      </c>
      <c r="S441" s="65">
        <f>IF(M441="","",TEXT(M441,"mmmm yyyy"))</f>
        <v/>
      </c>
      <c r="T441" s="55" t="n"/>
      <c r="U441" s="63" t="n"/>
      <c r="V441" s="63" t="n"/>
      <c r="W441" s="55" t="n"/>
      <c r="X441" s="55" t="n"/>
      <c r="Y441" s="55" t="n"/>
      <c r="Z441" s="63" t="n"/>
    </row>
    <row r="442">
      <c r="A442" s="64">
        <f>IF(B442&lt;&gt;"",ROW()-3,"")</f>
        <v/>
      </c>
      <c r="B442" s="55" t="n"/>
      <c r="C442" s="55" t="n"/>
      <c r="D442" s="65">
        <f>IF(OR(B442="",C442=""),"",IFERROR(VLOOKUP(B442&amp;"|||"&amp;C442,MAESTRA!$A$3:$J$500,5,0),"⚠ No encontrado"))</f>
        <v/>
      </c>
      <c r="E442" s="65">
        <f>IF(OR(B442="",C442=""),"",IFERROR(VLOOKUP(B442&amp;"|||"&amp;C442,MAESTRA!$A$3:$J$500,6,0),"⚠ No encontrado"))</f>
        <v/>
      </c>
      <c r="F442" s="65">
        <f>IF(OR(B442="",C442=""),"",IFERROR(VLOOKUP(B442&amp;"|||"&amp;C442,MAESTRA!$A$3:$J$500,7,0),"⚠ No encontrado"))</f>
        <v/>
      </c>
      <c r="G442" s="65">
        <f>IF(OR(B442="",C442=""),"",IFERROR(VLOOKUP(B442&amp;"|||"&amp;C442,MAESTRA!$A$3:$J$500,8,0),"⚠ No encontrado"))</f>
        <v/>
      </c>
      <c r="H442" s="65">
        <f>IF(OR(B442="",C442=""),"",IFERROR(VLOOKUP(B442&amp;"|||"&amp;C442,MAESTRA!$A$3:$J$500,9,0),""))</f>
        <v/>
      </c>
      <c r="I442" s="55" t="n"/>
      <c r="J442" s="55" t="n"/>
      <c r="K442" s="55" t="n"/>
      <c r="L442" s="63" t="n"/>
      <c r="M442" s="63" t="n"/>
      <c r="N442" s="63" t="n"/>
      <c r="O442" s="66" t="n"/>
      <c r="P442" s="55" t="n"/>
      <c r="Q442" s="55" t="n"/>
      <c r="R442" s="65">
        <f>IF(O442="","",O442-IF(P442="",0,P442)-IF(Q442="",0,Q442))</f>
        <v/>
      </c>
      <c r="S442" s="65">
        <f>IF(M442="","",TEXT(M442,"mmmm yyyy"))</f>
        <v/>
      </c>
      <c r="T442" s="55" t="n"/>
      <c r="U442" s="63" t="n"/>
      <c r="V442" s="63" t="n"/>
      <c r="W442" s="55" t="n"/>
      <c r="X442" s="55" t="n"/>
      <c r="Y442" s="55" t="n"/>
      <c r="Z442" s="63" t="n"/>
    </row>
    <row r="443">
      <c r="A443" s="64">
        <f>IF(B443&lt;&gt;"",ROW()-3,"")</f>
        <v/>
      </c>
      <c r="B443" s="55" t="n"/>
      <c r="C443" s="55" t="n"/>
      <c r="D443" s="65">
        <f>IF(OR(B443="",C443=""),"",IFERROR(VLOOKUP(B443&amp;"|||"&amp;C443,MAESTRA!$A$3:$J$500,5,0),"⚠ No encontrado"))</f>
        <v/>
      </c>
      <c r="E443" s="65">
        <f>IF(OR(B443="",C443=""),"",IFERROR(VLOOKUP(B443&amp;"|||"&amp;C443,MAESTRA!$A$3:$J$500,6,0),"⚠ No encontrado"))</f>
        <v/>
      </c>
      <c r="F443" s="65">
        <f>IF(OR(B443="",C443=""),"",IFERROR(VLOOKUP(B443&amp;"|||"&amp;C443,MAESTRA!$A$3:$J$500,7,0),"⚠ No encontrado"))</f>
        <v/>
      </c>
      <c r="G443" s="65">
        <f>IF(OR(B443="",C443=""),"",IFERROR(VLOOKUP(B443&amp;"|||"&amp;C443,MAESTRA!$A$3:$J$500,8,0),"⚠ No encontrado"))</f>
        <v/>
      </c>
      <c r="H443" s="65">
        <f>IF(OR(B443="",C443=""),"",IFERROR(VLOOKUP(B443&amp;"|||"&amp;C443,MAESTRA!$A$3:$J$500,9,0),""))</f>
        <v/>
      </c>
      <c r="I443" s="55" t="n"/>
      <c r="J443" s="55" t="n"/>
      <c r="K443" s="55" t="n"/>
      <c r="L443" s="63" t="n"/>
      <c r="M443" s="63" t="n"/>
      <c r="N443" s="63" t="n"/>
      <c r="O443" s="66" t="n"/>
      <c r="P443" s="55" t="n"/>
      <c r="Q443" s="55" t="n"/>
      <c r="R443" s="65">
        <f>IF(O443="","",O443-IF(P443="",0,P443)-IF(Q443="",0,Q443))</f>
        <v/>
      </c>
      <c r="S443" s="65">
        <f>IF(M443="","",TEXT(M443,"mmmm yyyy"))</f>
        <v/>
      </c>
      <c r="T443" s="55" t="n"/>
      <c r="U443" s="63" t="n"/>
      <c r="V443" s="63" t="n"/>
      <c r="W443" s="55" t="n"/>
      <c r="X443" s="55" t="n"/>
      <c r="Y443" s="55" t="n"/>
      <c r="Z443" s="63" t="n"/>
    </row>
    <row r="444">
      <c r="A444" s="64">
        <f>IF(B444&lt;&gt;"",ROW()-3,"")</f>
        <v/>
      </c>
      <c r="B444" s="55" t="n"/>
      <c r="C444" s="55" t="n"/>
      <c r="D444" s="65">
        <f>IF(OR(B444="",C444=""),"",IFERROR(VLOOKUP(B444&amp;"|||"&amp;C444,MAESTRA!$A$3:$J$500,5,0),"⚠ No encontrado"))</f>
        <v/>
      </c>
      <c r="E444" s="65">
        <f>IF(OR(B444="",C444=""),"",IFERROR(VLOOKUP(B444&amp;"|||"&amp;C444,MAESTRA!$A$3:$J$500,6,0),"⚠ No encontrado"))</f>
        <v/>
      </c>
      <c r="F444" s="65">
        <f>IF(OR(B444="",C444=""),"",IFERROR(VLOOKUP(B444&amp;"|||"&amp;C444,MAESTRA!$A$3:$J$500,7,0),"⚠ No encontrado"))</f>
        <v/>
      </c>
      <c r="G444" s="65">
        <f>IF(OR(B444="",C444=""),"",IFERROR(VLOOKUP(B444&amp;"|||"&amp;C444,MAESTRA!$A$3:$J$500,8,0),"⚠ No encontrado"))</f>
        <v/>
      </c>
      <c r="H444" s="65">
        <f>IF(OR(B444="",C444=""),"",IFERROR(VLOOKUP(B444&amp;"|||"&amp;C444,MAESTRA!$A$3:$J$500,9,0),""))</f>
        <v/>
      </c>
      <c r="I444" s="55" t="n"/>
      <c r="J444" s="55" t="n"/>
      <c r="K444" s="55" t="n"/>
      <c r="L444" s="63" t="n"/>
      <c r="M444" s="63" t="n"/>
      <c r="N444" s="63" t="n"/>
      <c r="O444" s="66" t="n"/>
      <c r="P444" s="55" t="n"/>
      <c r="Q444" s="55" t="n"/>
      <c r="R444" s="65">
        <f>IF(O444="","",O444-IF(P444="",0,P444)-IF(Q444="",0,Q444))</f>
        <v/>
      </c>
      <c r="S444" s="65">
        <f>IF(M444="","",TEXT(M444,"mmmm yyyy"))</f>
        <v/>
      </c>
      <c r="T444" s="55" t="n"/>
      <c r="U444" s="63" t="n"/>
      <c r="V444" s="63" t="n"/>
      <c r="W444" s="55" t="n"/>
      <c r="X444" s="55" t="n"/>
      <c r="Y444" s="55" t="n"/>
      <c r="Z444" s="63" t="n"/>
    </row>
    <row r="445">
      <c r="A445" s="64">
        <f>IF(B445&lt;&gt;"",ROW()-3,"")</f>
        <v/>
      </c>
      <c r="B445" s="55" t="n"/>
      <c r="C445" s="55" t="n"/>
      <c r="D445" s="65">
        <f>IF(OR(B445="",C445=""),"",IFERROR(VLOOKUP(B445&amp;"|||"&amp;C445,MAESTRA!$A$3:$J$500,5,0),"⚠ No encontrado"))</f>
        <v/>
      </c>
      <c r="E445" s="65">
        <f>IF(OR(B445="",C445=""),"",IFERROR(VLOOKUP(B445&amp;"|||"&amp;C445,MAESTRA!$A$3:$J$500,6,0),"⚠ No encontrado"))</f>
        <v/>
      </c>
      <c r="F445" s="65">
        <f>IF(OR(B445="",C445=""),"",IFERROR(VLOOKUP(B445&amp;"|||"&amp;C445,MAESTRA!$A$3:$J$500,7,0),"⚠ No encontrado"))</f>
        <v/>
      </c>
      <c r="G445" s="65">
        <f>IF(OR(B445="",C445=""),"",IFERROR(VLOOKUP(B445&amp;"|||"&amp;C445,MAESTRA!$A$3:$J$500,8,0),"⚠ No encontrado"))</f>
        <v/>
      </c>
      <c r="H445" s="65">
        <f>IF(OR(B445="",C445=""),"",IFERROR(VLOOKUP(B445&amp;"|||"&amp;C445,MAESTRA!$A$3:$J$500,9,0),""))</f>
        <v/>
      </c>
      <c r="I445" s="55" t="n"/>
      <c r="J445" s="55" t="n"/>
      <c r="K445" s="55" t="n"/>
      <c r="L445" s="63" t="n"/>
      <c r="M445" s="63" t="n"/>
      <c r="N445" s="63" t="n"/>
      <c r="O445" s="66" t="n"/>
      <c r="P445" s="55" t="n"/>
      <c r="Q445" s="55" t="n"/>
      <c r="R445" s="65">
        <f>IF(O445="","",O445-IF(P445="",0,P445)-IF(Q445="",0,Q445))</f>
        <v/>
      </c>
      <c r="S445" s="65">
        <f>IF(M445="","",TEXT(M445,"mmmm yyyy"))</f>
        <v/>
      </c>
      <c r="T445" s="55" t="n"/>
      <c r="U445" s="63" t="n"/>
      <c r="V445" s="63" t="n"/>
      <c r="W445" s="55" t="n"/>
      <c r="X445" s="55" t="n"/>
      <c r="Y445" s="55" t="n"/>
      <c r="Z445" s="63" t="n"/>
    </row>
    <row r="446">
      <c r="A446" s="64">
        <f>IF(B446&lt;&gt;"",ROW()-3,"")</f>
        <v/>
      </c>
      <c r="B446" s="55" t="n"/>
      <c r="C446" s="55" t="n"/>
      <c r="D446" s="65">
        <f>IF(OR(B446="",C446=""),"",IFERROR(VLOOKUP(B446&amp;"|||"&amp;C446,MAESTRA!$A$3:$J$500,5,0),"⚠ No encontrado"))</f>
        <v/>
      </c>
      <c r="E446" s="65">
        <f>IF(OR(B446="",C446=""),"",IFERROR(VLOOKUP(B446&amp;"|||"&amp;C446,MAESTRA!$A$3:$J$500,6,0),"⚠ No encontrado"))</f>
        <v/>
      </c>
      <c r="F446" s="65">
        <f>IF(OR(B446="",C446=""),"",IFERROR(VLOOKUP(B446&amp;"|||"&amp;C446,MAESTRA!$A$3:$J$500,7,0),"⚠ No encontrado"))</f>
        <v/>
      </c>
      <c r="G446" s="65">
        <f>IF(OR(B446="",C446=""),"",IFERROR(VLOOKUP(B446&amp;"|||"&amp;C446,MAESTRA!$A$3:$J$500,8,0),"⚠ No encontrado"))</f>
        <v/>
      </c>
      <c r="H446" s="65">
        <f>IF(OR(B446="",C446=""),"",IFERROR(VLOOKUP(B446&amp;"|||"&amp;C446,MAESTRA!$A$3:$J$500,9,0),""))</f>
        <v/>
      </c>
      <c r="I446" s="55" t="n"/>
      <c r="J446" s="55" t="n"/>
      <c r="K446" s="55" t="n"/>
      <c r="L446" s="63" t="n"/>
      <c r="M446" s="63" t="n"/>
      <c r="N446" s="63" t="n"/>
      <c r="O446" s="66" t="n"/>
      <c r="P446" s="55" t="n"/>
      <c r="Q446" s="55" t="n"/>
      <c r="R446" s="65">
        <f>IF(O446="","",O446-IF(P446="",0,P446)-IF(Q446="",0,Q446))</f>
        <v/>
      </c>
      <c r="S446" s="65">
        <f>IF(M446="","",TEXT(M446,"mmmm yyyy"))</f>
        <v/>
      </c>
      <c r="T446" s="55" t="n"/>
      <c r="U446" s="63" t="n"/>
      <c r="V446" s="63" t="n"/>
      <c r="W446" s="55" t="n"/>
      <c r="X446" s="55" t="n"/>
      <c r="Y446" s="55" t="n"/>
      <c r="Z446" s="63" t="n"/>
    </row>
    <row r="447">
      <c r="A447" s="64">
        <f>IF(B447&lt;&gt;"",ROW()-3,"")</f>
        <v/>
      </c>
      <c r="B447" s="55" t="n"/>
      <c r="C447" s="55" t="n"/>
      <c r="D447" s="65">
        <f>IF(OR(B447="",C447=""),"",IFERROR(VLOOKUP(B447&amp;"|||"&amp;C447,MAESTRA!$A$3:$J$500,5,0),"⚠ No encontrado"))</f>
        <v/>
      </c>
      <c r="E447" s="65">
        <f>IF(OR(B447="",C447=""),"",IFERROR(VLOOKUP(B447&amp;"|||"&amp;C447,MAESTRA!$A$3:$J$500,6,0),"⚠ No encontrado"))</f>
        <v/>
      </c>
      <c r="F447" s="65">
        <f>IF(OR(B447="",C447=""),"",IFERROR(VLOOKUP(B447&amp;"|||"&amp;C447,MAESTRA!$A$3:$J$500,7,0),"⚠ No encontrado"))</f>
        <v/>
      </c>
      <c r="G447" s="65">
        <f>IF(OR(B447="",C447=""),"",IFERROR(VLOOKUP(B447&amp;"|||"&amp;C447,MAESTRA!$A$3:$J$500,8,0),"⚠ No encontrado"))</f>
        <v/>
      </c>
      <c r="H447" s="65">
        <f>IF(OR(B447="",C447=""),"",IFERROR(VLOOKUP(B447&amp;"|||"&amp;C447,MAESTRA!$A$3:$J$500,9,0),""))</f>
        <v/>
      </c>
      <c r="I447" s="55" t="n"/>
      <c r="J447" s="55" t="n"/>
      <c r="K447" s="55" t="n"/>
      <c r="L447" s="63" t="n"/>
      <c r="M447" s="63" t="n"/>
      <c r="N447" s="63" t="n"/>
      <c r="O447" s="66" t="n"/>
      <c r="P447" s="55" t="n"/>
      <c r="Q447" s="55" t="n"/>
      <c r="R447" s="65">
        <f>IF(O447="","",O447-IF(P447="",0,P447)-IF(Q447="",0,Q447))</f>
        <v/>
      </c>
      <c r="S447" s="65">
        <f>IF(M447="","",TEXT(M447,"mmmm yyyy"))</f>
        <v/>
      </c>
      <c r="T447" s="55" t="n"/>
      <c r="U447" s="63" t="n"/>
      <c r="V447" s="63" t="n"/>
      <c r="W447" s="55" t="n"/>
      <c r="X447" s="55" t="n"/>
      <c r="Y447" s="55" t="n"/>
      <c r="Z447" s="63" t="n"/>
    </row>
    <row r="448">
      <c r="A448" s="64">
        <f>IF(B448&lt;&gt;"",ROW()-3,"")</f>
        <v/>
      </c>
      <c r="B448" s="55" t="n"/>
      <c r="C448" s="55" t="n"/>
      <c r="D448" s="65">
        <f>IF(OR(B448="",C448=""),"",IFERROR(VLOOKUP(B448&amp;"|||"&amp;C448,MAESTRA!$A$3:$J$500,5,0),"⚠ No encontrado"))</f>
        <v/>
      </c>
      <c r="E448" s="65">
        <f>IF(OR(B448="",C448=""),"",IFERROR(VLOOKUP(B448&amp;"|||"&amp;C448,MAESTRA!$A$3:$J$500,6,0),"⚠ No encontrado"))</f>
        <v/>
      </c>
      <c r="F448" s="65">
        <f>IF(OR(B448="",C448=""),"",IFERROR(VLOOKUP(B448&amp;"|||"&amp;C448,MAESTRA!$A$3:$J$500,7,0),"⚠ No encontrado"))</f>
        <v/>
      </c>
      <c r="G448" s="65">
        <f>IF(OR(B448="",C448=""),"",IFERROR(VLOOKUP(B448&amp;"|||"&amp;C448,MAESTRA!$A$3:$J$500,8,0),"⚠ No encontrado"))</f>
        <v/>
      </c>
      <c r="H448" s="65">
        <f>IF(OR(B448="",C448=""),"",IFERROR(VLOOKUP(B448&amp;"|||"&amp;C448,MAESTRA!$A$3:$J$500,9,0),""))</f>
        <v/>
      </c>
      <c r="I448" s="55" t="n"/>
      <c r="J448" s="55" t="n"/>
      <c r="K448" s="55" t="n"/>
      <c r="L448" s="63" t="n"/>
      <c r="M448" s="63" t="n"/>
      <c r="N448" s="63" t="n"/>
      <c r="O448" s="66" t="n"/>
      <c r="P448" s="55" t="n"/>
      <c r="Q448" s="55" t="n"/>
      <c r="R448" s="65">
        <f>IF(O448="","",O448-IF(P448="",0,P448)-IF(Q448="",0,Q448))</f>
        <v/>
      </c>
      <c r="S448" s="65">
        <f>IF(M448="","",TEXT(M448,"mmmm yyyy"))</f>
        <v/>
      </c>
      <c r="T448" s="55" t="n"/>
      <c r="U448" s="63" t="n"/>
      <c r="V448" s="63" t="n"/>
      <c r="W448" s="55" t="n"/>
      <c r="X448" s="55" t="n"/>
      <c r="Y448" s="55" t="n"/>
      <c r="Z448" s="63" t="n"/>
    </row>
    <row r="449">
      <c r="A449" s="64">
        <f>IF(B449&lt;&gt;"",ROW()-3,"")</f>
        <v/>
      </c>
      <c r="B449" s="55" t="n"/>
      <c r="C449" s="55" t="n"/>
      <c r="D449" s="65">
        <f>IF(OR(B449="",C449=""),"",IFERROR(VLOOKUP(B449&amp;"|||"&amp;C449,MAESTRA!$A$3:$J$500,5,0),"⚠ No encontrado"))</f>
        <v/>
      </c>
      <c r="E449" s="65">
        <f>IF(OR(B449="",C449=""),"",IFERROR(VLOOKUP(B449&amp;"|||"&amp;C449,MAESTRA!$A$3:$J$500,6,0),"⚠ No encontrado"))</f>
        <v/>
      </c>
      <c r="F449" s="65">
        <f>IF(OR(B449="",C449=""),"",IFERROR(VLOOKUP(B449&amp;"|||"&amp;C449,MAESTRA!$A$3:$J$500,7,0),"⚠ No encontrado"))</f>
        <v/>
      </c>
      <c r="G449" s="65">
        <f>IF(OR(B449="",C449=""),"",IFERROR(VLOOKUP(B449&amp;"|||"&amp;C449,MAESTRA!$A$3:$J$500,8,0),"⚠ No encontrado"))</f>
        <v/>
      </c>
      <c r="H449" s="65">
        <f>IF(OR(B449="",C449=""),"",IFERROR(VLOOKUP(B449&amp;"|||"&amp;C449,MAESTRA!$A$3:$J$500,9,0),""))</f>
        <v/>
      </c>
      <c r="I449" s="55" t="n"/>
      <c r="J449" s="55" t="n"/>
      <c r="K449" s="55" t="n"/>
      <c r="L449" s="63" t="n"/>
      <c r="M449" s="63" t="n"/>
      <c r="N449" s="63" t="n"/>
      <c r="O449" s="66" t="n"/>
      <c r="P449" s="55" t="n"/>
      <c r="Q449" s="55" t="n"/>
      <c r="R449" s="65">
        <f>IF(O449="","",O449-IF(P449="",0,P449)-IF(Q449="",0,Q449))</f>
        <v/>
      </c>
      <c r="S449" s="65">
        <f>IF(M449="","",TEXT(M449,"mmmm yyyy"))</f>
        <v/>
      </c>
      <c r="T449" s="55" t="n"/>
      <c r="U449" s="63" t="n"/>
      <c r="V449" s="63" t="n"/>
      <c r="W449" s="55" t="n"/>
      <c r="X449" s="55" t="n"/>
      <c r="Y449" s="55" t="n"/>
      <c r="Z449" s="63" t="n"/>
    </row>
    <row r="450">
      <c r="A450" s="64">
        <f>IF(B450&lt;&gt;"",ROW()-3,"")</f>
        <v/>
      </c>
      <c r="B450" s="55" t="n"/>
      <c r="C450" s="55" t="n"/>
      <c r="D450" s="65">
        <f>IF(OR(B450="",C450=""),"",IFERROR(VLOOKUP(B450&amp;"|||"&amp;C450,MAESTRA!$A$3:$J$500,5,0),"⚠ No encontrado"))</f>
        <v/>
      </c>
      <c r="E450" s="65">
        <f>IF(OR(B450="",C450=""),"",IFERROR(VLOOKUP(B450&amp;"|||"&amp;C450,MAESTRA!$A$3:$J$500,6,0),"⚠ No encontrado"))</f>
        <v/>
      </c>
      <c r="F450" s="65">
        <f>IF(OR(B450="",C450=""),"",IFERROR(VLOOKUP(B450&amp;"|||"&amp;C450,MAESTRA!$A$3:$J$500,7,0),"⚠ No encontrado"))</f>
        <v/>
      </c>
      <c r="G450" s="65">
        <f>IF(OR(B450="",C450=""),"",IFERROR(VLOOKUP(B450&amp;"|||"&amp;C450,MAESTRA!$A$3:$J$500,8,0),"⚠ No encontrado"))</f>
        <v/>
      </c>
      <c r="H450" s="65">
        <f>IF(OR(B450="",C450=""),"",IFERROR(VLOOKUP(B450&amp;"|||"&amp;C450,MAESTRA!$A$3:$J$500,9,0),""))</f>
        <v/>
      </c>
      <c r="I450" s="55" t="n"/>
      <c r="J450" s="55" t="n"/>
      <c r="K450" s="55" t="n"/>
      <c r="L450" s="63" t="n"/>
      <c r="M450" s="63" t="n"/>
      <c r="N450" s="63" t="n"/>
      <c r="O450" s="66" t="n"/>
      <c r="P450" s="55" t="n"/>
      <c r="Q450" s="55" t="n"/>
      <c r="R450" s="65">
        <f>IF(O450="","",O450-IF(P450="",0,P450)-IF(Q450="",0,Q450))</f>
        <v/>
      </c>
      <c r="S450" s="65">
        <f>IF(M450="","",TEXT(M450,"mmmm yyyy"))</f>
        <v/>
      </c>
      <c r="T450" s="55" t="n"/>
      <c r="U450" s="63" t="n"/>
      <c r="V450" s="63" t="n"/>
      <c r="W450" s="55" t="n"/>
      <c r="X450" s="55" t="n"/>
      <c r="Y450" s="55" t="n"/>
      <c r="Z450" s="63" t="n"/>
    </row>
    <row r="451">
      <c r="A451" s="64">
        <f>IF(B451&lt;&gt;"",ROW()-3,"")</f>
        <v/>
      </c>
      <c r="B451" s="55" t="n"/>
      <c r="C451" s="55" t="n"/>
      <c r="D451" s="65">
        <f>IF(OR(B451="",C451=""),"",IFERROR(VLOOKUP(B451&amp;"|||"&amp;C451,MAESTRA!$A$3:$J$500,5,0),"⚠ No encontrado"))</f>
        <v/>
      </c>
      <c r="E451" s="65">
        <f>IF(OR(B451="",C451=""),"",IFERROR(VLOOKUP(B451&amp;"|||"&amp;C451,MAESTRA!$A$3:$J$500,6,0),"⚠ No encontrado"))</f>
        <v/>
      </c>
      <c r="F451" s="65">
        <f>IF(OR(B451="",C451=""),"",IFERROR(VLOOKUP(B451&amp;"|||"&amp;C451,MAESTRA!$A$3:$J$500,7,0),"⚠ No encontrado"))</f>
        <v/>
      </c>
      <c r="G451" s="65">
        <f>IF(OR(B451="",C451=""),"",IFERROR(VLOOKUP(B451&amp;"|||"&amp;C451,MAESTRA!$A$3:$J$500,8,0),"⚠ No encontrado"))</f>
        <v/>
      </c>
      <c r="H451" s="65">
        <f>IF(OR(B451="",C451=""),"",IFERROR(VLOOKUP(B451&amp;"|||"&amp;C451,MAESTRA!$A$3:$J$500,9,0),""))</f>
        <v/>
      </c>
      <c r="I451" s="55" t="n"/>
      <c r="J451" s="55" t="n"/>
      <c r="K451" s="55" t="n"/>
      <c r="L451" s="63" t="n"/>
      <c r="M451" s="63" t="n"/>
      <c r="N451" s="63" t="n"/>
      <c r="O451" s="66" t="n"/>
      <c r="P451" s="55" t="n"/>
      <c r="Q451" s="55" t="n"/>
      <c r="R451" s="65">
        <f>IF(O451="","",O451-IF(P451="",0,P451)-IF(Q451="",0,Q451))</f>
        <v/>
      </c>
      <c r="S451" s="65">
        <f>IF(M451="","",TEXT(M451,"mmmm yyyy"))</f>
        <v/>
      </c>
      <c r="T451" s="55" t="n"/>
      <c r="U451" s="63" t="n"/>
      <c r="V451" s="63" t="n"/>
      <c r="W451" s="55" t="n"/>
      <c r="X451" s="55" t="n"/>
      <c r="Y451" s="55" t="n"/>
      <c r="Z451" s="63" t="n"/>
    </row>
  </sheetData>
  <mergeCells count="2">
    <mergeCell ref="A1:Z1"/>
    <mergeCell ref="A2:Z2"/>
  </mergeCells>
  <dataValidations count="452">
    <dataValidation sqref="C4:C53" showDropDown="0" showInputMessage="1" showErrorMessage="1" allowBlank="1" errorTitle="No está en la Maestra" error="Este valor no existe en la Maestra. Puedes continuar si es un registro manual, o cancelar y verificar." promptTitle="Servicio" prompt="Selecciona el servicio del proveedor elegido." type="list" errorStyle="warning">
      <formula1>INDIRECT("PROV_"&amp;SUBSTITUTE(SUBSTITUTE(SUBSTITUTE(SUBSTITUTE(SUBSTITUTE(SUBSTITUTE(SUBSTITUTE(SUBSTITUTE(SUBSTITUTE(SUBSTITUTE(SUBSTITUTE(SUBSTITUTE(SUBSTITUTE(SUBSTITUTE(B4," ","_"),"(","_"),")","_"),".","_"),",","_"),"/","_"),"-","_"),"&amp;","_"),"Á","A"),"É","E"),"Í","I"),"Ó","O"),"Ú","U"),"Ñ","N"))</formula1>
      <formula2>0</formula2>
    </dataValidation>
    <dataValidation sqref="B4:B451" showDropDown="0" showInputMessage="0" showErrorMessage="1" allowBlank="1" errorTitle="Proveedor no está en la Maestra" error="Este proveedor no existe en la Maestra. Puedes continuar si es un registro manual, o cancelar y verificar el nombre." type="list" errorStyle="warning">
      <formula1>PROVEEDORES</formula1>
    </dataValidation>
    <dataValidation sqref="C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INDIRECT("PROV_"&amp;SUBSTITUTE(SUBSTITUTE(SUBSTITUTE(SUBSTITUTE(SUBSTITUTE(SUBSTITUTE(SUBSTITUTE(SUBSTITUTE(SUBSTITUTE(SUBSTITUTE(SUBSTITUTE(SUBSTITUTE(SUBSTITUTE(SUBSTITUTE(B4," ","_"),"(","_"),")","_"),".","_"),",","_"),"/","_"),"-","_"),"&amp;","_"),"Á","A"),"É","E"),"Í","I"),"Ó","O"),"Ú","U"),"Ñ","N"))</formula1>
    </dataValidation>
    <dataValidation sqref="C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INDIRECT("PROV_"&amp;SUBSTITUTE(SUBSTITUTE(SUBSTITUTE(SUBSTITUTE(SUBSTITUTE(SUBSTITUTE(SUBSTITUTE(SUBSTITUTE(SUBSTITUTE(SUBSTITUTE(SUBSTITUTE(SUBSTITUTE(SUBSTITUTE(SUBSTITUTE(B5," ","_"),"(","_"),")","_"),".","_"),",","_"),"/","_"),"-","_"),"&amp;","_"),"Á","A"),"É","E"),"Í","I"),"Ó","O"),"Ú","U"),"Ñ","N"))</formula1>
    </dataValidation>
    <dataValidation sqref="C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INDIRECT("PROV_"&amp;SUBSTITUTE(SUBSTITUTE(SUBSTITUTE(SUBSTITUTE(SUBSTITUTE(SUBSTITUTE(SUBSTITUTE(SUBSTITUTE(SUBSTITUTE(SUBSTITUTE(SUBSTITUTE(SUBSTITUTE(SUBSTITUTE(SUBSTITUTE(B6," ","_"),"(","_"),")","_"),".","_"),",","_"),"/","_"),"-","_"),"&amp;","_"),"Á","A"),"É","E"),"Í","I"),"Ó","O"),"Ú","U"),"Ñ","N"))</formula1>
    </dataValidation>
    <dataValidation sqref="C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INDIRECT("PROV_"&amp;SUBSTITUTE(SUBSTITUTE(SUBSTITUTE(SUBSTITUTE(SUBSTITUTE(SUBSTITUTE(SUBSTITUTE(SUBSTITUTE(SUBSTITUTE(SUBSTITUTE(SUBSTITUTE(SUBSTITUTE(SUBSTITUTE(SUBSTITUTE(B7," ","_"),"(","_"),")","_"),".","_"),",","_"),"/","_"),"-","_"),"&amp;","_"),"Á","A"),"É","E"),"Í","I"),"Ó","O"),"Ú","U"),"Ñ","N"))</formula1>
    </dataValidation>
    <dataValidation sqref="C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INDIRECT("PROV_"&amp;SUBSTITUTE(SUBSTITUTE(SUBSTITUTE(SUBSTITUTE(SUBSTITUTE(SUBSTITUTE(SUBSTITUTE(SUBSTITUTE(SUBSTITUTE(SUBSTITUTE(SUBSTITUTE(SUBSTITUTE(SUBSTITUTE(SUBSTITUTE(B8," ","_"),"(","_"),")","_"),".","_"),",","_"),"/","_"),"-","_"),"&amp;","_"),"Á","A"),"É","E"),"Í","I"),"Ó","O"),"Ú","U"),"Ñ","N"))</formula1>
    </dataValidation>
    <dataValidation sqref="C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INDIRECT("PROV_"&amp;SUBSTITUTE(SUBSTITUTE(SUBSTITUTE(SUBSTITUTE(SUBSTITUTE(SUBSTITUTE(SUBSTITUTE(SUBSTITUTE(SUBSTITUTE(SUBSTITUTE(SUBSTITUTE(SUBSTITUTE(SUBSTITUTE(SUBSTITUTE(B9," ","_"),"(","_"),")","_"),".","_"),",","_"),"/","_"),"-","_"),"&amp;","_"),"Á","A"),"É","E"),"Í","I"),"Ó","O"),"Ú","U"),"Ñ","N"))</formula1>
    </dataValidation>
    <dataValidation sqref="C1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INDIRECT("PROV_"&amp;SUBSTITUTE(SUBSTITUTE(SUBSTITUTE(SUBSTITUTE(SUBSTITUTE(SUBSTITUTE(SUBSTITUTE(SUBSTITUTE(SUBSTITUTE(SUBSTITUTE(SUBSTITUTE(SUBSTITUTE(SUBSTITUTE(SUBSTITUTE(B10," ","_"),"(","_"),")","_"),".","_"),",","_"),"/","_"),"-","_"),"&amp;","_"),"Á","A"),"É","E"),"Í","I"),"Ó","O"),"Ú","U"),"Ñ","N"))</formula1>
    </dataValidation>
    <dataValidation sqref="C1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INDIRECT("PROV_"&amp;SUBSTITUTE(SUBSTITUTE(SUBSTITUTE(SUBSTITUTE(SUBSTITUTE(SUBSTITUTE(SUBSTITUTE(SUBSTITUTE(SUBSTITUTE(SUBSTITUTE(SUBSTITUTE(SUBSTITUTE(SUBSTITUTE(SUBSTITUTE(B11," ","_"),"(","_"),")","_"),".","_"),",","_"),"/","_"),"-","_"),"&amp;","_"),"Á","A"),"É","E"),"Í","I"),"Ó","O"),"Ú","U"),"Ñ","N"))</formula1>
    </dataValidation>
    <dataValidation sqref="C1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INDIRECT("PROV_"&amp;SUBSTITUTE(SUBSTITUTE(SUBSTITUTE(SUBSTITUTE(SUBSTITUTE(SUBSTITUTE(SUBSTITUTE(SUBSTITUTE(SUBSTITUTE(SUBSTITUTE(SUBSTITUTE(SUBSTITUTE(SUBSTITUTE(SUBSTITUTE(B12," ","_"),"(","_"),")","_"),".","_"),",","_"),"/","_"),"-","_"),"&amp;","_"),"Á","A"),"É","E"),"Í","I"),"Ó","O"),"Ú","U"),"Ñ","N"))</formula1>
    </dataValidation>
    <dataValidation sqref="C1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INDIRECT("PROV_"&amp;SUBSTITUTE(SUBSTITUTE(SUBSTITUTE(SUBSTITUTE(SUBSTITUTE(SUBSTITUTE(SUBSTITUTE(SUBSTITUTE(SUBSTITUTE(SUBSTITUTE(SUBSTITUTE(SUBSTITUTE(SUBSTITUTE(SUBSTITUTE(B13," ","_"),"(","_"),")","_"),".","_"),",","_"),"/","_"),"-","_"),"&amp;","_"),"Á","A"),"É","E"),"Í","I"),"Ó","O"),"Ú","U"),"Ñ","N"))</formula1>
    </dataValidation>
    <dataValidation sqref="C1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INDIRECT("PROV_"&amp;SUBSTITUTE(SUBSTITUTE(SUBSTITUTE(SUBSTITUTE(SUBSTITUTE(SUBSTITUTE(SUBSTITUTE(SUBSTITUTE(SUBSTITUTE(SUBSTITUTE(SUBSTITUTE(SUBSTITUTE(SUBSTITUTE(SUBSTITUTE(B14," ","_"),"(","_"),")","_"),".","_"),",","_"),"/","_"),"-","_"),"&amp;","_"),"Á","A"),"É","E"),"Í","I"),"Ó","O"),"Ú","U"),"Ñ","N"))</formula1>
    </dataValidation>
    <dataValidation sqref="C1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INDIRECT("PROV_"&amp;SUBSTITUTE(SUBSTITUTE(SUBSTITUTE(SUBSTITUTE(SUBSTITUTE(SUBSTITUTE(SUBSTITUTE(SUBSTITUTE(SUBSTITUTE(SUBSTITUTE(SUBSTITUTE(SUBSTITUTE(SUBSTITUTE(SUBSTITUTE(B15," ","_"),"(","_"),")","_"),".","_"),",","_"),"/","_"),"-","_"),"&amp;","_"),"Á","A"),"É","E"),"Í","I"),"Ó","O"),"Ú","U"),"Ñ","N"))</formula1>
    </dataValidation>
    <dataValidation sqref="C1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INDIRECT("PROV_"&amp;SUBSTITUTE(SUBSTITUTE(SUBSTITUTE(SUBSTITUTE(SUBSTITUTE(SUBSTITUTE(SUBSTITUTE(SUBSTITUTE(SUBSTITUTE(SUBSTITUTE(SUBSTITUTE(SUBSTITUTE(SUBSTITUTE(SUBSTITUTE(B16," ","_"),"(","_"),")","_"),".","_"),",","_"),"/","_"),"-","_"),"&amp;","_"),"Á","A"),"É","E"),"Í","I"),"Ó","O"),"Ú","U"),"Ñ","N"))</formula1>
    </dataValidation>
    <dataValidation sqref="C1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INDIRECT("PROV_"&amp;SUBSTITUTE(SUBSTITUTE(SUBSTITUTE(SUBSTITUTE(SUBSTITUTE(SUBSTITUTE(SUBSTITUTE(SUBSTITUTE(SUBSTITUTE(SUBSTITUTE(SUBSTITUTE(SUBSTITUTE(SUBSTITUTE(SUBSTITUTE(B17," ","_"),"(","_"),")","_"),".","_"),",","_"),"/","_"),"-","_"),"&amp;","_"),"Á","A"),"É","E"),"Í","I"),"Ó","O"),"Ú","U"),"Ñ","N"))</formula1>
    </dataValidation>
    <dataValidation sqref="C1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INDIRECT("PROV_"&amp;SUBSTITUTE(SUBSTITUTE(SUBSTITUTE(SUBSTITUTE(SUBSTITUTE(SUBSTITUTE(SUBSTITUTE(SUBSTITUTE(SUBSTITUTE(SUBSTITUTE(SUBSTITUTE(SUBSTITUTE(SUBSTITUTE(SUBSTITUTE(B18," ","_"),"(","_"),")","_"),".","_"),",","_"),"/","_"),"-","_"),"&amp;","_"),"Á","A"),"É","E"),"Í","I"),"Ó","O"),"Ú","U"),"Ñ","N"))</formula1>
    </dataValidation>
    <dataValidation sqref="C1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INDIRECT("PROV_"&amp;SUBSTITUTE(SUBSTITUTE(SUBSTITUTE(SUBSTITUTE(SUBSTITUTE(SUBSTITUTE(SUBSTITUTE(SUBSTITUTE(SUBSTITUTE(SUBSTITUTE(SUBSTITUTE(SUBSTITUTE(SUBSTITUTE(SUBSTITUTE(B19," ","_"),"(","_"),")","_"),".","_"),",","_"),"/","_"),"-","_"),"&amp;","_"),"Á","A"),"É","E"),"Í","I"),"Ó","O"),"Ú","U"),"Ñ","N"))</formula1>
    </dataValidation>
    <dataValidation sqref="C2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INDIRECT("PROV_"&amp;SUBSTITUTE(SUBSTITUTE(SUBSTITUTE(SUBSTITUTE(SUBSTITUTE(SUBSTITUTE(SUBSTITUTE(SUBSTITUTE(SUBSTITUTE(SUBSTITUTE(SUBSTITUTE(SUBSTITUTE(SUBSTITUTE(SUBSTITUTE(B20," ","_"),"(","_"),")","_"),".","_"),",","_"),"/","_"),"-","_"),"&amp;","_"),"Á","A"),"É","E"),"Í","I"),"Ó","O"),"Ú","U"),"Ñ","N"))</formula1>
    </dataValidation>
    <dataValidation sqref="C2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INDIRECT("PROV_"&amp;SUBSTITUTE(SUBSTITUTE(SUBSTITUTE(SUBSTITUTE(SUBSTITUTE(SUBSTITUTE(SUBSTITUTE(SUBSTITUTE(SUBSTITUTE(SUBSTITUTE(SUBSTITUTE(SUBSTITUTE(SUBSTITUTE(SUBSTITUTE(B21," ","_"),"(","_"),")","_"),".","_"),",","_"),"/","_"),"-","_"),"&amp;","_"),"Á","A"),"É","E"),"Í","I"),"Ó","O"),"Ú","U"),"Ñ","N"))</formula1>
    </dataValidation>
    <dataValidation sqref="C2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INDIRECT("PROV_"&amp;SUBSTITUTE(SUBSTITUTE(SUBSTITUTE(SUBSTITUTE(SUBSTITUTE(SUBSTITUTE(SUBSTITUTE(SUBSTITUTE(SUBSTITUTE(SUBSTITUTE(SUBSTITUTE(SUBSTITUTE(SUBSTITUTE(SUBSTITUTE(B22," ","_"),"(","_"),")","_"),".","_"),",","_"),"/","_"),"-","_"),"&amp;","_"),"Á","A"),"É","E"),"Í","I"),"Ó","O"),"Ú","U"),"Ñ","N"))</formula1>
    </dataValidation>
    <dataValidation sqref="C2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INDIRECT("PROV_"&amp;SUBSTITUTE(SUBSTITUTE(SUBSTITUTE(SUBSTITUTE(SUBSTITUTE(SUBSTITUTE(SUBSTITUTE(SUBSTITUTE(SUBSTITUTE(SUBSTITUTE(SUBSTITUTE(SUBSTITUTE(SUBSTITUTE(SUBSTITUTE(B23," ","_"),"(","_"),")","_"),".","_"),",","_"),"/","_"),"-","_"),"&amp;","_"),"Á","A"),"É","E"),"Í","I"),"Ó","O"),"Ú","U"),"Ñ","N"))</formula1>
    </dataValidation>
    <dataValidation sqref="C2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INDIRECT("PROV_"&amp;SUBSTITUTE(SUBSTITUTE(SUBSTITUTE(SUBSTITUTE(SUBSTITUTE(SUBSTITUTE(SUBSTITUTE(SUBSTITUTE(SUBSTITUTE(SUBSTITUTE(SUBSTITUTE(SUBSTITUTE(SUBSTITUTE(SUBSTITUTE(B24," ","_"),"(","_"),")","_"),".","_"),",","_"),"/","_"),"-","_"),"&amp;","_"),"Á","A"),"É","E"),"Í","I"),"Ó","O"),"Ú","U"),"Ñ","N"))</formula1>
    </dataValidation>
    <dataValidation sqref="C2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INDIRECT("PROV_"&amp;SUBSTITUTE(SUBSTITUTE(SUBSTITUTE(SUBSTITUTE(SUBSTITUTE(SUBSTITUTE(SUBSTITUTE(SUBSTITUTE(SUBSTITUTE(SUBSTITUTE(SUBSTITUTE(SUBSTITUTE(SUBSTITUTE(SUBSTITUTE(B25," ","_"),"(","_"),")","_"),".","_"),",","_"),"/","_"),"-","_"),"&amp;","_"),"Á","A"),"É","E"),"Í","I"),"Ó","O"),"Ú","U"),"Ñ","N"))</formula1>
    </dataValidation>
    <dataValidation sqref="C2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INDIRECT("PROV_"&amp;SUBSTITUTE(SUBSTITUTE(SUBSTITUTE(SUBSTITUTE(SUBSTITUTE(SUBSTITUTE(SUBSTITUTE(SUBSTITUTE(SUBSTITUTE(SUBSTITUTE(SUBSTITUTE(SUBSTITUTE(SUBSTITUTE(SUBSTITUTE(B26," ","_"),"(","_"),")","_"),".","_"),",","_"),"/","_"),"-","_"),"&amp;","_"),"Á","A"),"É","E"),"Í","I"),"Ó","O"),"Ú","U"),"Ñ","N"))</formula1>
    </dataValidation>
    <dataValidation sqref="C2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INDIRECT("PROV_"&amp;SUBSTITUTE(SUBSTITUTE(SUBSTITUTE(SUBSTITUTE(SUBSTITUTE(SUBSTITUTE(SUBSTITUTE(SUBSTITUTE(SUBSTITUTE(SUBSTITUTE(SUBSTITUTE(SUBSTITUTE(SUBSTITUTE(SUBSTITUTE(B27," ","_"),"(","_"),")","_"),".","_"),",","_"),"/","_"),"-","_"),"&amp;","_"),"Á","A"),"É","E"),"Í","I"),"Ó","O"),"Ú","U"),"Ñ","N"))</formula1>
    </dataValidation>
    <dataValidation sqref="C2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INDIRECT("PROV_"&amp;SUBSTITUTE(SUBSTITUTE(SUBSTITUTE(SUBSTITUTE(SUBSTITUTE(SUBSTITUTE(SUBSTITUTE(SUBSTITUTE(SUBSTITUTE(SUBSTITUTE(SUBSTITUTE(SUBSTITUTE(SUBSTITUTE(SUBSTITUTE(B28," ","_"),"(","_"),")","_"),".","_"),",","_"),"/","_"),"-","_"),"&amp;","_"),"Á","A"),"É","E"),"Í","I"),"Ó","O"),"Ú","U"),"Ñ","N"))</formula1>
    </dataValidation>
    <dataValidation sqref="C2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INDIRECT("PROV_"&amp;SUBSTITUTE(SUBSTITUTE(SUBSTITUTE(SUBSTITUTE(SUBSTITUTE(SUBSTITUTE(SUBSTITUTE(SUBSTITUTE(SUBSTITUTE(SUBSTITUTE(SUBSTITUTE(SUBSTITUTE(SUBSTITUTE(SUBSTITUTE(B29," ","_"),"(","_"),")","_"),".","_"),",","_"),"/","_"),"-","_"),"&amp;","_"),"Á","A"),"É","E"),"Í","I"),"Ó","O"),"Ú","U"),"Ñ","N"))</formula1>
    </dataValidation>
    <dataValidation sqref="C3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INDIRECT("PROV_"&amp;SUBSTITUTE(SUBSTITUTE(SUBSTITUTE(SUBSTITUTE(SUBSTITUTE(SUBSTITUTE(SUBSTITUTE(SUBSTITUTE(SUBSTITUTE(SUBSTITUTE(SUBSTITUTE(SUBSTITUTE(SUBSTITUTE(SUBSTITUTE(B30," ","_"),"(","_"),")","_"),".","_"),",","_"),"/","_"),"-","_"),"&amp;","_"),"Á","A"),"É","E"),"Í","I"),"Ó","O"),"Ú","U"),"Ñ","N"))</formula1>
    </dataValidation>
    <dataValidation sqref="C3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INDIRECT("PROV_"&amp;SUBSTITUTE(SUBSTITUTE(SUBSTITUTE(SUBSTITUTE(SUBSTITUTE(SUBSTITUTE(SUBSTITUTE(SUBSTITUTE(SUBSTITUTE(SUBSTITUTE(SUBSTITUTE(SUBSTITUTE(SUBSTITUTE(SUBSTITUTE(B31," ","_"),"(","_"),")","_"),".","_"),",","_"),"/","_"),"-","_"),"&amp;","_"),"Á","A"),"É","E"),"Í","I"),"Ó","O"),"Ú","U"),"Ñ","N"))</formula1>
    </dataValidation>
    <dataValidation sqref="C3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INDIRECT("PROV_"&amp;SUBSTITUTE(SUBSTITUTE(SUBSTITUTE(SUBSTITUTE(SUBSTITUTE(SUBSTITUTE(SUBSTITUTE(SUBSTITUTE(SUBSTITUTE(SUBSTITUTE(SUBSTITUTE(SUBSTITUTE(SUBSTITUTE(SUBSTITUTE(B32," ","_"),"(","_"),")","_"),".","_"),",","_"),"/","_"),"-","_"),"&amp;","_"),"Á","A"),"É","E"),"Í","I"),"Ó","O"),"Ú","U"),"Ñ","N"))</formula1>
    </dataValidation>
    <dataValidation sqref="C3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INDIRECT("PROV_"&amp;SUBSTITUTE(SUBSTITUTE(SUBSTITUTE(SUBSTITUTE(SUBSTITUTE(SUBSTITUTE(SUBSTITUTE(SUBSTITUTE(SUBSTITUTE(SUBSTITUTE(SUBSTITUTE(SUBSTITUTE(SUBSTITUTE(SUBSTITUTE(B33," ","_"),"(","_"),")","_"),".","_"),",","_"),"/","_"),"-","_"),"&amp;","_"),"Á","A"),"É","E"),"Í","I"),"Ó","O"),"Ú","U"),"Ñ","N"))</formula1>
    </dataValidation>
    <dataValidation sqref="C3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INDIRECT("PROV_"&amp;SUBSTITUTE(SUBSTITUTE(SUBSTITUTE(SUBSTITUTE(SUBSTITUTE(SUBSTITUTE(SUBSTITUTE(SUBSTITUTE(SUBSTITUTE(SUBSTITUTE(SUBSTITUTE(SUBSTITUTE(SUBSTITUTE(SUBSTITUTE(B34," ","_"),"(","_"),")","_"),".","_"),",","_"),"/","_"),"-","_"),"&amp;","_"),"Á","A"),"É","E"),"Í","I"),"Ó","O"),"Ú","U"),"Ñ","N"))</formula1>
    </dataValidation>
    <dataValidation sqref="C3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INDIRECT("PROV_"&amp;SUBSTITUTE(SUBSTITUTE(SUBSTITUTE(SUBSTITUTE(SUBSTITUTE(SUBSTITUTE(SUBSTITUTE(SUBSTITUTE(SUBSTITUTE(SUBSTITUTE(SUBSTITUTE(SUBSTITUTE(SUBSTITUTE(SUBSTITUTE(B35," ","_"),"(","_"),")","_"),".","_"),",","_"),"/","_"),"-","_"),"&amp;","_"),"Á","A"),"É","E"),"Í","I"),"Ó","O"),"Ú","U"),"Ñ","N"))</formula1>
    </dataValidation>
    <dataValidation sqref="C3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INDIRECT("PROV_"&amp;SUBSTITUTE(SUBSTITUTE(SUBSTITUTE(SUBSTITUTE(SUBSTITUTE(SUBSTITUTE(SUBSTITUTE(SUBSTITUTE(SUBSTITUTE(SUBSTITUTE(SUBSTITUTE(SUBSTITUTE(SUBSTITUTE(SUBSTITUTE(B36," ","_"),"(","_"),")","_"),".","_"),",","_"),"/","_"),"-","_"),"&amp;","_"),"Á","A"),"É","E"),"Í","I"),"Ó","O"),"Ú","U"),"Ñ","N"))</formula1>
    </dataValidation>
    <dataValidation sqref="C3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INDIRECT("PROV_"&amp;SUBSTITUTE(SUBSTITUTE(SUBSTITUTE(SUBSTITUTE(SUBSTITUTE(SUBSTITUTE(SUBSTITUTE(SUBSTITUTE(SUBSTITUTE(SUBSTITUTE(SUBSTITUTE(SUBSTITUTE(SUBSTITUTE(SUBSTITUTE(B37," ","_"),"(","_"),")","_"),".","_"),",","_"),"/","_"),"-","_"),"&amp;","_"),"Á","A"),"É","E"),"Í","I"),"Ó","O"),"Ú","U"),"Ñ","N"))</formula1>
    </dataValidation>
    <dataValidation sqref="C3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INDIRECT("PROV_"&amp;SUBSTITUTE(SUBSTITUTE(SUBSTITUTE(SUBSTITUTE(SUBSTITUTE(SUBSTITUTE(SUBSTITUTE(SUBSTITUTE(SUBSTITUTE(SUBSTITUTE(SUBSTITUTE(SUBSTITUTE(SUBSTITUTE(SUBSTITUTE(B38," ","_"),"(","_"),")","_"),".","_"),",","_"),"/","_"),"-","_"),"&amp;","_"),"Á","A"),"É","E"),"Í","I"),"Ó","O"),"Ú","U"),"Ñ","N"))</formula1>
    </dataValidation>
    <dataValidation sqref="C3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INDIRECT("PROV_"&amp;SUBSTITUTE(SUBSTITUTE(SUBSTITUTE(SUBSTITUTE(SUBSTITUTE(SUBSTITUTE(SUBSTITUTE(SUBSTITUTE(SUBSTITUTE(SUBSTITUTE(SUBSTITUTE(SUBSTITUTE(SUBSTITUTE(SUBSTITUTE(B39," ","_"),"(","_"),")","_"),".","_"),",","_"),"/","_"),"-","_"),"&amp;","_"),"Á","A"),"É","E"),"Í","I"),"Ó","O"),"Ú","U"),"Ñ","N"))</formula1>
    </dataValidation>
    <dataValidation sqref="C4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INDIRECT("PROV_"&amp;SUBSTITUTE(SUBSTITUTE(SUBSTITUTE(SUBSTITUTE(SUBSTITUTE(SUBSTITUTE(SUBSTITUTE(SUBSTITUTE(SUBSTITUTE(SUBSTITUTE(SUBSTITUTE(SUBSTITUTE(SUBSTITUTE(SUBSTITUTE(B40," ","_"),"(","_"),")","_"),".","_"),",","_"),"/","_"),"-","_"),"&amp;","_"),"Á","A"),"É","E"),"Í","I"),"Ó","O"),"Ú","U"),"Ñ","N"))</formula1>
    </dataValidation>
    <dataValidation sqref="C4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INDIRECT("PROV_"&amp;SUBSTITUTE(SUBSTITUTE(SUBSTITUTE(SUBSTITUTE(SUBSTITUTE(SUBSTITUTE(SUBSTITUTE(SUBSTITUTE(SUBSTITUTE(SUBSTITUTE(SUBSTITUTE(SUBSTITUTE(SUBSTITUTE(SUBSTITUTE(B41," ","_"),"(","_"),")","_"),".","_"),",","_"),"/","_"),"-","_"),"&amp;","_"),"Á","A"),"É","E"),"Í","I"),"Ó","O"),"Ú","U"),"Ñ","N"))</formula1>
    </dataValidation>
    <dataValidation sqref="C4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INDIRECT("PROV_"&amp;SUBSTITUTE(SUBSTITUTE(SUBSTITUTE(SUBSTITUTE(SUBSTITUTE(SUBSTITUTE(SUBSTITUTE(SUBSTITUTE(SUBSTITUTE(SUBSTITUTE(SUBSTITUTE(SUBSTITUTE(SUBSTITUTE(SUBSTITUTE(B42," ","_"),"(","_"),")","_"),".","_"),",","_"),"/","_"),"-","_"),"&amp;","_"),"Á","A"),"É","E"),"Í","I"),"Ó","O"),"Ú","U"),"Ñ","N"))</formula1>
    </dataValidation>
    <dataValidation sqref="C4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INDIRECT("PROV_"&amp;SUBSTITUTE(SUBSTITUTE(SUBSTITUTE(SUBSTITUTE(SUBSTITUTE(SUBSTITUTE(SUBSTITUTE(SUBSTITUTE(SUBSTITUTE(SUBSTITUTE(SUBSTITUTE(SUBSTITUTE(SUBSTITUTE(SUBSTITUTE(B43," ","_"),"(","_"),")","_"),".","_"),",","_"),"/","_"),"-","_"),"&amp;","_"),"Á","A"),"É","E"),"Í","I"),"Ó","O"),"Ú","U"),"Ñ","N"))</formula1>
    </dataValidation>
    <dataValidation sqref="C4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INDIRECT("PROV_"&amp;SUBSTITUTE(SUBSTITUTE(SUBSTITUTE(SUBSTITUTE(SUBSTITUTE(SUBSTITUTE(SUBSTITUTE(SUBSTITUTE(SUBSTITUTE(SUBSTITUTE(SUBSTITUTE(SUBSTITUTE(SUBSTITUTE(SUBSTITUTE(B44," ","_"),"(","_"),")","_"),".","_"),",","_"),"/","_"),"-","_"),"&amp;","_"),"Á","A"),"É","E"),"Í","I"),"Ó","O"),"Ú","U"),"Ñ","N"))</formula1>
    </dataValidation>
    <dataValidation sqref="C4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INDIRECT("PROV_"&amp;SUBSTITUTE(SUBSTITUTE(SUBSTITUTE(SUBSTITUTE(SUBSTITUTE(SUBSTITUTE(SUBSTITUTE(SUBSTITUTE(SUBSTITUTE(SUBSTITUTE(SUBSTITUTE(SUBSTITUTE(SUBSTITUTE(SUBSTITUTE(B45," ","_"),"(","_"),")","_"),".","_"),",","_"),"/","_"),"-","_"),"&amp;","_"),"Á","A"),"É","E"),"Í","I"),"Ó","O"),"Ú","U"),"Ñ","N"))</formula1>
    </dataValidation>
    <dataValidation sqref="C4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INDIRECT("PROV_"&amp;SUBSTITUTE(SUBSTITUTE(SUBSTITUTE(SUBSTITUTE(SUBSTITUTE(SUBSTITUTE(SUBSTITUTE(SUBSTITUTE(SUBSTITUTE(SUBSTITUTE(SUBSTITUTE(SUBSTITUTE(SUBSTITUTE(SUBSTITUTE(B46," ","_"),"(","_"),")","_"),".","_"),",","_"),"/","_"),"-","_"),"&amp;","_"),"Á","A"),"É","E"),"Í","I"),"Ó","O"),"Ú","U"),"Ñ","N"))</formula1>
    </dataValidation>
    <dataValidation sqref="C4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INDIRECT("PROV_"&amp;SUBSTITUTE(SUBSTITUTE(SUBSTITUTE(SUBSTITUTE(SUBSTITUTE(SUBSTITUTE(SUBSTITUTE(SUBSTITUTE(SUBSTITUTE(SUBSTITUTE(SUBSTITUTE(SUBSTITUTE(SUBSTITUTE(SUBSTITUTE(B47," ","_"),"(","_"),")","_"),".","_"),",","_"),"/","_"),"-","_"),"&amp;","_"),"Á","A"),"É","E"),"Í","I"),"Ó","O"),"Ú","U"),"Ñ","N"))</formula1>
    </dataValidation>
    <dataValidation sqref="C4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INDIRECT("PROV_"&amp;SUBSTITUTE(SUBSTITUTE(SUBSTITUTE(SUBSTITUTE(SUBSTITUTE(SUBSTITUTE(SUBSTITUTE(SUBSTITUTE(SUBSTITUTE(SUBSTITUTE(SUBSTITUTE(SUBSTITUTE(SUBSTITUTE(SUBSTITUTE(B48," ","_"),"(","_"),")","_"),".","_"),",","_"),"/","_"),"-","_"),"&amp;","_"),"Á","A"),"É","E"),"Í","I"),"Ó","O"),"Ú","U"),"Ñ","N"))</formula1>
    </dataValidation>
    <dataValidation sqref="C4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INDIRECT("PROV_"&amp;SUBSTITUTE(SUBSTITUTE(SUBSTITUTE(SUBSTITUTE(SUBSTITUTE(SUBSTITUTE(SUBSTITUTE(SUBSTITUTE(SUBSTITUTE(SUBSTITUTE(SUBSTITUTE(SUBSTITUTE(SUBSTITUTE(SUBSTITUTE(B49," ","_"),"(","_"),")","_"),".","_"),",","_"),"/","_"),"-","_"),"&amp;","_"),"Á","A"),"É","E"),"Í","I"),"Ó","O"),"Ú","U"),"Ñ","N"))</formula1>
    </dataValidation>
    <dataValidation sqref="C5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INDIRECT("PROV_"&amp;SUBSTITUTE(SUBSTITUTE(SUBSTITUTE(SUBSTITUTE(SUBSTITUTE(SUBSTITUTE(SUBSTITUTE(SUBSTITUTE(SUBSTITUTE(SUBSTITUTE(SUBSTITUTE(SUBSTITUTE(SUBSTITUTE(SUBSTITUTE(B50," ","_"),"(","_"),")","_"),".","_"),",","_"),"/","_"),"-","_"),"&amp;","_"),"Á","A"),"É","E"),"Í","I"),"Ó","O"),"Ú","U"),"Ñ","N"))</formula1>
    </dataValidation>
    <dataValidation sqref="C5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INDIRECT("PROV_"&amp;SUBSTITUTE(SUBSTITUTE(SUBSTITUTE(SUBSTITUTE(SUBSTITUTE(SUBSTITUTE(SUBSTITUTE(SUBSTITUTE(SUBSTITUTE(SUBSTITUTE(SUBSTITUTE(SUBSTITUTE(SUBSTITUTE(SUBSTITUTE(B51," ","_"),"(","_"),")","_"),".","_"),",","_"),"/","_"),"-","_"),"&amp;","_"),"Á","A"),"É","E"),"Í","I"),"Ó","O"),"Ú","U"),"Ñ","N"))</formula1>
    </dataValidation>
    <dataValidation sqref="C5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INDIRECT("PROV_"&amp;SUBSTITUTE(SUBSTITUTE(SUBSTITUTE(SUBSTITUTE(SUBSTITUTE(SUBSTITUTE(SUBSTITUTE(SUBSTITUTE(SUBSTITUTE(SUBSTITUTE(SUBSTITUTE(SUBSTITUTE(SUBSTITUTE(SUBSTITUTE(B52," ","_"),"(","_"),")","_"),".","_"),",","_"),"/","_"),"-","_"),"&amp;","_"),"Á","A"),"É","E"),"Í","I"),"Ó","O"),"Ú","U"),"Ñ","N"))</formula1>
    </dataValidation>
    <dataValidation sqref="C5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INDIRECT("PROV_"&amp;SUBSTITUTE(SUBSTITUTE(SUBSTITUTE(SUBSTITUTE(SUBSTITUTE(SUBSTITUTE(SUBSTITUTE(SUBSTITUTE(SUBSTITUTE(SUBSTITUTE(SUBSTITUTE(SUBSTITUTE(SUBSTITUTE(SUBSTITUTE(B53," ","_"),"(","_"),")","_"),".","_"),",","_"),"/","_"),"-","_"),"&amp;","_"),"Á","A"),"É","E"),"Í","I"),"Ó","O"),"Ú","U"),"Ñ","N"))</formula1>
    </dataValidation>
    <dataValidation sqref="C5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INDIRECT("PROV_"&amp;SUBSTITUTE(SUBSTITUTE(SUBSTITUTE(SUBSTITUTE(SUBSTITUTE(SUBSTITUTE(SUBSTITUTE(SUBSTITUTE(SUBSTITUTE(SUBSTITUTE(SUBSTITUTE(SUBSTITUTE(SUBSTITUTE(SUBSTITUTE(B54," ","_"),"(","_"),")","_"),".","_"),",","_"),"/","_"),"-","_"),"&amp;","_"),"Á","A"),"É","E"),"Í","I"),"Ó","O"),"Ú","U"),"Ñ","N"))</formula1>
    </dataValidation>
    <dataValidation sqref="C5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INDIRECT("PROV_"&amp;SUBSTITUTE(SUBSTITUTE(SUBSTITUTE(SUBSTITUTE(SUBSTITUTE(SUBSTITUTE(SUBSTITUTE(SUBSTITUTE(SUBSTITUTE(SUBSTITUTE(SUBSTITUTE(SUBSTITUTE(SUBSTITUTE(SUBSTITUTE(B55," ","_"),"(","_"),")","_"),".","_"),",","_"),"/","_"),"-","_"),"&amp;","_"),"Á","A"),"É","E"),"Í","I"),"Ó","O"),"Ú","U"),"Ñ","N"))</formula1>
    </dataValidation>
    <dataValidation sqref="C5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INDIRECT("PROV_"&amp;SUBSTITUTE(SUBSTITUTE(SUBSTITUTE(SUBSTITUTE(SUBSTITUTE(SUBSTITUTE(SUBSTITUTE(SUBSTITUTE(SUBSTITUTE(SUBSTITUTE(SUBSTITUTE(SUBSTITUTE(SUBSTITUTE(SUBSTITUTE(B56," ","_"),"(","_"),")","_"),".","_"),",","_"),"/","_"),"-","_"),"&amp;","_"),"Á","A"),"É","E"),"Í","I"),"Ó","O"),"Ú","U"),"Ñ","N"))</formula1>
    </dataValidation>
    <dataValidation sqref="C5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INDIRECT("PROV_"&amp;SUBSTITUTE(SUBSTITUTE(SUBSTITUTE(SUBSTITUTE(SUBSTITUTE(SUBSTITUTE(SUBSTITUTE(SUBSTITUTE(SUBSTITUTE(SUBSTITUTE(SUBSTITUTE(SUBSTITUTE(SUBSTITUTE(SUBSTITUTE(B57," ","_"),"(","_"),")","_"),".","_"),",","_"),"/","_"),"-","_"),"&amp;","_"),"Á","A"),"É","E"),"Í","I"),"Ó","O"),"Ú","U"),"Ñ","N"))</formula1>
    </dataValidation>
    <dataValidation sqref="C5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INDIRECT("PROV_"&amp;SUBSTITUTE(SUBSTITUTE(SUBSTITUTE(SUBSTITUTE(SUBSTITUTE(SUBSTITUTE(SUBSTITUTE(SUBSTITUTE(SUBSTITUTE(SUBSTITUTE(SUBSTITUTE(SUBSTITUTE(SUBSTITUTE(SUBSTITUTE(B58," ","_"),"(","_"),")","_"),".","_"),",","_"),"/","_"),"-","_"),"&amp;","_"),"Á","A"),"É","E"),"Í","I"),"Ó","O"),"Ú","U"),"Ñ","N"))</formula1>
    </dataValidation>
    <dataValidation sqref="C5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INDIRECT("PROV_"&amp;SUBSTITUTE(SUBSTITUTE(SUBSTITUTE(SUBSTITUTE(SUBSTITUTE(SUBSTITUTE(SUBSTITUTE(SUBSTITUTE(SUBSTITUTE(SUBSTITUTE(SUBSTITUTE(SUBSTITUTE(SUBSTITUTE(SUBSTITUTE(B59," ","_"),"(","_"),")","_"),".","_"),",","_"),"/","_"),"-","_"),"&amp;","_"),"Á","A"),"É","E"),"Í","I"),"Ó","O"),"Ú","U"),"Ñ","N"))</formula1>
    </dataValidation>
    <dataValidation sqref="C6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INDIRECT("PROV_"&amp;SUBSTITUTE(SUBSTITUTE(SUBSTITUTE(SUBSTITUTE(SUBSTITUTE(SUBSTITUTE(SUBSTITUTE(SUBSTITUTE(SUBSTITUTE(SUBSTITUTE(SUBSTITUTE(SUBSTITUTE(SUBSTITUTE(SUBSTITUTE(B60," ","_"),"(","_"),")","_"),".","_"),",","_"),"/","_"),"-","_"),"&amp;","_"),"Á","A"),"É","E"),"Í","I"),"Ó","O"),"Ú","U"),"Ñ","N"))</formula1>
    </dataValidation>
    <dataValidation sqref="C6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INDIRECT("PROV_"&amp;SUBSTITUTE(SUBSTITUTE(SUBSTITUTE(SUBSTITUTE(SUBSTITUTE(SUBSTITUTE(SUBSTITUTE(SUBSTITUTE(SUBSTITUTE(SUBSTITUTE(SUBSTITUTE(SUBSTITUTE(SUBSTITUTE(SUBSTITUTE(B61," ","_"),"(","_"),")","_"),".","_"),",","_"),"/","_"),"-","_"),"&amp;","_"),"Á","A"),"É","E"),"Í","I"),"Ó","O"),"Ú","U"),"Ñ","N"))</formula1>
    </dataValidation>
    <dataValidation sqref="C6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INDIRECT("PROV_"&amp;SUBSTITUTE(SUBSTITUTE(SUBSTITUTE(SUBSTITUTE(SUBSTITUTE(SUBSTITUTE(SUBSTITUTE(SUBSTITUTE(SUBSTITUTE(SUBSTITUTE(SUBSTITUTE(SUBSTITUTE(SUBSTITUTE(SUBSTITUTE(B62," ","_"),"(","_"),")","_"),".","_"),",","_"),"/","_"),"-","_"),"&amp;","_"),"Á","A"),"É","E"),"Í","I"),"Ó","O"),"Ú","U"),"Ñ","N"))</formula1>
    </dataValidation>
    <dataValidation sqref="C6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INDIRECT("PROV_"&amp;SUBSTITUTE(SUBSTITUTE(SUBSTITUTE(SUBSTITUTE(SUBSTITUTE(SUBSTITUTE(SUBSTITUTE(SUBSTITUTE(SUBSTITUTE(SUBSTITUTE(SUBSTITUTE(SUBSTITUTE(SUBSTITUTE(SUBSTITUTE(B63," ","_"),"(","_"),")","_"),".","_"),",","_"),"/","_"),"-","_"),"&amp;","_"),"Á","A"),"É","E"),"Í","I"),"Ó","O"),"Ú","U"),"Ñ","N"))</formula1>
    </dataValidation>
    <dataValidation sqref="C6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INDIRECT("PROV_"&amp;SUBSTITUTE(SUBSTITUTE(SUBSTITUTE(SUBSTITUTE(SUBSTITUTE(SUBSTITUTE(SUBSTITUTE(SUBSTITUTE(SUBSTITUTE(SUBSTITUTE(SUBSTITUTE(SUBSTITUTE(SUBSTITUTE(SUBSTITUTE(B64," ","_"),"(","_"),")","_"),".","_"),",","_"),"/","_"),"-","_"),"&amp;","_"),"Á","A"),"É","E"),"Í","I"),"Ó","O"),"Ú","U"),"Ñ","N"))</formula1>
    </dataValidation>
    <dataValidation sqref="C6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INDIRECT("PROV_"&amp;SUBSTITUTE(SUBSTITUTE(SUBSTITUTE(SUBSTITUTE(SUBSTITUTE(SUBSTITUTE(SUBSTITUTE(SUBSTITUTE(SUBSTITUTE(SUBSTITUTE(SUBSTITUTE(SUBSTITUTE(SUBSTITUTE(SUBSTITUTE(B65," ","_"),"(","_"),")","_"),".","_"),",","_"),"/","_"),"-","_"),"&amp;","_"),"Á","A"),"É","E"),"Í","I"),"Ó","O"),"Ú","U"),"Ñ","N"))</formula1>
    </dataValidation>
    <dataValidation sqref="C6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INDIRECT("PROV_"&amp;SUBSTITUTE(SUBSTITUTE(SUBSTITUTE(SUBSTITUTE(SUBSTITUTE(SUBSTITUTE(SUBSTITUTE(SUBSTITUTE(SUBSTITUTE(SUBSTITUTE(SUBSTITUTE(SUBSTITUTE(SUBSTITUTE(SUBSTITUTE(B66," ","_"),"(","_"),")","_"),".","_"),",","_"),"/","_"),"-","_"),"&amp;","_"),"Á","A"),"É","E"),"Í","I"),"Ó","O"),"Ú","U"),"Ñ","N"))</formula1>
    </dataValidation>
    <dataValidation sqref="C6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INDIRECT("PROV_"&amp;SUBSTITUTE(SUBSTITUTE(SUBSTITUTE(SUBSTITUTE(SUBSTITUTE(SUBSTITUTE(SUBSTITUTE(SUBSTITUTE(SUBSTITUTE(SUBSTITUTE(SUBSTITUTE(SUBSTITUTE(SUBSTITUTE(SUBSTITUTE(B67," ","_"),"(","_"),")","_"),".","_"),",","_"),"/","_"),"-","_"),"&amp;","_"),"Á","A"),"É","E"),"Í","I"),"Ó","O"),"Ú","U"),"Ñ","N"))</formula1>
    </dataValidation>
    <dataValidation sqref="C6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INDIRECT("PROV_"&amp;SUBSTITUTE(SUBSTITUTE(SUBSTITUTE(SUBSTITUTE(SUBSTITUTE(SUBSTITUTE(SUBSTITUTE(SUBSTITUTE(SUBSTITUTE(SUBSTITUTE(SUBSTITUTE(SUBSTITUTE(SUBSTITUTE(SUBSTITUTE(B68," ","_"),"(","_"),")","_"),".","_"),",","_"),"/","_"),"-","_"),"&amp;","_"),"Á","A"),"É","E"),"Í","I"),"Ó","O"),"Ú","U"),"Ñ","N"))</formula1>
    </dataValidation>
    <dataValidation sqref="C6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INDIRECT("PROV_"&amp;SUBSTITUTE(SUBSTITUTE(SUBSTITUTE(SUBSTITUTE(SUBSTITUTE(SUBSTITUTE(SUBSTITUTE(SUBSTITUTE(SUBSTITUTE(SUBSTITUTE(SUBSTITUTE(SUBSTITUTE(SUBSTITUTE(SUBSTITUTE(B69," ","_"),"(","_"),")","_"),".","_"),",","_"),"/","_"),"-","_"),"&amp;","_"),"Á","A"),"É","E"),"Í","I"),"Ó","O"),"Ú","U"),"Ñ","N"))</formula1>
    </dataValidation>
    <dataValidation sqref="C7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INDIRECT("PROV_"&amp;SUBSTITUTE(SUBSTITUTE(SUBSTITUTE(SUBSTITUTE(SUBSTITUTE(SUBSTITUTE(SUBSTITUTE(SUBSTITUTE(SUBSTITUTE(SUBSTITUTE(SUBSTITUTE(SUBSTITUTE(SUBSTITUTE(SUBSTITUTE(B70," ","_"),"(","_"),")","_"),".","_"),",","_"),"/","_"),"-","_"),"&amp;","_"),"Á","A"),"É","E"),"Í","I"),"Ó","O"),"Ú","U"),"Ñ","N"))</formula1>
    </dataValidation>
    <dataValidation sqref="C7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INDIRECT("PROV_"&amp;SUBSTITUTE(SUBSTITUTE(SUBSTITUTE(SUBSTITUTE(SUBSTITUTE(SUBSTITUTE(SUBSTITUTE(SUBSTITUTE(SUBSTITUTE(SUBSTITUTE(SUBSTITUTE(SUBSTITUTE(SUBSTITUTE(SUBSTITUTE(B71," ","_"),"(","_"),")","_"),".","_"),",","_"),"/","_"),"-","_"),"&amp;","_"),"Á","A"),"É","E"),"Í","I"),"Ó","O"),"Ú","U"),"Ñ","N"))</formula1>
    </dataValidation>
    <dataValidation sqref="C7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INDIRECT("PROV_"&amp;SUBSTITUTE(SUBSTITUTE(SUBSTITUTE(SUBSTITUTE(SUBSTITUTE(SUBSTITUTE(SUBSTITUTE(SUBSTITUTE(SUBSTITUTE(SUBSTITUTE(SUBSTITUTE(SUBSTITUTE(SUBSTITUTE(SUBSTITUTE(B72," ","_"),"(","_"),")","_"),".","_"),",","_"),"/","_"),"-","_"),"&amp;","_"),"Á","A"),"É","E"),"Í","I"),"Ó","O"),"Ú","U"),"Ñ","N"))</formula1>
    </dataValidation>
    <dataValidation sqref="C7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INDIRECT("PROV_"&amp;SUBSTITUTE(SUBSTITUTE(SUBSTITUTE(SUBSTITUTE(SUBSTITUTE(SUBSTITUTE(SUBSTITUTE(SUBSTITUTE(SUBSTITUTE(SUBSTITUTE(SUBSTITUTE(SUBSTITUTE(SUBSTITUTE(SUBSTITUTE(B73," ","_"),"(","_"),")","_"),".","_"),",","_"),"/","_"),"-","_"),"&amp;","_"),"Á","A"),"É","E"),"Í","I"),"Ó","O"),"Ú","U"),"Ñ","N"))</formula1>
    </dataValidation>
    <dataValidation sqref="C7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INDIRECT("PROV_"&amp;SUBSTITUTE(SUBSTITUTE(SUBSTITUTE(SUBSTITUTE(SUBSTITUTE(SUBSTITUTE(SUBSTITUTE(SUBSTITUTE(SUBSTITUTE(SUBSTITUTE(SUBSTITUTE(SUBSTITUTE(SUBSTITUTE(SUBSTITUTE(B74," ","_"),"(","_"),")","_"),".","_"),",","_"),"/","_"),"-","_"),"&amp;","_"),"Á","A"),"É","E"),"Í","I"),"Ó","O"),"Ú","U"),"Ñ","N"))</formula1>
    </dataValidation>
    <dataValidation sqref="C7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INDIRECT("PROV_"&amp;SUBSTITUTE(SUBSTITUTE(SUBSTITUTE(SUBSTITUTE(SUBSTITUTE(SUBSTITUTE(SUBSTITUTE(SUBSTITUTE(SUBSTITUTE(SUBSTITUTE(SUBSTITUTE(SUBSTITUTE(SUBSTITUTE(SUBSTITUTE(B75," ","_"),"(","_"),")","_"),".","_"),",","_"),"/","_"),"-","_"),"&amp;","_"),"Á","A"),"É","E"),"Í","I"),"Ó","O"),"Ú","U"),"Ñ","N"))</formula1>
    </dataValidation>
    <dataValidation sqref="C7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INDIRECT("PROV_"&amp;SUBSTITUTE(SUBSTITUTE(SUBSTITUTE(SUBSTITUTE(SUBSTITUTE(SUBSTITUTE(SUBSTITUTE(SUBSTITUTE(SUBSTITUTE(SUBSTITUTE(SUBSTITUTE(SUBSTITUTE(SUBSTITUTE(SUBSTITUTE(B76," ","_"),"(","_"),")","_"),".","_"),",","_"),"/","_"),"-","_"),"&amp;","_"),"Á","A"),"É","E"),"Í","I"),"Ó","O"),"Ú","U"),"Ñ","N"))</formula1>
    </dataValidation>
    <dataValidation sqref="C7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INDIRECT("PROV_"&amp;SUBSTITUTE(SUBSTITUTE(SUBSTITUTE(SUBSTITUTE(SUBSTITUTE(SUBSTITUTE(SUBSTITUTE(SUBSTITUTE(SUBSTITUTE(SUBSTITUTE(SUBSTITUTE(SUBSTITUTE(SUBSTITUTE(SUBSTITUTE(B77," ","_"),"(","_"),")","_"),".","_"),",","_"),"/","_"),"-","_"),"&amp;","_"),"Á","A"),"É","E"),"Í","I"),"Ó","O"),"Ú","U"),"Ñ","N"))</formula1>
    </dataValidation>
    <dataValidation sqref="C7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INDIRECT("PROV_"&amp;SUBSTITUTE(SUBSTITUTE(SUBSTITUTE(SUBSTITUTE(SUBSTITUTE(SUBSTITUTE(SUBSTITUTE(SUBSTITUTE(SUBSTITUTE(SUBSTITUTE(SUBSTITUTE(SUBSTITUTE(SUBSTITUTE(SUBSTITUTE(B78," ","_"),"(","_"),")","_"),".","_"),",","_"),"/","_"),"-","_"),"&amp;","_"),"Á","A"),"É","E"),"Í","I"),"Ó","O"),"Ú","U"),"Ñ","N"))</formula1>
    </dataValidation>
    <dataValidation sqref="C7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INDIRECT("PROV_"&amp;SUBSTITUTE(SUBSTITUTE(SUBSTITUTE(SUBSTITUTE(SUBSTITUTE(SUBSTITUTE(SUBSTITUTE(SUBSTITUTE(SUBSTITUTE(SUBSTITUTE(SUBSTITUTE(SUBSTITUTE(SUBSTITUTE(SUBSTITUTE(B79," ","_"),"(","_"),")","_"),".","_"),",","_"),"/","_"),"-","_"),"&amp;","_"),"Á","A"),"É","E"),"Í","I"),"Ó","O"),"Ú","U"),"Ñ","N"))</formula1>
    </dataValidation>
    <dataValidation sqref="C8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INDIRECT("PROV_"&amp;SUBSTITUTE(SUBSTITUTE(SUBSTITUTE(SUBSTITUTE(SUBSTITUTE(SUBSTITUTE(SUBSTITUTE(SUBSTITUTE(SUBSTITUTE(SUBSTITUTE(SUBSTITUTE(SUBSTITUTE(SUBSTITUTE(SUBSTITUTE(B80," ","_"),"(","_"),")","_"),".","_"),",","_"),"/","_"),"-","_"),"&amp;","_"),"Á","A"),"É","E"),"Í","I"),"Ó","O"),"Ú","U"),"Ñ","N"))</formula1>
    </dataValidation>
    <dataValidation sqref="C8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INDIRECT("PROV_"&amp;SUBSTITUTE(SUBSTITUTE(SUBSTITUTE(SUBSTITUTE(SUBSTITUTE(SUBSTITUTE(SUBSTITUTE(SUBSTITUTE(SUBSTITUTE(SUBSTITUTE(SUBSTITUTE(SUBSTITUTE(SUBSTITUTE(SUBSTITUTE(B81," ","_"),"(","_"),")","_"),".","_"),",","_"),"/","_"),"-","_"),"&amp;","_"),"Á","A"),"É","E"),"Í","I"),"Ó","O"),"Ú","U"),"Ñ","N"))</formula1>
    </dataValidation>
    <dataValidation sqref="C8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INDIRECT("PROV_"&amp;SUBSTITUTE(SUBSTITUTE(SUBSTITUTE(SUBSTITUTE(SUBSTITUTE(SUBSTITUTE(SUBSTITUTE(SUBSTITUTE(SUBSTITUTE(SUBSTITUTE(SUBSTITUTE(SUBSTITUTE(SUBSTITUTE(SUBSTITUTE(B82," ","_"),"(","_"),")","_"),".","_"),",","_"),"/","_"),"-","_"),"&amp;","_"),"Á","A"),"É","E"),"Í","I"),"Ó","O"),"Ú","U"),"Ñ","N"))</formula1>
    </dataValidation>
    <dataValidation sqref="C8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INDIRECT("PROV_"&amp;SUBSTITUTE(SUBSTITUTE(SUBSTITUTE(SUBSTITUTE(SUBSTITUTE(SUBSTITUTE(SUBSTITUTE(SUBSTITUTE(SUBSTITUTE(SUBSTITUTE(SUBSTITUTE(SUBSTITUTE(SUBSTITUTE(SUBSTITUTE(B83," ","_"),"(","_"),")","_"),".","_"),",","_"),"/","_"),"-","_"),"&amp;","_"),"Á","A"),"É","E"),"Í","I"),"Ó","O"),"Ú","U"),"Ñ","N"))</formula1>
    </dataValidation>
    <dataValidation sqref="C8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INDIRECT("PROV_"&amp;SUBSTITUTE(SUBSTITUTE(SUBSTITUTE(SUBSTITUTE(SUBSTITUTE(SUBSTITUTE(SUBSTITUTE(SUBSTITUTE(SUBSTITUTE(SUBSTITUTE(SUBSTITUTE(SUBSTITUTE(SUBSTITUTE(SUBSTITUTE(B84," ","_"),"(","_"),")","_"),".","_"),",","_"),"/","_"),"-","_"),"&amp;","_"),"Á","A"),"É","E"),"Í","I"),"Ó","O"),"Ú","U"),"Ñ","N"))</formula1>
    </dataValidation>
    <dataValidation sqref="C8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INDIRECT("PROV_"&amp;SUBSTITUTE(SUBSTITUTE(SUBSTITUTE(SUBSTITUTE(SUBSTITUTE(SUBSTITUTE(SUBSTITUTE(SUBSTITUTE(SUBSTITUTE(SUBSTITUTE(SUBSTITUTE(SUBSTITUTE(SUBSTITUTE(SUBSTITUTE(B85," ","_"),"(","_"),")","_"),".","_"),",","_"),"/","_"),"-","_"),"&amp;","_"),"Á","A"),"É","E"),"Í","I"),"Ó","O"),"Ú","U"),"Ñ","N"))</formula1>
    </dataValidation>
    <dataValidation sqref="C8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INDIRECT("PROV_"&amp;SUBSTITUTE(SUBSTITUTE(SUBSTITUTE(SUBSTITUTE(SUBSTITUTE(SUBSTITUTE(SUBSTITUTE(SUBSTITUTE(SUBSTITUTE(SUBSTITUTE(SUBSTITUTE(SUBSTITUTE(SUBSTITUTE(SUBSTITUTE(B86," ","_"),"(","_"),")","_"),".","_"),",","_"),"/","_"),"-","_"),"&amp;","_"),"Á","A"),"É","E"),"Í","I"),"Ó","O"),"Ú","U"),"Ñ","N"))</formula1>
    </dataValidation>
    <dataValidation sqref="C8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INDIRECT("PROV_"&amp;SUBSTITUTE(SUBSTITUTE(SUBSTITUTE(SUBSTITUTE(SUBSTITUTE(SUBSTITUTE(SUBSTITUTE(SUBSTITUTE(SUBSTITUTE(SUBSTITUTE(SUBSTITUTE(SUBSTITUTE(SUBSTITUTE(SUBSTITUTE(B87," ","_"),"(","_"),")","_"),".","_"),",","_"),"/","_"),"-","_"),"&amp;","_"),"Á","A"),"É","E"),"Í","I"),"Ó","O"),"Ú","U"),"Ñ","N"))</formula1>
    </dataValidation>
    <dataValidation sqref="C8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INDIRECT("PROV_"&amp;SUBSTITUTE(SUBSTITUTE(SUBSTITUTE(SUBSTITUTE(SUBSTITUTE(SUBSTITUTE(SUBSTITUTE(SUBSTITUTE(SUBSTITUTE(SUBSTITUTE(SUBSTITUTE(SUBSTITUTE(SUBSTITUTE(SUBSTITUTE(B88," ","_"),"(","_"),")","_"),".","_"),",","_"),"/","_"),"-","_"),"&amp;","_"),"Á","A"),"É","E"),"Í","I"),"Ó","O"),"Ú","U"),"Ñ","N"))</formula1>
    </dataValidation>
    <dataValidation sqref="C8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INDIRECT("PROV_"&amp;SUBSTITUTE(SUBSTITUTE(SUBSTITUTE(SUBSTITUTE(SUBSTITUTE(SUBSTITUTE(SUBSTITUTE(SUBSTITUTE(SUBSTITUTE(SUBSTITUTE(SUBSTITUTE(SUBSTITUTE(SUBSTITUTE(SUBSTITUTE(B89," ","_"),"(","_"),")","_"),".","_"),",","_"),"/","_"),"-","_"),"&amp;","_"),"Á","A"),"É","E"),"Í","I"),"Ó","O"),"Ú","U"),"Ñ","N"))</formula1>
    </dataValidation>
    <dataValidation sqref="C9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INDIRECT("PROV_"&amp;SUBSTITUTE(SUBSTITUTE(SUBSTITUTE(SUBSTITUTE(SUBSTITUTE(SUBSTITUTE(SUBSTITUTE(SUBSTITUTE(SUBSTITUTE(SUBSTITUTE(SUBSTITUTE(SUBSTITUTE(SUBSTITUTE(SUBSTITUTE(B90," ","_"),"(","_"),")","_"),".","_"),",","_"),"/","_"),"-","_"),"&amp;","_"),"Á","A"),"É","E"),"Í","I"),"Ó","O"),"Ú","U"),"Ñ","N"))</formula1>
    </dataValidation>
    <dataValidation sqref="C9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INDIRECT("PROV_"&amp;SUBSTITUTE(SUBSTITUTE(SUBSTITUTE(SUBSTITUTE(SUBSTITUTE(SUBSTITUTE(SUBSTITUTE(SUBSTITUTE(SUBSTITUTE(SUBSTITUTE(SUBSTITUTE(SUBSTITUTE(SUBSTITUTE(SUBSTITUTE(B91," ","_"),"(","_"),")","_"),".","_"),",","_"),"/","_"),"-","_"),"&amp;","_"),"Á","A"),"É","E"),"Í","I"),"Ó","O"),"Ú","U"),"Ñ","N"))</formula1>
    </dataValidation>
    <dataValidation sqref="C9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INDIRECT("PROV_"&amp;SUBSTITUTE(SUBSTITUTE(SUBSTITUTE(SUBSTITUTE(SUBSTITUTE(SUBSTITUTE(SUBSTITUTE(SUBSTITUTE(SUBSTITUTE(SUBSTITUTE(SUBSTITUTE(SUBSTITUTE(SUBSTITUTE(SUBSTITUTE(B92," ","_"),"(","_"),")","_"),".","_"),",","_"),"/","_"),"-","_"),"&amp;","_"),"Á","A"),"É","E"),"Í","I"),"Ó","O"),"Ú","U"),"Ñ","N"))</formula1>
    </dataValidation>
    <dataValidation sqref="C9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INDIRECT("PROV_"&amp;SUBSTITUTE(SUBSTITUTE(SUBSTITUTE(SUBSTITUTE(SUBSTITUTE(SUBSTITUTE(SUBSTITUTE(SUBSTITUTE(SUBSTITUTE(SUBSTITUTE(SUBSTITUTE(SUBSTITUTE(SUBSTITUTE(SUBSTITUTE(B93," ","_"),"(","_"),")","_"),".","_"),",","_"),"/","_"),"-","_"),"&amp;","_"),"Á","A"),"É","E"),"Í","I"),"Ó","O"),"Ú","U"),"Ñ","N"))</formula1>
    </dataValidation>
    <dataValidation sqref="C9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INDIRECT("PROV_"&amp;SUBSTITUTE(SUBSTITUTE(SUBSTITUTE(SUBSTITUTE(SUBSTITUTE(SUBSTITUTE(SUBSTITUTE(SUBSTITUTE(SUBSTITUTE(SUBSTITUTE(SUBSTITUTE(SUBSTITUTE(SUBSTITUTE(SUBSTITUTE(B94," ","_"),"(","_"),")","_"),".","_"),",","_"),"/","_"),"-","_"),"&amp;","_"),"Á","A"),"É","E"),"Í","I"),"Ó","O"),"Ú","U"),"Ñ","N"))</formula1>
    </dataValidation>
    <dataValidation sqref="C9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INDIRECT("PROV_"&amp;SUBSTITUTE(SUBSTITUTE(SUBSTITUTE(SUBSTITUTE(SUBSTITUTE(SUBSTITUTE(SUBSTITUTE(SUBSTITUTE(SUBSTITUTE(SUBSTITUTE(SUBSTITUTE(SUBSTITUTE(SUBSTITUTE(SUBSTITUTE(B95," ","_"),"(","_"),")","_"),".","_"),",","_"),"/","_"),"-","_"),"&amp;","_"),"Á","A"),"É","E"),"Í","I"),"Ó","O"),"Ú","U"),"Ñ","N"))</formula1>
    </dataValidation>
    <dataValidation sqref="C9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INDIRECT("PROV_"&amp;SUBSTITUTE(SUBSTITUTE(SUBSTITUTE(SUBSTITUTE(SUBSTITUTE(SUBSTITUTE(SUBSTITUTE(SUBSTITUTE(SUBSTITUTE(SUBSTITUTE(SUBSTITUTE(SUBSTITUTE(SUBSTITUTE(SUBSTITUTE(B96," ","_"),"(","_"),")","_"),".","_"),",","_"),"/","_"),"-","_"),"&amp;","_"),"Á","A"),"É","E"),"Í","I"),"Ó","O"),"Ú","U"),"Ñ","N"))</formula1>
    </dataValidation>
    <dataValidation sqref="C9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INDIRECT("PROV_"&amp;SUBSTITUTE(SUBSTITUTE(SUBSTITUTE(SUBSTITUTE(SUBSTITUTE(SUBSTITUTE(SUBSTITUTE(SUBSTITUTE(SUBSTITUTE(SUBSTITUTE(SUBSTITUTE(SUBSTITUTE(SUBSTITUTE(SUBSTITUTE(B97," ","_"),"(","_"),")","_"),".","_"),",","_"),"/","_"),"-","_"),"&amp;","_"),"Á","A"),"É","E"),"Í","I"),"Ó","O"),"Ú","U"),"Ñ","N"))</formula1>
    </dataValidation>
    <dataValidation sqref="C9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INDIRECT("PROV_"&amp;SUBSTITUTE(SUBSTITUTE(SUBSTITUTE(SUBSTITUTE(SUBSTITUTE(SUBSTITUTE(SUBSTITUTE(SUBSTITUTE(SUBSTITUTE(SUBSTITUTE(SUBSTITUTE(SUBSTITUTE(SUBSTITUTE(SUBSTITUTE(B98," ","_"),"(","_"),")","_"),".","_"),",","_"),"/","_"),"-","_"),"&amp;","_"),"Á","A"),"É","E"),"Í","I"),"Ó","O"),"Ú","U"),"Ñ","N"))</formula1>
    </dataValidation>
    <dataValidation sqref="C9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INDIRECT("PROV_"&amp;SUBSTITUTE(SUBSTITUTE(SUBSTITUTE(SUBSTITUTE(SUBSTITUTE(SUBSTITUTE(SUBSTITUTE(SUBSTITUTE(SUBSTITUTE(SUBSTITUTE(SUBSTITUTE(SUBSTITUTE(SUBSTITUTE(SUBSTITUTE(B99," ","_"),"(","_"),")","_"),".","_"),",","_"),"/","_"),"-","_"),"&amp;","_"),"Á","A"),"É","E"),"Í","I"),"Ó","O"),"Ú","U"),"Ñ","N"))</formula1>
    </dataValidation>
    <dataValidation sqref="C10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INDIRECT("PROV_"&amp;SUBSTITUTE(SUBSTITUTE(SUBSTITUTE(SUBSTITUTE(SUBSTITUTE(SUBSTITUTE(SUBSTITUTE(SUBSTITUTE(SUBSTITUTE(SUBSTITUTE(SUBSTITUTE(SUBSTITUTE(SUBSTITUTE(SUBSTITUTE(B100," ","_"),"(","_"),")","_"),".","_"),",","_"),"/","_"),"-","_"),"&amp;","_"),"Á","A"),"É","E"),"Í","I"),"Ó","O"),"Ú","U"),"Ñ","N"))</formula1>
    </dataValidation>
    <dataValidation sqref="C10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INDIRECT("PROV_"&amp;SUBSTITUTE(SUBSTITUTE(SUBSTITUTE(SUBSTITUTE(SUBSTITUTE(SUBSTITUTE(SUBSTITUTE(SUBSTITUTE(SUBSTITUTE(SUBSTITUTE(SUBSTITUTE(SUBSTITUTE(SUBSTITUTE(SUBSTITUTE(B101," ","_"),"(","_"),")","_"),".","_"),",","_"),"/","_"),"-","_"),"&amp;","_"),"Á","A"),"É","E"),"Í","I"),"Ó","O"),"Ú","U"),"Ñ","N"))</formula1>
    </dataValidation>
    <dataValidation sqref="C10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INDIRECT("PROV_"&amp;SUBSTITUTE(SUBSTITUTE(SUBSTITUTE(SUBSTITUTE(SUBSTITUTE(SUBSTITUTE(SUBSTITUTE(SUBSTITUTE(SUBSTITUTE(SUBSTITUTE(SUBSTITUTE(SUBSTITUTE(SUBSTITUTE(SUBSTITUTE(B102," ","_"),"(","_"),")","_"),".","_"),",","_"),"/","_"),"-","_"),"&amp;","_"),"Á","A"),"É","E"),"Í","I"),"Ó","O"),"Ú","U"),"Ñ","N"))</formula1>
    </dataValidation>
    <dataValidation sqref="C10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INDIRECT("PROV_"&amp;SUBSTITUTE(SUBSTITUTE(SUBSTITUTE(SUBSTITUTE(SUBSTITUTE(SUBSTITUTE(SUBSTITUTE(SUBSTITUTE(SUBSTITUTE(SUBSTITUTE(SUBSTITUTE(SUBSTITUTE(SUBSTITUTE(SUBSTITUTE(B103," ","_"),"(","_"),")","_"),".","_"),",","_"),"/","_"),"-","_"),"&amp;","_"),"Á","A"),"É","E"),"Í","I"),"Ó","O"),"Ú","U"),"Ñ","N"))</formula1>
    </dataValidation>
    <dataValidation sqref="C10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INDIRECT("PROV_"&amp;SUBSTITUTE(SUBSTITUTE(SUBSTITUTE(SUBSTITUTE(SUBSTITUTE(SUBSTITUTE(SUBSTITUTE(SUBSTITUTE(SUBSTITUTE(SUBSTITUTE(SUBSTITUTE(SUBSTITUTE(SUBSTITUTE(SUBSTITUTE(B104," ","_"),"(","_"),")","_"),".","_"),",","_"),"/","_"),"-","_"),"&amp;","_"),"Á","A"),"É","E"),"Í","I"),"Ó","O"),"Ú","U"),"Ñ","N"))</formula1>
    </dataValidation>
    <dataValidation sqref="C10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INDIRECT("PROV_"&amp;SUBSTITUTE(SUBSTITUTE(SUBSTITUTE(SUBSTITUTE(SUBSTITUTE(SUBSTITUTE(SUBSTITUTE(SUBSTITUTE(SUBSTITUTE(SUBSTITUTE(SUBSTITUTE(SUBSTITUTE(SUBSTITUTE(SUBSTITUTE(B105," ","_"),"(","_"),")","_"),".","_"),",","_"),"/","_"),"-","_"),"&amp;","_"),"Á","A"),"É","E"),"Í","I"),"Ó","O"),"Ú","U"),"Ñ","N"))</formula1>
    </dataValidation>
    <dataValidation sqref="C10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INDIRECT("PROV_"&amp;SUBSTITUTE(SUBSTITUTE(SUBSTITUTE(SUBSTITUTE(SUBSTITUTE(SUBSTITUTE(SUBSTITUTE(SUBSTITUTE(SUBSTITUTE(SUBSTITUTE(SUBSTITUTE(SUBSTITUTE(SUBSTITUTE(SUBSTITUTE(B106," ","_"),"(","_"),")","_"),".","_"),",","_"),"/","_"),"-","_"),"&amp;","_"),"Á","A"),"É","E"),"Í","I"),"Ó","O"),"Ú","U"),"Ñ","N"))</formula1>
    </dataValidation>
    <dataValidation sqref="C10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INDIRECT("PROV_"&amp;SUBSTITUTE(SUBSTITUTE(SUBSTITUTE(SUBSTITUTE(SUBSTITUTE(SUBSTITUTE(SUBSTITUTE(SUBSTITUTE(SUBSTITUTE(SUBSTITUTE(SUBSTITUTE(SUBSTITUTE(SUBSTITUTE(SUBSTITUTE(B107," ","_"),"(","_"),")","_"),".","_"),",","_"),"/","_"),"-","_"),"&amp;","_"),"Á","A"),"É","E"),"Í","I"),"Ó","O"),"Ú","U"),"Ñ","N"))</formula1>
    </dataValidation>
    <dataValidation sqref="C10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INDIRECT("PROV_"&amp;SUBSTITUTE(SUBSTITUTE(SUBSTITUTE(SUBSTITUTE(SUBSTITUTE(SUBSTITUTE(SUBSTITUTE(SUBSTITUTE(SUBSTITUTE(SUBSTITUTE(SUBSTITUTE(SUBSTITUTE(SUBSTITUTE(SUBSTITUTE(B108," ","_"),"(","_"),")","_"),".","_"),",","_"),"/","_"),"-","_"),"&amp;","_"),"Á","A"),"É","E"),"Í","I"),"Ó","O"),"Ú","U"),"Ñ","N"))</formula1>
    </dataValidation>
    <dataValidation sqref="C10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INDIRECT("PROV_"&amp;SUBSTITUTE(SUBSTITUTE(SUBSTITUTE(SUBSTITUTE(SUBSTITUTE(SUBSTITUTE(SUBSTITUTE(SUBSTITUTE(SUBSTITUTE(SUBSTITUTE(SUBSTITUTE(SUBSTITUTE(SUBSTITUTE(SUBSTITUTE(B109," ","_"),"(","_"),")","_"),".","_"),",","_"),"/","_"),"-","_"),"&amp;","_"),"Á","A"),"É","E"),"Í","I"),"Ó","O"),"Ú","U"),"Ñ","N"))</formula1>
    </dataValidation>
    <dataValidation sqref="C11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INDIRECT("PROV_"&amp;SUBSTITUTE(SUBSTITUTE(SUBSTITUTE(SUBSTITUTE(SUBSTITUTE(SUBSTITUTE(SUBSTITUTE(SUBSTITUTE(SUBSTITUTE(SUBSTITUTE(SUBSTITUTE(SUBSTITUTE(SUBSTITUTE(SUBSTITUTE(B110," ","_"),"(","_"),")","_"),".","_"),",","_"),"/","_"),"-","_"),"&amp;","_"),"Á","A"),"É","E"),"Í","I"),"Ó","O"),"Ú","U"),"Ñ","N"))</formula1>
    </dataValidation>
    <dataValidation sqref="C11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INDIRECT("PROV_"&amp;SUBSTITUTE(SUBSTITUTE(SUBSTITUTE(SUBSTITUTE(SUBSTITUTE(SUBSTITUTE(SUBSTITUTE(SUBSTITUTE(SUBSTITUTE(SUBSTITUTE(SUBSTITUTE(SUBSTITUTE(SUBSTITUTE(SUBSTITUTE(B111," ","_"),"(","_"),")","_"),".","_"),",","_"),"/","_"),"-","_"),"&amp;","_"),"Á","A"),"É","E"),"Í","I"),"Ó","O"),"Ú","U"),"Ñ","N"))</formula1>
    </dataValidation>
    <dataValidation sqref="C11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INDIRECT("PROV_"&amp;SUBSTITUTE(SUBSTITUTE(SUBSTITUTE(SUBSTITUTE(SUBSTITUTE(SUBSTITUTE(SUBSTITUTE(SUBSTITUTE(SUBSTITUTE(SUBSTITUTE(SUBSTITUTE(SUBSTITUTE(SUBSTITUTE(SUBSTITUTE(B112," ","_"),"(","_"),")","_"),".","_"),",","_"),"/","_"),"-","_"),"&amp;","_"),"Á","A"),"É","E"),"Í","I"),"Ó","O"),"Ú","U"),"Ñ","N"))</formula1>
    </dataValidation>
    <dataValidation sqref="C11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INDIRECT("PROV_"&amp;SUBSTITUTE(SUBSTITUTE(SUBSTITUTE(SUBSTITUTE(SUBSTITUTE(SUBSTITUTE(SUBSTITUTE(SUBSTITUTE(SUBSTITUTE(SUBSTITUTE(SUBSTITUTE(SUBSTITUTE(SUBSTITUTE(SUBSTITUTE(B113," ","_"),"(","_"),")","_"),".","_"),",","_"),"/","_"),"-","_"),"&amp;","_"),"Á","A"),"É","E"),"Í","I"),"Ó","O"),"Ú","U"),"Ñ","N"))</formula1>
    </dataValidation>
    <dataValidation sqref="C11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INDIRECT("PROV_"&amp;SUBSTITUTE(SUBSTITUTE(SUBSTITUTE(SUBSTITUTE(SUBSTITUTE(SUBSTITUTE(SUBSTITUTE(SUBSTITUTE(SUBSTITUTE(SUBSTITUTE(SUBSTITUTE(SUBSTITUTE(SUBSTITUTE(SUBSTITUTE(B114," ","_"),"(","_"),")","_"),".","_"),",","_"),"/","_"),"-","_"),"&amp;","_"),"Á","A"),"É","E"),"Í","I"),"Ó","O"),"Ú","U"),"Ñ","N"))</formula1>
    </dataValidation>
    <dataValidation sqref="C11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INDIRECT("PROV_"&amp;SUBSTITUTE(SUBSTITUTE(SUBSTITUTE(SUBSTITUTE(SUBSTITUTE(SUBSTITUTE(SUBSTITUTE(SUBSTITUTE(SUBSTITUTE(SUBSTITUTE(SUBSTITUTE(SUBSTITUTE(SUBSTITUTE(SUBSTITUTE(B115," ","_"),"(","_"),")","_"),".","_"),",","_"),"/","_"),"-","_"),"&amp;","_"),"Á","A"),"É","E"),"Í","I"),"Ó","O"),"Ú","U"),"Ñ","N"))</formula1>
    </dataValidation>
    <dataValidation sqref="C11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INDIRECT("PROV_"&amp;SUBSTITUTE(SUBSTITUTE(SUBSTITUTE(SUBSTITUTE(SUBSTITUTE(SUBSTITUTE(SUBSTITUTE(SUBSTITUTE(SUBSTITUTE(SUBSTITUTE(SUBSTITUTE(SUBSTITUTE(SUBSTITUTE(SUBSTITUTE(B116," ","_"),"(","_"),")","_"),".","_"),",","_"),"/","_"),"-","_"),"&amp;","_"),"Á","A"),"É","E"),"Í","I"),"Ó","O"),"Ú","U"),"Ñ","N"))</formula1>
    </dataValidation>
    <dataValidation sqref="C11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INDIRECT("PROV_"&amp;SUBSTITUTE(SUBSTITUTE(SUBSTITUTE(SUBSTITUTE(SUBSTITUTE(SUBSTITUTE(SUBSTITUTE(SUBSTITUTE(SUBSTITUTE(SUBSTITUTE(SUBSTITUTE(SUBSTITUTE(SUBSTITUTE(SUBSTITUTE(B117," ","_"),"(","_"),")","_"),".","_"),",","_"),"/","_"),"-","_"),"&amp;","_"),"Á","A"),"É","E"),"Í","I"),"Ó","O"),"Ú","U"),"Ñ","N"))</formula1>
    </dataValidation>
    <dataValidation sqref="C11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INDIRECT("PROV_"&amp;SUBSTITUTE(SUBSTITUTE(SUBSTITUTE(SUBSTITUTE(SUBSTITUTE(SUBSTITUTE(SUBSTITUTE(SUBSTITUTE(SUBSTITUTE(SUBSTITUTE(SUBSTITUTE(SUBSTITUTE(SUBSTITUTE(SUBSTITUTE(B118," ","_"),"(","_"),")","_"),".","_"),",","_"),"/","_"),"-","_"),"&amp;","_"),"Á","A"),"É","E"),"Í","I"),"Ó","O"),"Ú","U"),"Ñ","N"))</formula1>
    </dataValidation>
    <dataValidation sqref="C11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INDIRECT("PROV_"&amp;SUBSTITUTE(SUBSTITUTE(SUBSTITUTE(SUBSTITUTE(SUBSTITUTE(SUBSTITUTE(SUBSTITUTE(SUBSTITUTE(SUBSTITUTE(SUBSTITUTE(SUBSTITUTE(SUBSTITUTE(SUBSTITUTE(SUBSTITUTE(B119," ","_"),"(","_"),")","_"),".","_"),",","_"),"/","_"),"-","_"),"&amp;","_"),"Á","A"),"É","E"),"Í","I"),"Ó","O"),"Ú","U"),"Ñ","N"))</formula1>
    </dataValidation>
    <dataValidation sqref="C12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INDIRECT("PROV_"&amp;SUBSTITUTE(SUBSTITUTE(SUBSTITUTE(SUBSTITUTE(SUBSTITUTE(SUBSTITUTE(SUBSTITUTE(SUBSTITUTE(SUBSTITUTE(SUBSTITUTE(SUBSTITUTE(SUBSTITUTE(SUBSTITUTE(SUBSTITUTE(B120," ","_"),"(","_"),")","_"),".","_"),",","_"),"/","_"),"-","_"),"&amp;","_"),"Á","A"),"É","E"),"Í","I"),"Ó","O"),"Ú","U"),"Ñ","N"))</formula1>
    </dataValidation>
    <dataValidation sqref="C12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INDIRECT("PROV_"&amp;SUBSTITUTE(SUBSTITUTE(SUBSTITUTE(SUBSTITUTE(SUBSTITUTE(SUBSTITUTE(SUBSTITUTE(SUBSTITUTE(SUBSTITUTE(SUBSTITUTE(SUBSTITUTE(SUBSTITUTE(SUBSTITUTE(SUBSTITUTE(B121," ","_"),"(","_"),")","_"),".","_"),",","_"),"/","_"),"-","_"),"&amp;","_"),"Á","A"),"É","E"),"Í","I"),"Ó","O"),"Ú","U"),"Ñ","N"))</formula1>
    </dataValidation>
    <dataValidation sqref="C12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INDIRECT("PROV_"&amp;SUBSTITUTE(SUBSTITUTE(SUBSTITUTE(SUBSTITUTE(SUBSTITUTE(SUBSTITUTE(SUBSTITUTE(SUBSTITUTE(SUBSTITUTE(SUBSTITUTE(SUBSTITUTE(SUBSTITUTE(SUBSTITUTE(SUBSTITUTE(B122," ","_"),"(","_"),")","_"),".","_"),",","_"),"/","_"),"-","_"),"&amp;","_"),"Á","A"),"É","E"),"Í","I"),"Ó","O"),"Ú","U"),"Ñ","N"))</formula1>
    </dataValidation>
    <dataValidation sqref="C12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INDIRECT("PROV_"&amp;SUBSTITUTE(SUBSTITUTE(SUBSTITUTE(SUBSTITUTE(SUBSTITUTE(SUBSTITUTE(SUBSTITUTE(SUBSTITUTE(SUBSTITUTE(SUBSTITUTE(SUBSTITUTE(SUBSTITUTE(SUBSTITUTE(SUBSTITUTE(B123," ","_"),"(","_"),")","_"),".","_"),",","_"),"/","_"),"-","_"),"&amp;","_"),"Á","A"),"É","E"),"Í","I"),"Ó","O"),"Ú","U"),"Ñ","N"))</formula1>
    </dataValidation>
    <dataValidation sqref="C12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INDIRECT("PROV_"&amp;SUBSTITUTE(SUBSTITUTE(SUBSTITUTE(SUBSTITUTE(SUBSTITUTE(SUBSTITUTE(SUBSTITUTE(SUBSTITUTE(SUBSTITUTE(SUBSTITUTE(SUBSTITUTE(SUBSTITUTE(SUBSTITUTE(SUBSTITUTE(B124," ","_"),"(","_"),")","_"),".","_"),",","_"),"/","_"),"-","_"),"&amp;","_"),"Á","A"),"É","E"),"Í","I"),"Ó","O"),"Ú","U"),"Ñ","N"))</formula1>
    </dataValidation>
    <dataValidation sqref="C12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INDIRECT("PROV_"&amp;SUBSTITUTE(SUBSTITUTE(SUBSTITUTE(SUBSTITUTE(SUBSTITUTE(SUBSTITUTE(SUBSTITUTE(SUBSTITUTE(SUBSTITUTE(SUBSTITUTE(SUBSTITUTE(SUBSTITUTE(SUBSTITUTE(SUBSTITUTE(B125," ","_"),"(","_"),")","_"),".","_"),",","_"),"/","_"),"-","_"),"&amp;","_"),"Á","A"),"É","E"),"Í","I"),"Ó","O"),"Ú","U"),"Ñ","N"))</formula1>
    </dataValidation>
    <dataValidation sqref="C12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INDIRECT("PROV_"&amp;SUBSTITUTE(SUBSTITUTE(SUBSTITUTE(SUBSTITUTE(SUBSTITUTE(SUBSTITUTE(SUBSTITUTE(SUBSTITUTE(SUBSTITUTE(SUBSTITUTE(SUBSTITUTE(SUBSTITUTE(SUBSTITUTE(SUBSTITUTE(B126," ","_"),"(","_"),")","_"),".","_"),",","_"),"/","_"),"-","_"),"&amp;","_"),"Á","A"),"É","E"),"Í","I"),"Ó","O"),"Ú","U"),"Ñ","N"))</formula1>
    </dataValidation>
    <dataValidation sqref="C12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INDIRECT("PROV_"&amp;SUBSTITUTE(SUBSTITUTE(SUBSTITUTE(SUBSTITUTE(SUBSTITUTE(SUBSTITUTE(SUBSTITUTE(SUBSTITUTE(SUBSTITUTE(SUBSTITUTE(SUBSTITUTE(SUBSTITUTE(SUBSTITUTE(SUBSTITUTE(B127," ","_"),"(","_"),")","_"),".","_"),",","_"),"/","_"),"-","_"),"&amp;","_"),"Á","A"),"É","E"),"Í","I"),"Ó","O"),"Ú","U"),"Ñ","N"))</formula1>
    </dataValidation>
    <dataValidation sqref="C12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INDIRECT("PROV_"&amp;SUBSTITUTE(SUBSTITUTE(SUBSTITUTE(SUBSTITUTE(SUBSTITUTE(SUBSTITUTE(SUBSTITUTE(SUBSTITUTE(SUBSTITUTE(SUBSTITUTE(SUBSTITUTE(SUBSTITUTE(SUBSTITUTE(SUBSTITUTE(B128," ","_"),"(","_"),")","_"),".","_"),",","_"),"/","_"),"-","_"),"&amp;","_"),"Á","A"),"É","E"),"Í","I"),"Ó","O"),"Ú","U"),"Ñ","N"))</formula1>
    </dataValidation>
    <dataValidation sqref="C12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INDIRECT("PROV_"&amp;SUBSTITUTE(SUBSTITUTE(SUBSTITUTE(SUBSTITUTE(SUBSTITUTE(SUBSTITUTE(SUBSTITUTE(SUBSTITUTE(SUBSTITUTE(SUBSTITUTE(SUBSTITUTE(SUBSTITUTE(SUBSTITUTE(SUBSTITUTE(B129," ","_"),"(","_"),")","_"),".","_"),",","_"),"/","_"),"-","_"),"&amp;","_"),"Á","A"),"É","E"),"Í","I"),"Ó","O"),"Ú","U"),"Ñ","N"))</formula1>
    </dataValidation>
    <dataValidation sqref="C13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INDIRECT("PROV_"&amp;SUBSTITUTE(SUBSTITUTE(SUBSTITUTE(SUBSTITUTE(SUBSTITUTE(SUBSTITUTE(SUBSTITUTE(SUBSTITUTE(SUBSTITUTE(SUBSTITUTE(SUBSTITUTE(SUBSTITUTE(SUBSTITUTE(SUBSTITUTE(B130," ","_"),"(","_"),")","_"),".","_"),",","_"),"/","_"),"-","_"),"&amp;","_"),"Á","A"),"É","E"),"Í","I"),"Ó","O"),"Ú","U"),"Ñ","N"))</formula1>
    </dataValidation>
    <dataValidation sqref="C13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INDIRECT("PROV_"&amp;SUBSTITUTE(SUBSTITUTE(SUBSTITUTE(SUBSTITUTE(SUBSTITUTE(SUBSTITUTE(SUBSTITUTE(SUBSTITUTE(SUBSTITUTE(SUBSTITUTE(SUBSTITUTE(SUBSTITUTE(SUBSTITUTE(SUBSTITUTE(B131," ","_"),"(","_"),")","_"),".","_"),",","_"),"/","_"),"-","_"),"&amp;","_"),"Á","A"),"É","E"),"Í","I"),"Ó","O"),"Ú","U"),"Ñ","N"))</formula1>
    </dataValidation>
    <dataValidation sqref="C13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INDIRECT("PROV_"&amp;SUBSTITUTE(SUBSTITUTE(SUBSTITUTE(SUBSTITUTE(SUBSTITUTE(SUBSTITUTE(SUBSTITUTE(SUBSTITUTE(SUBSTITUTE(SUBSTITUTE(SUBSTITUTE(SUBSTITUTE(SUBSTITUTE(SUBSTITUTE(B132," ","_"),"(","_"),")","_"),".","_"),",","_"),"/","_"),"-","_"),"&amp;","_"),"Á","A"),"É","E"),"Í","I"),"Ó","O"),"Ú","U"),"Ñ","N"))</formula1>
    </dataValidation>
    <dataValidation sqref="C13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INDIRECT("PROV_"&amp;SUBSTITUTE(SUBSTITUTE(SUBSTITUTE(SUBSTITUTE(SUBSTITUTE(SUBSTITUTE(SUBSTITUTE(SUBSTITUTE(SUBSTITUTE(SUBSTITUTE(SUBSTITUTE(SUBSTITUTE(SUBSTITUTE(SUBSTITUTE(B133," ","_"),"(","_"),")","_"),".","_"),",","_"),"/","_"),"-","_"),"&amp;","_"),"Á","A"),"É","E"),"Í","I"),"Ó","O"),"Ú","U"),"Ñ","N"))</formula1>
    </dataValidation>
    <dataValidation sqref="C13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INDIRECT("PROV_"&amp;SUBSTITUTE(SUBSTITUTE(SUBSTITUTE(SUBSTITUTE(SUBSTITUTE(SUBSTITUTE(SUBSTITUTE(SUBSTITUTE(SUBSTITUTE(SUBSTITUTE(SUBSTITUTE(SUBSTITUTE(SUBSTITUTE(SUBSTITUTE(B134," ","_"),"(","_"),")","_"),".","_"),",","_"),"/","_"),"-","_"),"&amp;","_"),"Á","A"),"É","E"),"Í","I"),"Ó","O"),"Ú","U"),"Ñ","N"))</formula1>
    </dataValidation>
    <dataValidation sqref="C13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INDIRECT("PROV_"&amp;SUBSTITUTE(SUBSTITUTE(SUBSTITUTE(SUBSTITUTE(SUBSTITUTE(SUBSTITUTE(SUBSTITUTE(SUBSTITUTE(SUBSTITUTE(SUBSTITUTE(SUBSTITUTE(SUBSTITUTE(SUBSTITUTE(SUBSTITUTE(B135," ","_"),"(","_"),")","_"),".","_"),",","_"),"/","_"),"-","_"),"&amp;","_"),"Á","A"),"É","E"),"Í","I"),"Ó","O"),"Ú","U"),"Ñ","N"))</formula1>
    </dataValidation>
    <dataValidation sqref="C13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INDIRECT("PROV_"&amp;SUBSTITUTE(SUBSTITUTE(SUBSTITUTE(SUBSTITUTE(SUBSTITUTE(SUBSTITUTE(SUBSTITUTE(SUBSTITUTE(SUBSTITUTE(SUBSTITUTE(SUBSTITUTE(SUBSTITUTE(SUBSTITUTE(SUBSTITUTE(B136," ","_"),"(","_"),")","_"),".","_"),",","_"),"/","_"),"-","_"),"&amp;","_"),"Á","A"),"É","E"),"Í","I"),"Ó","O"),"Ú","U"),"Ñ","N"))</formula1>
    </dataValidation>
    <dataValidation sqref="C13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INDIRECT("PROV_"&amp;SUBSTITUTE(SUBSTITUTE(SUBSTITUTE(SUBSTITUTE(SUBSTITUTE(SUBSTITUTE(SUBSTITUTE(SUBSTITUTE(SUBSTITUTE(SUBSTITUTE(SUBSTITUTE(SUBSTITUTE(SUBSTITUTE(SUBSTITUTE(B137," ","_"),"(","_"),")","_"),".","_"),",","_"),"/","_"),"-","_"),"&amp;","_"),"Á","A"),"É","E"),"Í","I"),"Ó","O"),"Ú","U"),"Ñ","N"))</formula1>
    </dataValidation>
    <dataValidation sqref="C13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INDIRECT("PROV_"&amp;SUBSTITUTE(SUBSTITUTE(SUBSTITUTE(SUBSTITUTE(SUBSTITUTE(SUBSTITUTE(SUBSTITUTE(SUBSTITUTE(SUBSTITUTE(SUBSTITUTE(SUBSTITUTE(SUBSTITUTE(SUBSTITUTE(SUBSTITUTE(B138," ","_"),"(","_"),")","_"),".","_"),",","_"),"/","_"),"-","_"),"&amp;","_"),"Á","A"),"É","E"),"Í","I"),"Ó","O"),"Ú","U"),"Ñ","N"))</formula1>
    </dataValidation>
    <dataValidation sqref="C13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INDIRECT("PROV_"&amp;SUBSTITUTE(SUBSTITUTE(SUBSTITUTE(SUBSTITUTE(SUBSTITUTE(SUBSTITUTE(SUBSTITUTE(SUBSTITUTE(SUBSTITUTE(SUBSTITUTE(SUBSTITUTE(SUBSTITUTE(SUBSTITUTE(SUBSTITUTE(B139," ","_"),"(","_"),")","_"),".","_"),",","_"),"/","_"),"-","_"),"&amp;","_"),"Á","A"),"É","E"),"Í","I"),"Ó","O"),"Ú","U"),"Ñ","N"))</formula1>
    </dataValidation>
    <dataValidation sqref="C14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INDIRECT("PROV_"&amp;SUBSTITUTE(SUBSTITUTE(SUBSTITUTE(SUBSTITUTE(SUBSTITUTE(SUBSTITUTE(SUBSTITUTE(SUBSTITUTE(SUBSTITUTE(SUBSTITUTE(SUBSTITUTE(SUBSTITUTE(SUBSTITUTE(SUBSTITUTE(B140," ","_"),"(","_"),")","_"),".","_"),",","_"),"/","_"),"-","_"),"&amp;","_"),"Á","A"),"É","E"),"Í","I"),"Ó","O"),"Ú","U"),"Ñ","N"))</formula1>
    </dataValidation>
    <dataValidation sqref="C14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INDIRECT("PROV_"&amp;SUBSTITUTE(SUBSTITUTE(SUBSTITUTE(SUBSTITUTE(SUBSTITUTE(SUBSTITUTE(SUBSTITUTE(SUBSTITUTE(SUBSTITUTE(SUBSTITUTE(SUBSTITUTE(SUBSTITUTE(SUBSTITUTE(SUBSTITUTE(B141," ","_"),"(","_"),")","_"),".","_"),",","_"),"/","_"),"-","_"),"&amp;","_"),"Á","A"),"É","E"),"Í","I"),"Ó","O"),"Ú","U"),"Ñ","N"))</formula1>
    </dataValidation>
    <dataValidation sqref="C14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INDIRECT("PROV_"&amp;SUBSTITUTE(SUBSTITUTE(SUBSTITUTE(SUBSTITUTE(SUBSTITUTE(SUBSTITUTE(SUBSTITUTE(SUBSTITUTE(SUBSTITUTE(SUBSTITUTE(SUBSTITUTE(SUBSTITUTE(SUBSTITUTE(SUBSTITUTE(B142," ","_"),"(","_"),")","_"),".","_"),",","_"),"/","_"),"-","_"),"&amp;","_"),"Á","A"),"É","E"),"Í","I"),"Ó","O"),"Ú","U"),"Ñ","N"))</formula1>
    </dataValidation>
    <dataValidation sqref="C14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INDIRECT("PROV_"&amp;SUBSTITUTE(SUBSTITUTE(SUBSTITUTE(SUBSTITUTE(SUBSTITUTE(SUBSTITUTE(SUBSTITUTE(SUBSTITUTE(SUBSTITUTE(SUBSTITUTE(SUBSTITUTE(SUBSTITUTE(SUBSTITUTE(SUBSTITUTE(B143," ","_"),"(","_"),")","_"),".","_"),",","_"),"/","_"),"-","_"),"&amp;","_"),"Á","A"),"É","E"),"Í","I"),"Ó","O"),"Ú","U"),"Ñ","N"))</formula1>
    </dataValidation>
    <dataValidation sqref="C14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INDIRECT("PROV_"&amp;SUBSTITUTE(SUBSTITUTE(SUBSTITUTE(SUBSTITUTE(SUBSTITUTE(SUBSTITUTE(SUBSTITUTE(SUBSTITUTE(SUBSTITUTE(SUBSTITUTE(SUBSTITUTE(SUBSTITUTE(SUBSTITUTE(SUBSTITUTE(B144," ","_"),"(","_"),")","_"),".","_"),",","_"),"/","_"),"-","_"),"&amp;","_"),"Á","A"),"É","E"),"Í","I"),"Ó","O"),"Ú","U"),"Ñ","N"))</formula1>
    </dataValidation>
    <dataValidation sqref="C14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INDIRECT("PROV_"&amp;SUBSTITUTE(SUBSTITUTE(SUBSTITUTE(SUBSTITUTE(SUBSTITUTE(SUBSTITUTE(SUBSTITUTE(SUBSTITUTE(SUBSTITUTE(SUBSTITUTE(SUBSTITUTE(SUBSTITUTE(SUBSTITUTE(SUBSTITUTE(B145," ","_"),"(","_"),")","_"),".","_"),",","_"),"/","_"),"-","_"),"&amp;","_"),"Á","A"),"É","E"),"Í","I"),"Ó","O"),"Ú","U"),"Ñ","N"))</formula1>
    </dataValidation>
    <dataValidation sqref="C14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INDIRECT("PROV_"&amp;SUBSTITUTE(SUBSTITUTE(SUBSTITUTE(SUBSTITUTE(SUBSTITUTE(SUBSTITUTE(SUBSTITUTE(SUBSTITUTE(SUBSTITUTE(SUBSTITUTE(SUBSTITUTE(SUBSTITUTE(SUBSTITUTE(SUBSTITUTE(B146," ","_"),"(","_"),")","_"),".","_"),",","_"),"/","_"),"-","_"),"&amp;","_"),"Á","A"),"É","E"),"Í","I"),"Ó","O"),"Ú","U"),"Ñ","N"))</formula1>
    </dataValidation>
    <dataValidation sqref="C14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INDIRECT("PROV_"&amp;SUBSTITUTE(SUBSTITUTE(SUBSTITUTE(SUBSTITUTE(SUBSTITUTE(SUBSTITUTE(SUBSTITUTE(SUBSTITUTE(SUBSTITUTE(SUBSTITUTE(SUBSTITUTE(SUBSTITUTE(SUBSTITUTE(SUBSTITUTE(B147," ","_"),"(","_"),")","_"),".","_"),",","_"),"/","_"),"-","_"),"&amp;","_"),"Á","A"),"É","E"),"Í","I"),"Ó","O"),"Ú","U"),"Ñ","N"))</formula1>
    </dataValidation>
    <dataValidation sqref="C14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INDIRECT("PROV_"&amp;SUBSTITUTE(SUBSTITUTE(SUBSTITUTE(SUBSTITUTE(SUBSTITUTE(SUBSTITUTE(SUBSTITUTE(SUBSTITUTE(SUBSTITUTE(SUBSTITUTE(SUBSTITUTE(SUBSTITUTE(SUBSTITUTE(SUBSTITUTE(B148," ","_"),"(","_"),")","_"),".","_"),",","_"),"/","_"),"-","_"),"&amp;","_"),"Á","A"),"É","E"),"Í","I"),"Ó","O"),"Ú","U"),"Ñ","N"))</formula1>
    </dataValidation>
    <dataValidation sqref="C14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INDIRECT("PROV_"&amp;SUBSTITUTE(SUBSTITUTE(SUBSTITUTE(SUBSTITUTE(SUBSTITUTE(SUBSTITUTE(SUBSTITUTE(SUBSTITUTE(SUBSTITUTE(SUBSTITUTE(SUBSTITUTE(SUBSTITUTE(SUBSTITUTE(SUBSTITUTE(B149," ","_"),"(","_"),")","_"),".","_"),",","_"),"/","_"),"-","_"),"&amp;","_"),"Á","A"),"É","E"),"Í","I"),"Ó","O"),"Ú","U"),"Ñ","N"))</formula1>
    </dataValidation>
    <dataValidation sqref="C15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INDIRECT("PROV_"&amp;SUBSTITUTE(SUBSTITUTE(SUBSTITUTE(SUBSTITUTE(SUBSTITUTE(SUBSTITUTE(SUBSTITUTE(SUBSTITUTE(SUBSTITUTE(SUBSTITUTE(SUBSTITUTE(SUBSTITUTE(SUBSTITUTE(SUBSTITUTE(B150," ","_"),"(","_"),")","_"),".","_"),",","_"),"/","_"),"-","_"),"&amp;","_"),"Á","A"),"É","E"),"Í","I"),"Ó","O"),"Ú","U"),"Ñ","N"))</formula1>
    </dataValidation>
    <dataValidation sqref="C15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INDIRECT("PROV_"&amp;SUBSTITUTE(SUBSTITUTE(SUBSTITUTE(SUBSTITUTE(SUBSTITUTE(SUBSTITUTE(SUBSTITUTE(SUBSTITUTE(SUBSTITUTE(SUBSTITUTE(SUBSTITUTE(SUBSTITUTE(SUBSTITUTE(SUBSTITUTE(B151," ","_"),"(","_"),")","_"),".","_"),",","_"),"/","_"),"-","_"),"&amp;","_"),"Á","A"),"É","E"),"Í","I"),"Ó","O"),"Ú","U"),"Ñ","N"))</formula1>
    </dataValidation>
    <dataValidation sqref="C15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INDIRECT("PROV_"&amp;SUBSTITUTE(SUBSTITUTE(SUBSTITUTE(SUBSTITUTE(SUBSTITUTE(SUBSTITUTE(SUBSTITUTE(SUBSTITUTE(SUBSTITUTE(SUBSTITUTE(SUBSTITUTE(SUBSTITUTE(SUBSTITUTE(SUBSTITUTE(B152," ","_"),"(","_"),")","_"),".","_"),",","_"),"/","_"),"-","_"),"&amp;","_"),"Á","A"),"É","E"),"Í","I"),"Ó","O"),"Ú","U"),"Ñ","N"))</formula1>
    </dataValidation>
    <dataValidation sqref="C15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INDIRECT("PROV_"&amp;SUBSTITUTE(SUBSTITUTE(SUBSTITUTE(SUBSTITUTE(SUBSTITUTE(SUBSTITUTE(SUBSTITUTE(SUBSTITUTE(SUBSTITUTE(SUBSTITUTE(SUBSTITUTE(SUBSTITUTE(SUBSTITUTE(SUBSTITUTE(B153," ","_"),"(","_"),")","_"),".","_"),",","_"),"/","_"),"-","_"),"&amp;","_"),"Á","A"),"É","E"),"Í","I"),"Ó","O"),"Ú","U"),"Ñ","N"))</formula1>
    </dataValidation>
    <dataValidation sqref="C15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INDIRECT("PROV_"&amp;SUBSTITUTE(SUBSTITUTE(SUBSTITUTE(SUBSTITUTE(SUBSTITUTE(SUBSTITUTE(SUBSTITUTE(SUBSTITUTE(SUBSTITUTE(SUBSTITUTE(SUBSTITUTE(SUBSTITUTE(SUBSTITUTE(SUBSTITUTE(B154," ","_"),"(","_"),")","_"),".","_"),",","_"),"/","_"),"-","_"),"&amp;","_"),"Á","A"),"É","E"),"Í","I"),"Ó","O"),"Ú","U"),"Ñ","N"))</formula1>
    </dataValidation>
    <dataValidation sqref="C15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INDIRECT("PROV_"&amp;SUBSTITUTE(SUBSTITUTE(SUBSTITUTE(SUBSTITUTE(SUBSTITUTE(SUBSTITUTE(SUBSTITUTE(SUBSTITUTE(SUBSTITUTE(SUBSTITUTE(SUBSTITUTE(SUBSTITUTE(SUBSTITUTE(SUBSTITUTE(B155," ","_"),"(","_"),")","_"),".","_"),",","_"),"/","_"),"-","_"),"&amp;","_"),"Á","A"),"É","E"),"Í","I"),"Ó","O"),"Ú","U"),"Ñ","N"))</formula1>
    </dataValidation>
    <dataValidation sqref="C15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INDIRECT("PROV_"&amp;SUBSTITUTE(SUBSTITUTE(SUBSTITUTE(SUBSTITUTE(SUBSTITUTE(SUBSTITUTE(SUBSTITUTE(SUBSTITUTE(SUBSTITUTE(SUBSTITUTE(SUBSTITUTE(SUBSTITUTE(SUBSTITUTE(SUBSTITUTE(B156," ","_"),"(","_"),")","_"),".","_"),",","_"),"/","_"),"-","_"),"&amp;","_"),"Á","A"),"É","E"),"Í","I"),"Ó","O"),"Ú","U"),"Ñ","N"))</formula1>
    </dataValidation>
    <dataValidation sqref="C15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INDIRECT("PROV_"&amp;SUBSTITUTE(SUBSTITUTE(SUBSTITUTE(SUBSTITUTE(SUBSTITUTE(SUBSTITUTE(SUBSTITUTE(SUBSTITUTE(SUBSTITUTE(SUBSTITUTE(SUBSTITUTE(SUBSTITUTE(SUBSTITUTE(SUBSTITUTE(B157," ","_"),"(","_"),")","_"),".","_"),",","_"),"/","_"),"-","_"),"&amp;","_"),"Á","A"),"É","E"),"Í","I"),"Ó","O"),"Ú","U"),"Ñ","N"))</formula1>
    </dataValidation>
    <dataValidation sqref="C15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INDIRECT("PROV_"&amp;SUBSTITUTE(SUBSTITUTE(SUBSTITUTE(SUBSTITUTE(SUBSTITUTE(SUBSTITUTE(SUBSTITUTE(SUBSTITUTE(SUBSTITUTE(SUBSTITUTE(SUBSTITUTE(SUBSTITUTE(SUBSTITUTE(SUBSTITUTE(B158," ","_"),"(","_"),")","_"),".","_"),",","_"),"/","_"),"-","_"),"&amp;","_"),"Á","A"),"É","E"),"Í","I"),"Ó","O"),"Ú","U"),"Ñ","N"))</formula1>
    </dataValidation>
    <dataValidation sqref="C15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INDIRECT("PROV_"&amp;SUBSTITUTE(SUBSTITUTE(SUBSTITUTE(SUBSTITUTE(SUBSTITUTE(SUBSTITUTE(SUBSTITUTE(SUBSTITUTE(SUBSTITUTE(SUBSTITUTE(SUBSTITUTE(SUBSTITUTE(SUBSTITUTE(SUBSTITUTE(B159," ","_"),"(","_"),")","_"),".","_"),",","_"),"/","_"),"-","_"),"&amp;","_"),"Á","A"),"É","E"),"Í","I"),"Ó","O"),"Ú","U"),"Ñ","N"))</formula1>
    </dataValidation>
    <dataValidation sqref="C16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INDIRECT("PROV_"&amp;SUBSTITUTE(SUBSTITUTE(SUBSTITUTE(SUBSTITUTE(SUBSTITUTE(SUBSTITUTE(SUBSTITUTE(SUBSTITUTE(SUBSTITUTE(SUBSTITUTE(SUBSTITUTE(SUBSTITUTE(SUBSTITUTE(SUBSTITUTE(B160," ","_"),"(","_"),")","_"),".","_"),",","_"),"/","_"),"-","_"),"&amp;","_"),"Á","A"),"É","E"),"Í","I"),"Ó","O"),"Ú","U"),"Ñ","N"))</formula1>
    </dataValidation>
    <dataValidation sqref="C16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INDIRECT("PROV_"&amp;SUBSTITUTE(SUBSTITUTE(SUBSTITUTE(SUBSTITUTE(SUBSTITUTE(SUBSTITUTE(SUBSTITUTE(SUBSTITUTE(SUBSTITUTE(SUBSTITUTE(SUBSTITUTE(SUBSTITUTE(SUBSTITUTE(SUBSTITUTE(B161," ","_"),"(","_"),")","_"),".","_"),",","_"),"/","_"),"-","_"),"&amp;","_"),"Á","A"),"É","E"),"Í","I"),"Ó","O"),"Ú","U"),"Ñ","N"))</formula1>
    </dataValidation>
    <dataValidation sqref="C16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INDIRECT("PROV_"&amp;SUBSTITUTE(SUBSTITUTE(SUBSTITUTE(SUBSTITUTE(SUBSTITUTE(SUBSTITUTE(SUBSTITUTE(SUBSTITUTE(SUBSTITUTE(SUBSTITUTE(SUBSTITUTE(SUBSTITUTE(SUBSTITUTE(SUBSTITUTE(B162," ","_"),"(","_"),")","_"),".","_"),",","_"),"/","_"),"-","_"),"&amp;","_"),"Á","A"),"É","E"),"Í","I"),"Ó","O"),"Ú","U"),"Ñ","N"))</formula1>
    </dataValidation>
    <dataValidation sqref="C16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INDIRECT("PROV_"&amp;SUBSTITUTE(SUBSTITUTE(SUBSTITUTE(SUBSTITUTE(SUBSTITUTE(SUBSTITUTE(SUBSTITUTE(SUBSTITUTE(SUBSTITUTE(SUBSTITUTE(SUBSTITUTE(SUBSTITUTE(SUBSTITUTE(SUBSTITUTE(B163," ","_"),"(","_"),")","_"),".","_"),",","_"),"/","_"),"-","_"),"&amp;","_"),"Á","A"),"É","E"),"Í","I"),"Ó","O"),"Ú","U"),"Ñ","N"))</formula1>
    </dataValidation>
    <dataValidation sqref="C16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INDIRECT("PROV_"&amp;SUBSTITUTE(SUBSTITUTE(SUBSTITUTE(SUBSTITUTE(SUBSTITUTE(SUBSTITUTE(SUBSTITUTE(SUBSTITUTE(SUBSTITUTE(SUBSTITUTE(SUBSTITUTE(SUBSTITUTE(SUBSTITUTE(SUBSTITUTE(B164," ","_"),"(","_"),")","_"),".","_"),",","_"),"/","_"),"-","_"),"&amp;","_"),"Á","A"),"É","E"),"Í","I"),"Ó","O"),"Ú","U"),"Ñ","N"))</formula1>
    </dataValidation>
    <dataValidation sqref="C16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INDIRECT("PROV_"&amp;SUBSTITUTE(SUBSTITUTE(SUBSTITUTE(SUBSTITUTE(SUBSTITUTE(SUBSTITUTE(SUBSTITUTE(SUBSTITUTE(SUBSTITUTE(SUBSTITUTE(SUBSTITUTE(SUBSTITUTE(SUBSTITUTE(SUBSTITUTE(B165," ","_"),"(","_"),")","_"),".","_"),",","_"),"/","_"),"-","_"),"&amp;","_"),"Á","A"),"É","E"),"Í","I"),"Ó","O"),"Ú","U"),"Ñ","N"))</formula1>
    </dataValidation>
    <dataValidation sqref="C16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INDIRECT("PROV_"&amp;SUBSTITUTE(SUBSTITUTE(SUBSTITUTE(SUBSTITUTE(SUBSTITUTE(SUBSTITUTE(SUBSTITUTE(SUBSTITUTE(SUBSTITUTE(SUBSTITUTE(SUBSTITUTE(SUBSTITUTE(SUBSTITUTE(SUBSTITUTE(B166," ","_"),"(","_"),")","_"),".","_"),",","_"),"/","_"),"-","_"),"&amp;","_"),"Á","A"),"É","E"),"Í","I"),"Ó","O"),"Ú","U"),"Ñ","N"))</formula1>
    </dataValidation>
    <dataValidation sqref="C16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INDIRECT("PROV_"&amp;SUBSTITUTE(SUBSTITUTE(SUBSTITUTE(SUBSTITUTE(SUBSTITUTE(SUBSTITUTE(SUBSTITUTE(SUBSTITUTE(SUBSTITUTE(SUBSTITUTE(SUBSTITUTE(SUBSTITUTE(SUBSTITUTE(SUBSTITUTE(B167," ","_"),"(","_"),")","_"),".","_"),",","_"),"/","_"),"-","_"),"&amp;","_"),"Á","A"),"É","E"),"Í","I"),"Ó","O"),"Ú","U"),"Ñ","N"))</formula1>
    </dataValidation>
    <dataValidation sqref="C16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INDIRECT("PROV_"&amp;SUBSTITUTE(SUBSTITUTE(SUBSTITUTE(SUBSTITUTE(SUBSTITUTE(SUBSTITUTE(SUBSTITUTE(SUBSTITUTE(SUBSTITUTE(SUBSTITUTE(SUBSTITUTE(SUBSTITUTE(SUBSTITUTE(SUBSTITUTE(B168," ","_"),"(","_"),")","_"),".","_"),",","_"),"/","_"),"-","_"),"&amp;","_"),"Á","A"),"É","E"),"Í","I"),"Ó","O"),"Ú","U"),"Ñ","N"))</formula1>
    </dataValidation>
    <dataValidation sqref="C16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INDIRECT("PROV_"&amp;SUBSTITUTE(SUBSTITUTE(SUBSTITUTE(SUBSTITUTE(SUBSTITUTE(SUBSTITUTE(SUBSTITUTE(SUBSTITUTE(SUBSTITUTE(SUBSTITUTE(SUBSTITUTE(SUBSTITUTE(SUBSTITUTE(SUBSTITUTE(B169," ","_"),"(","_"),")","_"),".","_"),",","_"),"/","_"),"-","_"),"&amp;","_"),"Á","A"),"É","E"),"Í","I"),"Ó","O"),"Ú","U"),"Ñ","N"))</formula1>
    </dataValidation>
    <dataValidation sqref="C17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INDIRECT("PROV_"&amp;SUBSTITUTE(SUBSTITUTE(SUBSTITUTE(SUBSTITUTE(SUBSTITUTE(SUBSTITUTE(SUBSTITUTE(SUBSTITUTE(SUBSTITUTE(SUBSTITUTE(SUBSTITUTE(SUBSTITUTE(SUBSTITUTE(SUBSTITUTE(B170," ","_"),"(","_"),")","_"),".","_"),",","_"),"/","_"),"-","_"),"&amp;","_"),"Á","A"),"É","E"),"Í","I"),"Ó","O"),"Ú","U"),"Ñ","N"))</formula1>
    </dataValidation>
    <dataValidation sqref="C17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INDIRECT("PROV_"&amp;SUBSTITUTE(SUBSTITUTE(SUBSTITUTE(SUBSTITUTE(SUBSTITUTE(SUBSTITUTE(SUBSTITUTE(SUBSTITUTE(SUBSTITUTE(SUBSTITUTE(SUBSTITUTE(SUBSTITUTE(SUBSTITUTE(SUBSTITUTE(B171," ","_"),"(","_"),")","_"),".","_"),",","_"),"/","_"),"-","_"),"&amp;","_"),"Á","A"),"É","E"),"Í","I"),"Ó","O"),"Ú","U"),"Ñ","N"))</formula1>
    </dataValidation>
    <dataValidation sqref="C17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INDIRECT("PROV_"&amp;SUBSTITUTE(SUBSTITUTE(SUBSTITUTE(SUBSTITUTE(SUBSTITUTE(SUBSTITUTE(SUBSTITUTE(SUBSTITUTE(SUBSTITUTE(SUBSTITUTE(SUBSTITUTE(SUBSTITUTE(SUBSTITUTE(SUBSTITUTE(B172," ","_"),"(","_"),")","_"),".","_"),",","_"),"/","_"),"-","_"),"&amp;","_"),"Á","A"),"É","E"),"Í","I"),"Ó","O"),"Ú","U"),"Ñ","N"))</formula1>
    </dataValidation>
    <dataValidation sqref="C17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INDIRECT("PROV_"&amp;SUBSTITUTE(SUBSTITUTE(SUBSTITUTE(SUBSTITUTE(SUBSTITUTE(SUBSTITUTE(SUBSTITUTE(SUBSTITUTE(SUBSTITUTE(SUBSTITUTE(SUBSTITUTE(SUBSTITUTE(SUBSTITUTE(SUBSTITUTE(B173," ","_"),"(","_"),")","_"),".","_"),",","_"),"/","_"),"-","_"),"&amp;","_"),"Á","A"),"É","E"),"Í","I"),"Ó","O"),"Ú","U"),"Ñ","N"))</formula1>
    </dataValidation>
    <dataValidation sqref="C17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INDIRECT("PROV_"&amp;SUBSTITUTE(SUBSTITUTE(SUBSTITUTE(SUBSTITUTE(SUBSTITUTE(SUBSTITUTE(SUBSTITUTE(SUBSTITUTE(SUBSTITUTE(SUBSTITUTE(SUBSTITUTE(SUBSTITUTE(SUBSTITUTE(SUBSTITUTE(B174," ","_"),"(","_"),")","_"),".","_"),",","_"),"/","_"),"-","_"),"&amp;","_"),"Á","A"),"É","E"),"Í","I"),"Ó","O"),"Ú","U"),"Ñ","N"))</formula1>
    </dataValidation>
    <dataValidation sqref="C17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INDIRECT("PROV_"&amp;SUBSTITUTE(SUBSTITUTE(SUBSTITUTE(SUBSTITUTE(SUBSTITUTE(SUBSTITUTE(SUBSTITUTE(SUBSTITUTE(SUBSTITUTE(SUBSTITUTE(SUBSTITUTE(SUBSTITUTE(SUBSTITUTE(SUBSTITUTE(B175," ","_"),"(","_"),")","_"),".","_"),",","_"),"/","_"),"-","_"),"&amp;","_"),"Á","A"),"É","E"),"Í","I"),"Ó","O"),"Ú","U"),"Ñ","N"))</formula1>
    </dataValidation>
    <dataValidation sqref="C17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INDIRECT("PROV_"&amp;SUBSTITUTE(SUBSTITUTE(SUBSTITUTE(SUBSTITUTE(SUBSTITUTE(SUBSTITUTE(SUBSTITUTE(SUBSTITUTE(SUBSTITUTE(SUBSTITUTE(SUBSTITUTE(SUBSTITUTE(SUBSTITUTE(SUBSTITUTE(B176," ","_"),"(","_"),")","_"),".","_"),",","_"),"/","_"),"-","_"),"&amp;","_"),"Á","A"),"É","E"),"Í","I"),"Ó","O"),"Ú","U"),"Ñ","N"))</formula1>
    </dataValidation>
    <dataValidation sqref="C17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INDIRECT("PROV_"&amp;SUBSTITUTE(SUBSTITUTE(SUBSTITUTE(SUBSTITUTE(SUBSTITUTE(SUBSTITUTE(SUBSTITUTE(SUBSTITUTE(SUBSTITUTE(SUBSTITUTE(SUBSTITUTE(SUBSTITUTE(SUBSTITUTE(SUBSTITUTE(B177," ","_"),"(","_"),")","_"),".","_"),",","_"),"/","_"),"-","_"),"&amp;","_"),"Á","A"),"É","E"),"Í","I"),"Ó","O"),"Ú","U"),"Ñ","N"))</formula1>
    </dataValidation>
    <dataValidation sqref="C17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INDIRECT("PROV_"&amp;SUBSTITUTE(SUBSTITUTE(SUBSTITUTE(SUBSTITUTE(SUBSTITUTE(SUBSTITUTE(SUBSTITUTE(SUBSTITUTE(SUBSTITUTE(SUBSTITUTE(SUBSTITUTE(SUBSTITUTE(SUBSTITUTE(SUBSTITUTE(B178," ","_"),"(","_"),")","_"),".","_"),",","_"),"/","_"),"-","_"),"&amp;","_"),"Á","A"),"É","E"),"Í","I"),"Ó","O"),"Ú","U"),"Ñ","N"))</formula1>
    </dataValidation>
    <dataValidation sqref="C17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INDIRECT("PROV_"&amp;SUBSTITUTE(SUBSTITUTE(SUBSTITUTE(SUBSTITUTE(SUBSTITUTE(SUBSTITUTE(SUBSTITUTE(SUBSTITUTE(SUBSTITUTE(SUBSTITUTE(SUBSTITUTE(SUBSTITUTE(SUBSTITUTE(SUBSTITUTE(B179," ","_"),"(","_"),")","_"),".","_"),",","_"),"/","_"),"-","_"),"&amp;","_"),"Á","A"),"É","E"),"Í","I"),"Ó","O"),"Ú","U"),"Ñ","N"))</formula1>
    </dataValidation>
    <dataValidation sqref="C18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INDIRECT("PROV_"&amp;SUBSTITUTE(SUBSTITUTE(SUBSTITUTE(SUBSTITUTE(SUBSTITUTE(SUBSTITUTE(SUBSTITUTE(SUBSTITUTE(SUBSTITUTE(SUBSTITUTE(SUBSTITUTE(SUBSTITUTE(SUBSTITUTE(SUBSTITUTE(B180," ","_"),"(","_"),")","_"),".","_"),",","_"),"/","_"),"-","_"),"&amp;","_"),"Á","A"),"É","E"),"Í","I"),"Ó","O"),"Ú","U"),"Ñ","N"))</formula1>
    </dataValidation>
    <dataValidation sqref="C18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INDIRECT("PROV_"&amp;SUBSTITUTE(SUBSTITUTE(SUBSTITUTE(SUBSTITUTE(SUBSTITUTE(SUBSTITUTE(SUBSTITUTE(SUBSTITUTE(SUBSTITUTE(SUBSTITUTE(SUBSTITUTE(SUBSTITUTE(SUBSTITUTE(SUBSTITUTE(B181," ","_"),"(","_"),")","_"),".","_"),",","_"),"/","_"),"-","_"),"&amp;","_"),"Á","A"),"É","E"),"Í","I"),"Ó","O"),"Ú","U"),"Ñ","N"))</formula1>
    </dataValidation>
    <dataValidation sqref="C18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INDIRECT("PROV_"&amp;SUBSTITUTE(SUBSTITUTE(SUBSTITUTE(SUBSTITUTE(SUBSTITUTE(SUBSTITUTE(SUBSTITUTE(SUBSTITUTE(SUBSTITUTE(SUBSTITUTE(SUBSTITUTE(SUBSTITUTE(SUBSTITUTE(SUBSTITUTE(B182," ","_"),"(","_"),")","_"),".","_"),",","_"),"/","_"),"-","_"),"&amp;","_"),"Á","A"),"É","E"),"Í","I"),"Ó","O"),"Ú","U"),"Ñ","N"))</formula1>
    </dataValidation>
    <dataValidation sqref="C18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INDIRECT("PROV_"&amp;SUBSTITUTE(SUBSTITUTE(SUBSTITUTE(SUBSTITUTE(SUBSTITUTE(SUBSTITUTE(SUBSTITUTE(SUBSTITUTE(SUBSTITUTE(SUBSTITUTE(SUBSTITUTE(SUBSTITUTE(SUBSTITUTE(SUBSTITUTE(B183," ","_"),"(","_"),")","_"),".","_"),",","_"),"/","_"),"-","_"),"&amp;","_"),"Á","A"),"É","E"),"Í","I"),"Ó","O"),"Ú","U"),"Ñ","N"))</formula1>
    </dataValidation>
    <dataValidation sqref="C18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INDIRECT("PROV_"&amp;SUBSTITUTE(SUBSTITUTE(SUBSTITUTE(SUBSTITUTE(SUBSTITUTE(SUBSTITUTE(SUBSTITUTE(SUBSTITUTE(SUBSTITUTE(SUBSTITUTE(SUBSTITUTE(SUBSTITUTE(SUBSTITUTE(SUBSTITUTE(B184," ","_"),"(","_"),")","_"),".","_"),",","_"),"/","_"),"-","_"),"&amp;","_"),"Á","A"),"É","E"),"Í","I"),"Ó","O"),"Ú","U"),"Ñ","N"))</formula1>
    </dataValidation>
    <dataValidation sqref="C18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INDIRECT("PROV_"&amp;SUBSTITUTE(SUBSTITUTE(SUBSTITUTE(SUBSTITUTE(SUBSTITUTE(SUBSTITUTE(SUBSTITUTE(SUBSTITUTE(SUBSTITUTE(SUBSTITUTE(SUBSTITUTE(SUBSTITUTE(SUBSTITUTE(SUBSTITUTE(B185," ","_"),"(","_"),")","_"),".","_"),",","_"),"/","_"),"-","_"),"&amp;","_"),"Á","A"),"É","E"),"Í","I"),"Ó","O"),"Ú","U"),"Ñ","N"))</formula1>
    </dataValidation>
    <dataValidation sqref="C18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INDIRECT("PROV_"&amp;SUBSTITUTE(SUBSTITUTE(SUBSTITUTE(SUBSTITUTE(SUBSTITUTE(SUBSTITUTE(SUBSTITUTE(SUBSTITUTE(SUBSTITUTE(SUBSTITUTE(SUBSTITUTE(SUBSTITUTE(SUBSTITUTE(SUBSTITUTE(B186," ","_"),"(","_"),")","_"),".","_"),",","_"),"/","_"),"-","_"),"&amp;","_"),"Á","A"),"É","E"),"Í","I"),"Ó","O"),"Ú","U"),"Ñ","N"))</formula1>
    </dataValidation>
    <dataValidation sqref="C18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INDIRECT("PROV_"&amp;SUBSTITUTE(SUBSTITUTE(SUBSTITUTE(SUBSTITUTE(SUBSTITUTE(SUBSTITUTE(SUBSTITUTE(SUBSTITUTE(SUBSTITUTE(SUBSTITUTE(SUBSTITUTE(SUBSTITUTE(SUBSTITUTE(SUBSTITUTE(B187," ","_"),"(","_"),")","_"),".","_"),",","_"),"/","_"),"-","_"),"&amp;","_"),"Á","A"),"É","E"),"Í","I"),"Ó","O"),"Ú","U"),"Ñ","N"))</formula1>
    </dataValidation>
    <dataValidation sqref="C18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INDIRECT("PROV_"&amp;SUBSTITUTE(SUBSTITUTE(SUBSTITUTE(SUBSTITUTE(SUBSTITUTE(SUBSTITUTE(SUBSTITUTE(SUBSTITUTE(SUBSTITUTE(SUBSTITUTE(SUBSTITUTE(SUBSTITUTE(SUBSTITUTE(SUBSTITUTE(B188," ","_"),"(","_"),")","_"),".","_"),",","_"),"/","_"),"-","_"),"&amp;","_"),"Á","A"),"É","E"),"Í","I"),"Ó","O"),"Ú","U"),"Ñ","N"))</formula1>
    </dataValidation>
    <dataValidation sqref="C18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INDIRECT("PROV_"&amp;SUBSTITUTE(SUBSTITUTE(SUBSTITUTE(SUBSTITUTE(SUBSTITUTE(SUBSTITUTE(SUBSTITUTE(SUBSTITUTE(SUBSTITUTE(SUBSTITUTE(SUBSTITUTE(SUBSTITUTE(SUBSTITUTE(SUBSTITUTE(B189," ","_"),"(","_"),")","_"),".","_"),",","_"),"/","_"),"-","_"),"&amp;","_"),"Á","A"),"É","E"),"Í","I"),"Ó","O"),"Ú","U"),"Ñ","N"))</formula1>
    </dataValidation>
    <dataValidation sqref="C19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INDIRECT("PROV_"&amp;SUBSTITUTE(SUBSTITUTE(SUBSTITUTE(SUBSTITUTE(SUBSTITUTE(SUBSTITUTE(SUBSTITUTE(SUBSTITUTE(SUBSTITUTE(SUBSTITUTE(SUBSTITUTE(SUBSTITUTE(SUBSTITUTE(SUBSTITUTE(B190," ","_"),"(","_"),")","_"),".","_"),",","_"),"/","_"),"-","_"),"&amp;","_"),"Á","A"),"É","E"),"Í","I"),"Ó","O"),"Ú","U"),"Ñ","N"))</formula1>
    </dataValidation>
    <dataValidation sqref="C19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INDIRECT("PROV_"&amp;SUBSTITUTE(SUBSTITUTE(SUBSTITUTE(SUBSTITUTE(SUBSTITUTE(SUBSTITUTE(SUBSTITUTE(SUBSTITUTE(SUBSTITUTE(SUBSTITUTE(SUBSTITUTE(SUBSTITUTE(SUBSTITUTE(SUBSTITUTE(B191," ","_"),"(","_"),")","_"),".","_"),",","_"),"/","_"),"-","_"),"&amp;","_"),"Á","A"),"É","E"),"Í","I"),"Ó","O"),"Ú","U"),"Ñ","N"))</formula1>
    </dataValidation>
    <dataValidation sqref="C19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INDIRECT("PROV_"&amp;SUBSTITUTE(SUBSTITUTE(SUBSTITUTE(SUBSTITUTE(SUBSTITUTE(SUBSTITUTE(SUBSTITUTE(SUBSTITUTE(SUBSTITUTE(SUBSTITUTE(SUBSTITUTE(SUBSTITUTE(SUBSTITUTE(SUBSTITUTE(B192," ","_"),"(","_"),")","_"),".","_"),",","_"),"/","_"),"-","_"),"&amp;","_"),"Á","A"),"É","E"),"Í","I"),"Ó","O"),"Ú","U"),"Ñ","N"))</formula1>
    </dataValidation>
    <dataValidation sqref="C19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INDIRECT("PROV_"&amp;SUBSTITUTE(SUBSTITUTE(SUBSTITUTE(SUBSTITUTE(SUBSTITUTE(SUBSTITUTE(SUBSTITUTE(SUBSTITUTE(SUBSTITUTE(SUBSTITUTE(SUBSTITUTE(SUBSTITUTE(SUBSTITUTE(SUBSTITUTE(B193," ","_"),"(","_"),")","_"),".","_"),",","_"),"/","_"),"-","_"),"&amp;","_"),"Á","A"),"É","E"),"Í","I"),"Ó","O"),"Ú","U"),"Ñ","N"))</formula1>
    </dataValidation>
    <dataValidation sqref="C19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INDIRECT("PROV_"&amp;SUBSTITUTE(SUBSTITUTE(SUBSTITUTE(SUBSTITUTE(SUBSTITUTE(SUBSTITUTE(SUBSTITUTE(SUBSTITUTE(SUBSTITUTE(SUBSTITUTE(SUBSTITUTE(SUBSTITUTE(SUBSTITUTE(SUBSTITUTE(B194," ","_"),"(","_"),")","_"),".","_"),",","_"),"/","_"),"-","_"),"&amp;","_"),"Á","A"),"É","E"),"Í","I"),"Ó","O"),"Ú","U"),"Ñ","N"))</formula1>
    </dataValidation>
    <dataValidation sqref="C19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INDIRECT("PROV_"&amp;SUBSTITUTE(SUBSTITUTE(SUBSTITUTE(SUBSTITUTE(SUBSTITUTE(SUBSTITUTE(SUBSTITUTE(SUBSTITUTE(SUBSTITUTE(SUBSTITUTE(SUBSTITUTE(SUBSTITUTE(SUBSTITUTE(SUBSTITUTE(B195," ","_"),"(","_"),")","_"),".","_"),",","_"),"/","_"),"-","_"),"&amp;","_"),"Á","A"),"É","E"),"Í","I"),"Ó","O"),"Ú","U"),"Ñ","N"))</formula1>
    </dataValidation>
    <dataValidation sqref="C19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INDIRECT("PROV_"&amp;SUBSTITUTE(SUBSTITUTE(SUBSTITUTE(SUBSTITUTE(SUBSTITUTE(SUBSTITUTE(SUBSTITUTE(SUBSTITUTE(SUBSTITUTE(SUBSTITUTE(SUBSTITUTE(SUBSTITUTE(SUBSTITUTE(SUBSTITUTE(B196," ","_"),"(","_"),")","_"),".","_"),",","_"),"/","_"),"-","_"),"&amp;","_"),"Á","A"),"É","E"),"Í","I"),"Ó","O"),"Ú","U"),"Ñ","N"))</formula1>
    </dataValidation>
    <dataValidation sqref="C19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INDIRECT("PROV_"&amp;SUBSTITUTE(SUBSTITUTE(SUBSTITUTE(SUBSTITUTE(SUBSTITUTE(SUBSTITUTE(SUBSTITUTE(SUBSTITUTE(SUBSTITUTE(SUBSTITUTE(SUBSTITUTE(SUBSTITUTE(SUBSTITUTE(SUBSTITUTE(B197," ","_"),"(","_"),")","_"),".","_"),",","_"),"/","_"),"-","_"),"&amp;","_"),"Á","A"),"É","E"),"Í","I"),"Ó","O"),"Ú","U"),"Ñ","N"))</formula1>
    </dataValidation>
    <dataValidation sqref="C19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INDIRECT("PROV_"&amp;SUBSTITUTE(SUBSTITUTE(SUBSTITUTE(SUBSTITUTE(SUBSTITUTE(SUBSTITUTE(SUBSTITUTE(SUBSTITUTE(SUBSTITUTE(SUBSTITUTE(SUBSTITUTE(SUBSTITUTE(SUBSTITUTE(SUBSTITUTE(B198," ","_"),"(","_"),")","_"),".","_"),",","_"),"/","_"),"-","_"),"&amp;","_"),"Á","A"),"É","E"),"Í","I"),"Ó","O"),"Ú","U"),"Ñ","N"))</formula1>
    </dataValidation>
    <dataValidation sqref="C19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INDIRECT("PROV_"&amp;SUBSTITUTE(SUBSTITUTE(SUBSTITUTE(SUBSTITUTE(SUBSTITUTE(SUBSTITUTE(SUBSTITUTE(SUBSTITUTE(SUBSTITUTE(SUBSTITUTE(SUBSTITUTE(SUBSTITUTE(SUBSTITUTE(SUBSTITUTE(B199," ","_"),"(","_"),")","_"),".","_"),",","_"),"/","_"),"-","_"),"&amp;","_"),"Á","A"),"É","E"),"Í","I"),"Ó","O"),"Ú","U"),"Ñ","N"))</formula1>
    </dataValidation>
    <dataValidation sqref="C20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INDIRECT("PROV_"&amp;SUBSTITUTE(SUBSTITUTE(SUBSTITUTE(SUBSTITUTE(SUBSTITUTE(SUBSTITUTE(SUBSTITUTE(SUBSTITUTE(SUBSTITUTE(SUBSTITUTE(SUBSTITUTE(SUBSTITUTE(SUBSTITUTE(SUBSTITUTE(B200," ","_"),"(","_"),")","_"),".","_"),",","_"),"/","_"),"-","_"),"&amp;","_"),"Á","A"),"É","E"),"Í","I"),"Ó","O"),"Ú","U"),"Ñ","N"))</formula1>
    </dataValidation>
    <dataValidation sqref="C20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INDIRECT("PROV_"&amp;SUBSTITUTE(SUBSTITUTE(SUBSTITUTE(SUBSTITUTE(SUBSTITUTE(SUBSTITUTE(SUBSTITUTE(SUBSTITUTE(SUBSTITUTE(SUBSTITUTE(SUBSTITUTE(SUBSTITUTE(SUBSTITUTE(SUBSTITUTE(B201," ","_"),"(","_"),")","_"),".","_"),",","_"),"/","_"),"-","_"),"&amp;","_"),"Á","A"),"É","E"),"Í","I"),"Ó","O"),"Ú","U"),"Ñ","N"))</formula1>
    </dataValidation>
    <dataValidation sqref="C20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INDIRECT("PROV_"&amp;SUBSTITUTE(SUBSTITUTE(SUBSTITUTE(SUBSTITUTE(SUBSTITUTE(SUBSTITUTE(SUBSTITUTE(SUBSTITUTE(SUBSTITUTE(SUBSTITUTE(SUBSTITUTE(SUBSTITUTE(SUBSTITUTE(SUBSTITUTE(B202," ","_"),"(","_"),")","_"),".","_"),",","_"),"/","_"),"-","_"),"&amp;","_"),"Á","A"),"É","E"),"Í","I"),"Ó","O"),"Ú","U"),"Ñ","N"))</formula1>
    </dataValidation>
    <dataValidation sqref="C20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INDIRECT("PROV_"&amp;SUBSTITUTE(SUBSTITUTE(SUBSTITUTE(SUBSTITUTE(SUBSTITUTE(SUBSTITUTE(SUBSTITUTE(SUBSTITUTE(SUBSTITUTE(SUBSTITUTE(SUBSTITUTE(SUBSTITUTE(SUBSTITUTE(SUBSTITUTE(B203," ","_"),"(","_"),")","_"),".","_"),",","_"),"/","_"),"-","_"),"&amp;","_"),"Á","A"),"É","E"),"Í","I"),"Ó","O"),"Ú","U"),"Ñ","N"))</formula1>
    </dataValidation>
    <dataValidation sqref="C20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INDIRECT("PROV_"&amp;SUBSTITUTE(SUBSTITUTE(SUBSTITUTE(SUBSTITUTE(SUBSTITUTE(SUBSTITUTE(SUBSTITUTE(SUBSTITUTE(SUBSTITUTE(SUBSTITUTE(SUBSTITUTE(SUBSTITUTE(SUBSTITUTE(SUBSTITUTE(B204," ","_"),"(","_"),")","_"),".","_"),",","_"),"/","_"),"-","_"),"&amp;","_"),"Á","A"),"É","E"),"Í","I"),"Ó","O"),"Ú","U"),"Ñ","N"))</formula1>
    </dataValidation>
    <dataValidation sqref="C20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INDIRECT("PROV_"&amp;SUBSTITUTE(SUBSTITUTE(SUBSTITUTE(SUBSTITUTE(SUBSTITUTE(SUBSTITUTE(SUBSTITUTE(SUBSTITUTE(SUBSTITUTE(SUBSTITUTE(SUBSTITUTE(SUBSTITUTE(SUBSTITUTE(SUBSTITUTE(B205," ","_"),"(","_"),")","_"),".","_"),",","_"),"/","_"),"-","_"),"&amp;","_"),"Á","A"),"É","E"),"Í","I"),"Ó","O"),"Ú","U"),"Ñ","N"))</formula1>
    </dataValidation>
    <dataValidation sqref="C20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INDIRECT("PROV_"&amp;SUBSTITUTE(SUBSTITUTE(SUBSTITUTE(SUBSTITUTE(SUBSTITUTE(SUBSTITUTE(SUBSTITUTE(SUBSTITUTE(SUBSTITUTE(SUBSTITUTE(SUBSTITUTE(SUBSTITUTE(SUBSTITUTE(SUBSTITUTE(B206," ","_"),"(","_"),")","_"),".","_"),",","_"),"/","_"),"-","_"),"&amp;","_"),"Á","A"),"É","E"),"Í","I"),"Ó","O"),"Ú","U"),"Ñ","N"))</formula1>
    </dataValidation>
    <dataValidation sqref="C20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INDIRECT("PROV_"&amp;SUBSTITUTE(SUBSTITUTE(SUBSTITUTE(SUBSTITUTE(SUBSTITUTE(SUBSTITUTE(SUBSTITUTE(SUBSTITUTE(SUBSTITUTE(SUBSTITUTE(SUBSTITUTE(SUBSTITUTE(SUBSTITUTE(SUBSTITUTE(B207," ","_"),"(","_"),")","_"),".","_"),",","_"),"/","_"),"-","_"),"&amp;","_"),"Á","A"),"É","E"),"Í","I"),"Ó","O"),"Ú","U"),"Ñ","N"))</formula1>
    </dataValidation>
    <dataValidation sqref="C20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INDIRECT("PROV_"&amp;SUBSTITUTE(SUBSTITUTE(SUBSTITUTE(SUBSTITUTE(SUBSTITUTE(SUBSTITUTE(SUBSTITUTE(SUBSTITUTE(SUBSTITUTE(SUBSTITUTE(SUBSTITUTE(SUBSTITUTE(SUBSTITUTE(SUBSTITUTE(B208," ","_"),"(","_"),")","_"),".","_"),",","_"),"/","_"),"-","_"),"&amp;","_"),"Á","A"),"É","E"),"Í","I"),"Ó","O"),"Ú","U"),"Ñ","N"))</formula1>
    </dataValidation>
    <dataValidation sqref="C20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INDIRECT("PROV_"&amp;SUBSTITUTE(SUBSTITUTE(SUBSTITUTE(SUBSTITUTE(SUBSTITUTE(SUBSTITUTE(SUBSTITUTE(SUBSTITUTE(SUBSTITUTE(SUBSTITUTE(SUBSTITUTE(SUBSTITUTE(SUBSTITUTE(SUBSTITUTE(B209," ","_"),"(","_"),")","_"),".","_"),",","_"),"/","_"),"-","_"),"&amp;","_"),"Á","A"),"É","E"),"Í","I"),"Ó","O"),"Ú","U"),"Ñ","N"))</formula1>
    </dataValidation>
    <dataValidation sqref="C21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INDIRECT("PROV_"&amp;SUBSTITUTE(SUBSTITUTE(SUBSTITUTE(SUBSTITUTE(SUBSTITUTE(SUBSTITUTE(SUBSTITUTE(SUBSTITUTE(SUBSTITUTE(SUBSTITUTE(SUBSTITUTE(SUBSTITUTE(SUBSTITUTE(SUBSTITUTE(B210," ","_"),"(","_"),")","_"),".","_"),",","_"),"/","_"),"-","_"),"&amp;","_"),"Á","A"),"É","E"),"Í","I"),"Ó","O"),"Ú","U"),"Ñ","N"))</formula1>
    </dataValidation>
    <dataValidation sqref="C21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INDIRECT("PROV_"&amp;SUBSTITUTE(SUBSTITUTE(SUBSTITUTE(SUBSTITUTE(SUBSTITUTE(SUBSTITUTE(SUBSTITUTE(SUBSTITUTE(SUBSTITUTE(SUBSTITUTE(SUBSTITUTE(SUBSTITUTE(SUBSTITUTE(SUBSTITUTE(B211," ","_"),"(","_"),")","_"),".","_"),",","_"),"/","_"),"-","_"),"&amp;","_"),"Á","A"),"É","E"),"Í","I"),"Ó","O"),"Ú","U"),"Ñ","N"))</formula1>
    </dataValidation>
    <dataValidation sqref="C21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INDIRECT("PROV_"&amp;SUBSTITUTE(SUBSTITUTE(SUBSTITUTE(SUBSTITUTE(SUBSTITUTE(SUBSTITUTE(SUBSTITUTE(SUBSTITUTE(SUBSTITUTE(SUBSTITUTE(SUBSTITUTE(SUBSTITUTE(SUBSTITUTE(SUBSTITUTE(B212," ","_"),"(","_"),")","_"),".","_"),",","_"),"/","_"),"-","_"),"&amp;","_"),"Á","A"),"É","E"),"Í","I"),"Ó","O"),"Ú","U"),"Ñ","N"))</formula1>
    </dataValidation>
    <dataValidation sqref="C21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INDIRECT("PROV_"&amp;SUBSTITUTE(SUBSTITUTE(SUBSTITUTE(SUBSTITUTE(SUBSTITUTE(SUBSTITUTE(SUBSTITUTE(SUBSTITUTE(SUBSTITUTE(SUBSTITUTE(SUBSTITUTE(SUBSTITUTE(SUBSTITUTE(SUBSTITUTE(B213," ","_"),"(","_"),")","_"),".","_"),",","_"),"/","_"),"-","_"),"&amp;","_"),"Á","A"),"É","E"),"Í","I"),"Ó","O"),"Ú","U"),"Ñ","N"))</formula1>
    </dataValidation>
    <dataValidation sqref="C21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INDIRECT("PROV_"&amp;SUBSTITUTE(SUBSTITUTE(SUBSTITUTE(SUBSTITUTE(SUBSTITUTE(SUBSTITUTE(SUBSTITUTE(SUBSTITUTE(SUBSTITUTE(SUBSTITUTE(SUBSTITUTE(SUBSTITUTE(SUBSTITUTE(SUBSTITUTE(B214," ","_"),"(","_"),")","_"),".","_"),",","_"),"/","_"),"-","_"),"&amp;","_"),"Á","A"),"É","E"),"Í","I"),"Ó","O"),"Ú","U"),"Ñ","N"))</formula1>
    </dataValidation>
    <dataValidation sqref="C21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INDIRECT("PROV_"&amp;SUBSTITUTE(SUBSTITUTE(SUBSTITUTE(SUBSTITUTE(SUBSTITUTE(SUBSTITUTE(SUBSTITUTE(SUBSTITUTE(SUBSTITUTE(SUBSTITUTE(SUBSTITUTE(SUBSTITUTE(SUBSTITUTE(SUBSTITUTE(B215," ","_"),"(","_"),")","_"),".","_"),",","_"),"/","_"),"-","_"),"&amp;","_"),"Á","A"),"É","E"),"Í","I"),"Ó","O"),"Ú","U"),"Ñ","N"))</formula1>
    </dataValidation>
    <dataValidation sqref="C21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INDIRECT("PROV_"&amp;SUBSTITUTE(SUBSTITUTE(SUBSTITUTE(SUBSTITUTE(SUBSTITUTE(SUBSTITUTE(SUBSTITUTE(SUBSTITUTE(SUBSTITUTE(SUBSTITUTE(SUBSTITUTE(SUBSTITUTE(SUBSTITUTE(SUBSTITUTE(B216," ","_"),"(","_"),")","_"),".","_"),",","_"),"/","_"),"-","_"),"&amp;","_"),"Á","A"),"É","E"),"Í","I"),"Ó","O"),"Ú","U"),"Ñ","N"))</formula1>
    </dataValidation>
    <dataValidation sqref="C21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INDIRECT("PROV_"&amp;SUBSTITUTE(SUBSTITUTE(SUBSTITUTE(SUBSTITUTE(SUBSTITUTE(SUBSTITUTE(SUBSTITUTE(SUBSTITUTE(SUBSTITUTE(SUBSTITUTE(SUBSTITUTE(SUBSTITUTE(SUBSTITUTE(SUBSTITUTE(B217," ","_"),"(","_"),")","_"),".","_"),",","_"),"/","_"),"-","_"),"&amp;","_"),"Á","A"),"É","E"),"Í","I"),"Ó","O"),"Ú","U"),"Ñ","N"))</formula1>
    </dataValidation>
    <dataValidation sqref="C21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INDIRECT("PROV_"&amp;SUBSTITUTE(SUBSTITUTE(SUBSTITUTE(SUBSTITUTE(SUBSTITUTE(SUBSTITUTE(SUBSTITUTE(SUBSTITUTE(SUBSTITUTE(SUBSTITUTE(SUBSTITUTE(SUBSTITUTE(SUBSTITUTE(SUBSTITUTE(B218," ","_"),"(","_"),")","_"),".","_"),",","_"),"/","_"),"-","_"),"&amp;","_"),"Á","A"),"É","E"),"Í","I"),"Ó","O"),"Ú","U"),"Ñ","N"))</formula1>
    </dataValidation>
    <dataValidation sqref="C21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INDIRECT("PROV_"&amp;SUBSTITUTE(SUBSTITUTE(SUBSTITUTE(SUBSTITUTE(SUBSTITUTE(SUBSTITUTE(SUBSTITUTE(SUBSTITUTE(SUBSTITUTE(SUBSTITUTE(SUBSTITUTE(SUBSTITUTE(SUBSTITUTE(SUBSTITUTE(B219," ","_"),"(","_"),")","_"),".","_"),",","_"),"/","_"),"-","_"),"&amp;","_"),"Á","A"),"É","E"),"Í","I"),"Ó","O"),"Ú","U"),"Ñ","N"))</formula1>
    </dataValidation>
    <dataValidation sqref="C22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INDIRECT("PROV_"&amp;SUBSTITUTE(SUBSTITUTE(SUBSTITUTE(SUBSTITUTE(SUBSTITUTE(SUBSTITUTE(SUBSTITUTE(SUBSTITUTE(SUBSTITUTE(SUBSTITUTE(SUBSTITUTE(SUBSTITUTE(SUBSTITUTE(SUBSTITUTE(B220," ","_"),"(","_"),")","_"),".","_"),",","_"),"/","_"),"-","_"),"&amp;","_"),"Á","A"),"É","E"),"Í","I"),"Ó","O"),"Ú","U"),"Ñ","N"))</formula1>
    </dataValidation>
    <dataValidation sqref="C22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INDIRECT("PROV_"&amp;SUBSTITUTE(SUBSTITUTE(SUBSTITUTE(SUBSTITUTE(SUBSTITUTE(SUBSTITUTE(SUBSTITUTE(SUBSTITUTE(SUBSTITUTE(SUBSTITUTE(SUBSTITUTE(SUBSTITUTE(SUBSTITUTE(SUBSTITUTE(B221," ","_"),"(","_"),")","_"),".","_"),",","_"),"/","_"),"-","_"),"&amp;","_"),"Á","A"),"É","E"),"Í","I"),"Ó","O"),"Ú","U"),"Ñ","N"))</formula1>
    </dataValidation>
    <dataValidation sqref="C22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INDIRECT("PROV_"&amp;SUBSTITUTE(SUBSTITUTE(SUBSTITUTE(SUBSTITUTE(SUBSTITUTE(SUBSTITUTE(SUBSTITUTE(SUBSTITUTE(SUBSTITUTE(SUBSTITUTE(SUBSTITUTE(SUBSTITUTE(SUBSTITUTE(SUBSTITUTE(B222," ","_"),"(","_"),")","_"),".","_"),",","_"),"/","_"),"-","_"),"&amp;","_"),"Á","A"),"É","E"),"Í","I"),"Ó","O"),"Ú","U"),"Ñ","N"))</formula1>
    </dataValidation>
    <dataValidation sqref="C22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INDIRECT("PROV_"&amp;SUBSTITUTE(SUBSTITUTE(SUBSTITUTE(SUBSTITUTE(SUBSTITUTE(SUBSTITUTE(SUBSTITUTE(SUBSTITUTE(SUBSTITUTE(SUBSTITUTE(SUBSTITUTE(SUBSTITUTE(SUBSTITUTE(SUBSTITUTE(B223," ","_"),"(","_"),")","_"),".","_"),",","_"),"/","_"),"-","_"),"&amp;","_"),"Á","A"),"É","E"),"Í","I"),"Ó","O"),"Ú","U"),"Ñ","N"))</formula1>
    </dataValidation>
    <dataValidation sqref="C22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INDIRECT("PROV_"&amp;SUBSTITUTE(SUBSTITUTE(SUBSTITUTE(SUBSTITUTE(SUBSTITUTE(SUBSTITUTE(SUBSTITUTE(SUBSTITUTE(SUBSTITUTE(SUBSTITUTE(SUBSTITUTE(SUBSTITUTE(SUBSTITUTE(SUBSTITUTE(B224," ","_"),"(","_"),")","_"),".","_"),",","_"),"/","_"),"-","_"),"&amp;","_"),"Á","A"),"É","E"),"Í","I"),"Ó","O"),"Ú","U"),"Ñ","N"))</formula1>
    </dataValidation>
    <dataValidation sqref="C22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INDIRECT("PROV_"&amp;SUBSTITUTE(SUBSTITUTE(SUBSTITUTE(SUBSTITUTE(SUBSTITUTE(SUBSTITUTE(SUBSTITUTE(SUBSTITUTE(SUBSTITUTE(SUBSTITUTE(SUBSTITUTE(SUBSTITUTE(SUBSTITUTE(SUBSTITUTE(B225," ","_"),"(","_"),")","_"),".","_"),",","_"),"/","_"),"-","_"),"&amp;","_"),"Á","A"),"É","E"),"Í","I"),"Ó","O"),"Ú","U"),"Ñ","N"))</formula1>
    </dataValidation>
    <dataValidation sqref="C22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INDIRECT("PROV_"&amp;SUBSTITUTE(SUBSTITUTE(SUBSTITUTE(SUBSTITUTE(SUBSTITUTE(SUBSTITUTE(SUBSTITUTE(SUBSTITUTE(SUBSTITUTE(SUBSTITUTE(SUBSTITUTE(SUBSTITUTE(SUBSTITUTE(SUBSTITUTE(B226," ","_"),"(","_"),")","_"),".","_"),",","_"),"/","_"),"-","_"),"&amp;","_"),"Á","A"),"É","E"),"Í","I"),"Ó","O"),"Ú","U"),"Ñ","N"))</formula1>
    </dataValidation>
    <dataValidation sqref="C22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INDIRECT("PROV_"&amp;SUBSTITUTE(SUBSTITUTE(SUBSTITUTE(SUBSTITUTE(SUBSTITUTE(SUBSTITUTE(SUBSTITUTE(SUBSTITUTE(SUBSTITUTE(SUBSTITUTE(SUBSTITUTE(SUBSTITUTE(SUBSTITUTE(SUBSTITUTE(B227," ","_"),"(","_"),")","_"),".","_"),",","_"),"/","_"),"-","_"),"&amp;","_"),"Á","A"),"É","E"),"Í","I"),"Ó","O"),"Ú","U"),"Ñ","N"))</formula1>
    </dataValidation>
    <dataValidation sqref="C22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INDIRECT("PROV_"&amp;SUBSTITUTE(SUBSTITUTE(SUBSTITUTE(SUBSTITUTE(SUBSTITUTE(SUBSTITUTE(SUBSTITUTE(SUBSTITUTE(SUBSTITUTE(SUBSTITUTE(SUBSTITUTE(SUBSTITUTE(SUBSTITUTE(SUBSTITUTE(B228," ","_"),"(","_"),")","_"),".","_"),",","_"),"/","_"),"-","_"),"&amp;","_"),"Á","A"),"É","E"),"Í","I"),"Ó","O"),"Ú","U"),"Ñ","N"))</formula1>
    </dataValidation>
    <dataValidation sqref="C22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INDIRECT("PROV_"&amp;SUBSTITUTE(SUBSTITUTE(SUBSTITUTE(SUBSTITUTE(SUBSTITUTE(SUBSTITUTE(SUBSTITUTE(SUBSTITUTE(SUBSTITUTE(SUBSTITUTE(SUBSTITUTE(SUBSTITUTE(SUBSTITUTE(SUBSTITUTE(B229," ","_"),"(","_"),")","_"),".","_"),",","_"),"/","_"),"-","_"),"&amp;","_"),"Á","A"),"É","E"),"Í","I"),"Ó","O"),"Ú","U"),"Ñ","N"))</formula1>
    </dataValidation>
    <dataValidation sqref="C23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INDIRECT("PROV_"&amp;SUBSTITUTE(SUBSTITUTE(SUBSTITUTE(SUBSTITUTE(SUBSTITUTE(SUBSTITUTE(SUBSTITUTE(SUBSTITUTE(SUBSTITUTE(SUBSTITUTE(SUBSTITUTE(SUBSTITUTE(SUBSTITUTE(SUBSTITUTE(B230," ","_"),"(","_"),")","_"),".","_"),",","_"),"/","_"),"-","_"),"&amp;","_"),"Á","A"),"É","E"),"Í","I"),"Ó","O"),"Ú","U"),"Ñ","N"))</formula1>
    </dataValidation>
    <dataValidation sqref="C23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INDIRECT("PROV_"&amp;SUBSTITUTE(SUBSTITUTE(SUBSTITUTE(SUBSTITUTE(SUBSTITUTE(SUBSTITUTE(SUBSTITUTE(SUBSTITUTE(SUBSTITUTE(SUBSTITUTE(SUBSTITUTE(SUBSTITUTE(SUBSTITUTE(SUBSTITUTE(B231," ","_"),"(","_"),")","_"),".","_"),",","_"),"/","_"),"-","_"),"&amp;","_"),"Á","A"),"É","E"),"Í","I"),"Ó","O"),"Ú","U"),"Ñ","N"))</formula1>
    </dataValidation>
    <dataValidation sqref="C23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INDIRECT("PROV_"&amp;SUBSTITUTE(SUBSTITUTE(SUBSTITUTE(SUBSTITUTE(SUBSTITUTE(SUBSTITUTE(SUBSTITUTE(SUBSTITUTE(SUBSTITUTE(SUBSTITUTE(SUBSTITUTE(SUBSTITUTE(SUBSTITUTE(SUBSTITUTE(B232," ","_"),"(","_"),")","_"),".","_"),",","_"),"/","_"),"-","_"),"&amp;","_"),"Á","A"),"É","E"),"Í","I"),"Ó","O"),"Ú","U"),"Ñ","N"))</formula1>
    </dataValidation>
    <dataValidation sqref="C23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INDIRECT("PROV_"&amp;SUBSTITUTE(SUBSTITUTE(SUBSTITUTE(SUBSTITUTE(SUBSTITUTE(SUBSTITUTE(SUBSTITUTE(SUBSTITUTE(SUBSTITUTE(SUBSTITUTE(SUBSTITUTE(SUBSTITUTE(SUBSTITUTE(SUBSTITUTE(B233," ","_"),"(","_"),")","_"),".","_"),",","_"),"/","_"),"-","_"),"&amp;","_"),"Á","A"),"É","E"),"Í","I"),"Ó","O"),"Ú","U"),"Ñ","N"))</formula1>
    </dataValidation>
    <dataValidation sqref="C23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INDIRECT("PROV_"&amp;SUBSTITUTE(SUBSTITUTE(SUBSTITUTE(SUBSTITUTE(SUBSTITUTE(SUBSTITUTE(SUBSTITUTE(SUBSTITUTE(SUBSTITUTE(SUBSTITUTE(SUBSTITUTE(SUBSTITUTE(SUBSTITUTE(SUBSTITUTE(B234," ","_"),"(","_"),")","_"),".","_"),",","_"),"/","_"),"-","_"),"&amp;","_"),"Á","A"),"É","E"),"Í","I"),"Ó","O"),"Ú","U"),"Ñ","N"))</formula1>
    </dataValidation>
    <dataValidation sqref="C23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INDIRECT("PROV_"&amp;SUBSTITUTE(SUBSTITUTE(SUBSTITUTE(SUBSTITUTE(SUBSTITUTE(SUBSTITUTE(SUBSTITUTE(SUBSTITUTE(SUBSTITUTE(SUBSTITUTE(SUBSTITUTE(SUBSTITUTE(SUBSTITUTE(SUBSTITUTE(B235," ","_"),"(","_"),")","_"),".","_"),",","_"),"/","_"),"-","_"),"&amp;","_"),"Á","A"),"É","E"),"Í","I"),"Ó","O"),"Ú","U"),"Ñ","N"))</formula1>
    </dataValidation>
    <dataValidation sqref="C23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INDIRECT("PROV_"&amp;SUBSTITUTE(SUBSTITUTE(SUBSTITUTE(SUBSTITUTE(SUBSTITUTE(SUBSTITUTE(SUBSTITUTE(SUBSTITUTE(SUBSTITUTE(SUBSTITUTE(SUBSTITUTE(SUBSTITUTE(SUBSTITUTE(SUBSTITUTE(B236," ","_"),"(","_"),")","_"),".","_"),",","_"),"/","_"),"-","_"),"&amp;","_"),"Á","A"),"É","E"),"Í","I"),"Ó","O"),"Ú","U"),"Ñ","N"))</formula1>
    </dataValidation>
    <dataValidation sqref="C23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INDIRECT("PROV_"&amp;SUBSTITUTE(SUBSTITUTE(SUBSTITUTE(SUBSTITUTE(SUBSTITUTE(SUBSTITUTE(SUBSTITUTE(SUBSTITUTE(SUBSTITUTE(SUBSTITUTE(SUBSTITUTE(SUBSTITUTE(SUBSTITUTE(SUBSTITUTE(B237," ","_"),"(","_"),")","_"),".","_"),",","_"),"/","_"),"-","_"),"&amp;","_"),"Á","A"),"É","E"),"Í","I"),"Ó","O"),"Ú","U"),"Ñ","N"))</formula1>
    </dataValidation>
    <dataValidation sqref="C23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INDIRECT("PROV_"&amp;SUBSTITUTE(SUBSTITUTE(SUBSTITUTE(SUBSTITUTE(SUBSTITUTE(SUBSTITUTE(SUBSTITUTE(SUBSTITUTE(SUBSTITUTE(SUBSTITUTE(SUBSTITUTE(SUBSTITUTE(SUBSTITUTE(SUBSTITUTE(B238," ","_"),"(","_"),")","_"),".","_"),",","_"),"/","_"),"-","_"),"&amp;","_"),"Á","A"),"É","E"),"Í","I"),"Ó","O"),"Ú","U"),"Ñ","N"))</formula1>
    </dataValidation>
    <dataValidation sqref="C23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INDIRECT("PROV_"&amp;SUBSTITUTE(SUBSTITUTE(SUBSTITUTE(SUBSTITUTE(SUBSTITUTE(SUBSTITUTE(SUBSTITUTE(SUBSTITUTE(SUBSTITUTE(SUBSTITUTE(SUBSTITUTE(SUBSTITUTE(SUBSTITUTE(SUBSTITUTE(B239," ","_"),"(","_"),")","_"),".","_"),",","_"),"/","_"),"-","_"),"&amp;","_"),"Á","A"),"É","E"),"Í","I"),"Ó","O"),"Ú","U"),"Ñ","N"))</formula1>
    </dataValidation>
    <dataValidation sqref="C24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INDIRECT("PROV_"&amp;SUBSTITUTE(SUBSTITUTE(SUBSTITUTE(SUBSTITUTE(SUBSTITUTE(SUBSTITUTE(SUBSTITUTE(SUBSTITUTE(SUBSTITUTE(SUBSTITUTE(SUBSTITUTE(SUBSTITUTE(SUBSTITUTE(SUBSTITUTE(B240," ","_"),"(","_"),")","_"),".","_"),",","_"),"/","_"),"-","_"),"&amp;","_"),"Á","A"),"É","E"),"Í","I"),"Ó","O"),"Ú","U"),"Ñ","N"))</formula1>
    </dataValidation>
    <dataValidation sqref="C24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INDIRECT("PROV_"&amp;SUBSTITUTE(SUBSTITUTE(SUBSTITUTE(SUBSTITUTE(SUBSTITUTE(SUBSTITUTE(SUBSTITUTE(SUBSTITUTE(SUBSTITUTE(SUBSTITUTE(SUBSTITUTE(SUBSTITUTE(SUBSTITUTE(SUBSTITUTE(B241," ","_"),"(","_"),")","_"),".","_"),",","_"),"/","_"),"-","_"),"&amp;","_"),"Á","A"),"É","E"),"Í","I"),"Ó","O"),"Ú","U"),"Ñ","N"))</formula1>
    </dataValidation>
    <dataValidation sqref="C24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INDIRECT("PROV_"&amp;SUBSTITUTE(SUBSTITUTE(SUBSTITUTE(SUBSTITUTE(SUBSTITUTE(SUBSTITUTE(SUBSTITUTE(SUBSTITUTE(SUBSTITUTE(SUBSTITUTE(SUBSTITUTE(SUBSTITUTE(SUBSTITUTE(SUBSTITUTE(B242," ","_"),"(","_"),")","_"),".","_"),",","_"),"/","_"),"-","_"),"&amp;","_"),"Á","A"),"É","E"),"Í","I"),"Ó","O"),"Ú","U"),"Ñ","N"))</formula1>
    </dataValidation>
    <dataValidation sqref="C24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INDIRECT("PROV_"&amp;SUBSTITUTE(SUBSTITUTE(SUBSTITUTE(SUBSTITUTE(SUBSTITUTE(SUBSTITUTE(SUBSTITUTE(SUBSTITUTE(SUBSTITUTE(SUBSTITUTE(SUBSTITUTE(SUBSTITUTE(SUBSTITUTE(SUBSTITUTE(B243," ","_"),"(","_"),")","_"),".","_"),",","_"),"/","_"),"-","_"),"&amp;","_"),"Á","A"),"É","E"),"Í","I"),"Ó","O"),"Ú","U"),"Ñ","N"))</formula1>
    </dataValidation>
    <dataValidation sqref="C24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INDIRECT("PROV_"&amp;SUBSTITUTE(SUBSTITUTE(SUBSTITUTE(SUBSTITUTE(SUBSTITUTE(SUBSTITUTE(SUBSTITUTE(SUBSTITUTE(SUBSTITUTE(SUBSTITUTE(SUBSTITUTE(SUBSTITUTE(SUBSTITUTE(SUBSTITUTE(B244," ","_"),"(","_"),")","_"),".","_"),",","_"),"/","_"),"-","_"),"&amp;","_"),"Á","A"),"É","E"),"Í","I"),"Ó","O"),"Ú","U"),"Ñ","N"))</formula1>
    </dataValidation>
    <dataValidation sqref="C24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INDIRECT("PROV_"&amp;SUBSTITUTE(SUBSTITUTE(SUBSTITUTE(SUBSTITUTE(SUBSTITUTE(SUBSTITUTE(SUBSTITUTE(SUBSTITUTE(SUBSTITUTE(SUBSTITUTE(SUBSTITUTE(SUBSTITUTE(SUBSTITUTE(SUBSTITUTE(B245," ","_"),"(","_"),")","_"),".","_"),",","_"),"/","_"),"-","_"),"&amp;","_"),"Á","A"),"É","E"),"Í","I"),"Ó","O"),"Ú","U"),"Ñ","N"))</formula1>
    </dataValidation>
    <dataValidation sqref="C24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INDIRECT("PROV_"&amp;SUBSTITUTE(SUBSTITUTE(SUBSTITUTE(SUBSTITUTE(SUBSTITUTE(SUBSTITUTE(SUBSTITUTE(SUBSTITUTE(SUBSTITUTE(SUBSTITUTE(SUBSTITUTE(SUBSTITUTE(SUBSTITUTE(SUBSTITUTE(B246," ","_"),"(","_"),")","_"),".","_"),",","_"),"/","_"),"-","_"),"&amp;","_"),"Á","A"),"É","E"),"Í","I"),"Ó","O"),"Ú","U"),"Ñ","N"))</formula1>
    </dataValidation>
    <dataValidation sqref="C24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INDIRECT("PROV_"&amp;SUBSTITUTE(SUBSTITUTE(SUBSTITUTE(SUBSTITUTE(SUBSTITUTE(SUBSTITUTE(SUBSTITUTE(SUBSTITUTE(SUBSTITUTE(SUBSTITUTE(SUBSTITUTE(SUBSTITUTE(SUBSTITUTE(SUBSTITUTE(B247," ","_"),"(","_"),")","_"),".","_"),",","_"),"/","_"),"-","_"),"&amp;","_"),"Á","A"),"É","E"),"Í","I"),"Ó","O"),"Ú","U"),"Ñ","N"))</formula1>
    </dataValidation>
    <dataValidation sqref="C24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INDIRECT("PROV_"&amp;SUBSTITUTE(SUBSTITUTE(SUBSTITUTE(SUBSTITUTE(SUBSTITUTE(SUBSTITUTE(SUBSTITUTE(SUBSTITUTE(SUBSTITUTE(SUBSTITUTE(SUBSTITUTE(SUBSTITUTE(SUBSTITUTE(SUBSTITUTE(B248," ","_"),"(","_"),")","_"),".","_"),",","_"),"/","_"),"-","_"),"&amp;","_"),"Á","A"),"É","E"),"Í","I"),"Ó","O"),"Ú","U"),"Ñ","N"))</formula1>
    </dataValidation>
    <dataValidation sqref="C24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INDIRECT("PROV_"&amp;SUBSTITUTE(SUBSTITUTE(SUBSTITUTE(SUBSTITUTE(SUBSTITUTE(SUBSTITUTE(SUBSTITUTE(SUBSTITUTE(SUBSTITUTE(SUBSTITUTE(SUBSTITUTE(SUBSTITUTE(SUBSTITUTE(SUBSTITUTE(B249," ","_"),"(","_"),")","_"),".","_"),",","_"),"/","_"),"-","_"),"&amp;","_"),"Á","A"),"É","E"),"Í","I"),"Ó","O"),"Ú","U"),"Ñ","N"))</formula1>
    </dataValidation>
    <dataValidation sqref="C25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INDIRECT("PROV_"&amp;SUBSTITUTE(SUBSTITUTE(SUBSTITUTE(SUBSTITUTE(SUBSTITUTE(SUBSTITUTE(SUBSTITUTE(SUBSTITUTE(SUBSTITUTE(SUBSTITUTE(SUBSTITUTE(SUBSTITUTE(SUBSTITUTE(SUBSTITUTE(B250," ","_"),"(","_"),")","_"),".","_"),",","_"),"/","_"),"-","_"),"&amp;","_"),"Á","A"),"É","E"),"Í","I"),"Ó","O"),"Ú","U"),"Ñ","N"))</formula1>
    </dataValidation>
    <dataValidation sqref="C25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INDIRECT("PROV_"&amp;SUBSTITUTE(SUBSTITUTE(SUBSTITUTE(SUBSTITUTE(SUBSTITUTE(SUBSTITUTE(SUBSTITUTE(SUBSTITUTE(SUBSTITUTE(SUBSTITUTE(SUBSTITUTE(SUBSTITUTE(SUBSTITUTE(SUBSTITUTE(B251," ","_"),"(","_"),")","_"),".","_"),",","_"),"/","_"),"-","_"),"&amp;","_"),"Á","A"),"É","E"),"Í","I"),"Ó","O"),"Ú","U"),"Ñ","N"))</formula1>
    </dataValidation>
    <dataValidation sqref="C25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INDIRECT("PROV_"&amp;SUBSTITUTE(SUBSTITUTE(SUBSTITUTE(SUBSTITUTE(SUBSTITUTE(SUBSTITUTE(SUBSTITUTE(SUBSTITUTE(SUBSTITUTE(SUBSTITUTE(SUBSTITUTE(SUBSTITUTE(SUBSTITUTE(SUBSTITUTE(B252," ","_"),"(","_"),")","_"),".","_"),",","_"),"/","_"),"-","_"),"&amp;","_"),"Á","A"),"É","E"),"Í","I"),"Ó","O"),"Ú","U"),"Ñ","N"))</formula1>
    </dataValidation>
    <dataValidation sqref="C25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INDIRECT("PROV_"&amp;SUBSTITUTE(SUBSTITUTE(SUBSTITUTE(SUBSTITUTE(SUBSTITUTE(SUBSTITUTE(SUBSTITUTE(SUBSTITUTE(SUBSTITUTE(SUBSTITUTE(SUBSTITUTE(SUBSTITUTE(SUBSTITUTE(SUBSTITUTE(B253," ","_"),"(","_"),")","_"),".","_"),",","_"),"/","_"),"-","_"),"&amp;","_"),"Á","A"),"É","E"),"Í","I"),"Ó","O"),"Ú","U"),"Ñ","N"))</formula1>
    </dataValidation>
    <dataValidation sqref="C25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INDIRECT("PROV_"&amp;SUBSTITUTE(SUBSTITUTE(SUBSTITUTE(SUBSTITUTE(SUBSTITUTE(SUBSTITUTE(SUBSTITUTE(SUBSTITUTE(SUBSTITUTE(SUBSTITUTE(SUBSTITUTE(SUBSTITUTE(SUBSTITUTE(SUBSTITUTE(B254," ","_"),"(","_"),")","_"),".","_"),",","_"),"/","_"),"-","_"),"&amp;","_"),"Á","A"),"É","E"),"Í","I"),"Ó","O"),"Ú","U"),"Ñ","N"))</formula1>
    </dataValidation>
    <dataValidation sqref="C25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INDIRECT("PROV_"&amp;SUBSTITUTE(SUBSTITUTE(SUBSTITUTE(SUBSTITUTE(SUBSTITUTE(SUBSTITUTE(SUBSTITUTE(SUBSTITUTE(SUBSTITUTE(SUBSTITUTE(SUBSTITUTE(SUBSTITUTE(SUBSTITUTE(SUBSTITUTE(B255," ","_"),"(","_"),")","_"),".","_"),",","_"),"/","_"),"-","_"),"&amp;","_"),"Á","A"),"É","E"),"Í","I"),"Ó","O"),"Ú","U"),"Ñ","N"))</formula1>
    </dataValidation>
    <dataValidation sqref="C25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INDIRECT("PROV_"&amp;SUBSTITUTE(SUBSTITUTE(SUBSTITUTE(SUBSTITUTE(SUBSTITUTE(SUBSTITUTE(SUBSTITUTE(SUBSTITUTE(SUBSTITUTE(SUBSTITUTE(SUBSTITUTE(SUBSTITUTE(SUBSTITUTE(SUBSTITUTE(B256," ","_"),"(","_"),")","_"),".","_"),",","_"),"/","_"),"-","_"),"&amp;","_"),"Á","A"),"É","E"),"Í","I"),"Ó","O"),"Ú","U"),"Ñ","N"))</formula1>
    </dataValidation>
    <dataValidation sqref="C25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INDIRECT("PROV_"&amp;SUBSTITUTE(SUBSTITUTE(SUBSTITUTE(SUBSTITUTE(SUBSTITUTE(SUBSTITUTE(SUBSTITUTE(SUBSTITUTE(SUBSTITUTE(SUBSTITUTE(SUBSTITUTE(SUBSTITUTE(SUBSTITUTE(SUBSTITUTE(B257," ","_"),"(","_"),")","_"),".","_"),",","_"),"/","_"),"-","_"),"&amp;","_"),"Á","A"),"É","E"),"Í","I"),"Ó","O"),"Ú","U"),"Ñ","N"))</formula1>
    </dataValidation>
    <dataValidation sqref="C25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INDIRECT("PROV_"&amp;SUBSTITUTE(SUBSTITUTE(SUBSTITUTE(SUBSTITUTE(SUBSTITUTE(SUBSTITUTE(SUBSTITUTE(SUBSTITUTE(SUBSTITUTE(SUBSTITUTE(SUBSTITUTE(SUBSTITUTE(SUBSTITUTE(SUBSTITUTE(B258," ","_"),"(","_"),")","_"),".","_"),",","_"),"/","_"),"-","_"),"&amp;","_"),"Á","A"),"É","E"),"Í","I"),"Ó","O"),"Ú","U"),"Ñ","N"))</formula1>
    </dataValidation>
    <dataValidation sqref="C25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INDIRECT("PROV_"&amp;SUBSTITUTE(SUBSTITUTE(SUBSTITUTE(SUBSTITUTE(SUBSTITUTE(SUBSTITUTE(SUBSTITUTE(SUBSTITUTE(SUBSTITUTE(SUBSTITUTE(SUBSTITUTE(SUBSTITUTE(SUBSTITUTE(SUBSTITUTE(B259," ","_"),"(","_"),")","_"),".","_"),",","_"),"/","_"),"-","_"),"&amp;","_"),"Á","A"),"É","E"),"Í","I"),"Ó","O"),"Ú","U"),"Ñ","N"))</formula1>
    </dataValidation>
    <dataValidation sqref="C26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INDIRECT("PROV_"&amp;SUBSTITUTE(SUBSTITUTE(SUBSTITUTE(SUBSTITUTE(SUBSTITUTE(SUBSTITUTE(SUBSTITUTE(SUBSTITUTE(SUBSTITUTE(SUBSTITUTE(SUBSTITUTE(SUBSTITUTE(SUBSTITUTE(SUBSTITUTE(B260," ","_"),"(","_"),")","_"),".","_"),",","_"),"/","_"),"-","_"),"&amp;","_"),"Á","A"),"É","E"),"Í","I"),"Ó","O"),"Ú","U"),"Ñ","N"))</formula1>
    </dataValidation>
    <dataValidation sqref="C26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INDIRECT("PROV_"&amp;SUBSTITUTE(SUBSTITUTE(SUBSTITUTE(SUBSTITUTE(SUBSTITUTE(SUBSTITUTE(SUBSTITUTE(SUBSTITUTE(SUBSTITUTE(SUBSTITUTE(SUBSTITUTE(SUBSTITUTE(SUBSTITUTE(SUBSTITUTE(B261," ","_"),"(","_"),")","_"),".","_"),",","_"),"/","_"),"-","_"),"&amp;","_"),"Á","A"),"É","E"),"Í","I"),"Ó","O"),"Ú","U"),"Ñ","N"))</formula1>
    </dataValidation>
    <dataValidation sqref="C26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INDIRECT("PROV_"&amp;SUBSTITUTE(SUBSTITUTE(SUBSTITUTE(SUBSTITUTE(SUBSTITUTE(SUBSTITUTE(SUBSTITUTE(SUBSTITUTE(SUBSTITUTE(SUBSTITUTE(SUBSTITUTE(SUBSTITUTE(SUBSTITUTE(SUBSTITUTE(B262," ","_"),"(","_"),")","_"),".","_"),",","_"),"/","_"),"-","_"),"&amp;","_"),"Á","A"),"É","E"),"Í","I"),"Ó","O"),"Ú","U"),"Ñ","N"))</formula1>
    </dataValidation>
    <dataValidation sqref="C26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INDIRECT("PROV_"&amp;SUBSTITUTE(SUBSTITUTE(SUBSTITUTE(SUBSTITUTE(SUBSTITUTE(SUBSTITUTE(SUBSTITUTE(SUBSTITUTE(SUBSTITUTE(SUBSTITUTE(SUBSTITUTE(SUBSTITUTE(SUBSTITUTE(SUBSTITUTE(B263," ","_"),"(","_"),")","_"),".","_"),",","_"),"/","_"),"-","_"),"&amp;","_"),"Á","A"),"É","E"),"Í","I"),"Ó","O"),"Ú","U"),"Ñ","N"))</formula1>
    </dataValidation>
    <dataValidation sqref="C26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INDIRECT("PROV_"&amp;SUBSTITUTE(SUBSTITUTE(SUBSTITUTE(SUBSTITUTE(SUBSTITUTE(SUBSTITUTE(SUBSTITUTE(SUBSTITUTE(SUBSTITUTE(SUBSTITUTE(SUBSTITUTE(SUBSTITUTE(SUBSTITUTE(SUBSTITUTE(B264," ","_"),"(","_"),")","_"),".","_"),",","_"),"/","_"),"-","_"),"&amp;","_"),"Á","A"),"É","E"),"Í","I"),"Ó","O"),"Ú","U"),"Ñ","N"))</formula1>
    </dataValidation>
    <dataValidation sqref="C26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INDIRECT("PROV_"&amp;SUBSTITUTE(SUBSTITUTE(SUBSTITUTE(SUBSTITUTE(SUBSTITUTE(SUBSTITUTE(SUBSTITUTE(SUBSTITUTE(SUBSTITUTE(SUBSTITUTE(SUBSTITUTE(SUBSTITUTE(SUBSTITUTE(SUBSTITUTE(B265," ","_"),"(","_"),")","_"),".","_"),",","_"),"/","_"),"-","_"),"&amp;","_"),"Á","A"),"É","E"),"Í","I"),"Ó","O"),"Ú","U"),"Ñ","N"))</formula1>
    </dataValidation>
    <dataValidation sqref="C26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INDIRECT("PROV_"&amp;SUBSTITUTE(SUBSTITUTE(SUBSTITUTE(SUBSTITUTE(SUBSTITUTE(SUBSTITUTE(SUBSTITUTE(SUBSTITUTE(SUBSTITUTE(SUBSTITUTE(SUBSTITUTE(SUBSTITUTE(SUBSTITUTE(SUBSTITUTE(B266," ","_"),"(","_"),")","_"),".","_"),",","_"),"/","_"),"-","_"),"&amp;","_"),"Á","A"),"É","E"),"Í","I"),"Ó","O"),"Ú","U"),"Ñ","N"))</formula1>
    </dataValidation>
    <dataValidation sqref="C26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INDIRECT("PROV_"&amp;SUBSTITUTE(SUBSTITUTE(SUBSTITUTE(SUBSTITUTE(SUBSTITUTE(SUBSTITUTE(SUBSTITUTE(SUBSTITUTE(SUBSTITUTE(SUBSTITUTE(SUBSTITUTE(SUBSTITUTE(SUBSTITUTE(SUBSTITUTE(B267," ","_"),"(","_"),")","_"),".","_"),",","_"),"/","_"),"-","_"),"&amp;","_"),"Á","A"),"É","E"),"Í","I"),"Ó","O"),"Ú","U"),"Ñ","N"))</formula1>
    </dataValidation>
    <dataValidation sqref="C26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INDIRECT("PROV_"&amp;SUBSTITUTE(SUBSTITUTE(SUBSTITUTE(SUBSTITUTE(SUBSTITUTE(SUBSTITUTE(SUBSTITUTE(SUBSTITUTE(SUBSTITUTE(SUBSTITUTE(SUBSTITUTE(SUBSTITUTE(SUBSTITUTE(SUBSTITUTE(B268," ","_"),"(","_"),")","_"),".","_"),",","_"),"/","_"),"-","_"),"&amp;","_"),"Á","A"),"É","E"),"Í","I"),"Ó","O"),"Ú","U"),"Ñ","N"))</formula1>
    </dataValidation>
    <dataValidation sqref="C26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INDIRECT("PROV_"&amp;SUBSTITUTE(SUBSTITUTE(SUBSTITUTE(SUBSTITUTE(SUBSTITUTE(SUBSTITUTE(SUBSTITUTE(SUBSTITUTE(SUBSTITUTE(SUBSTITUTE(SUBSTITUTE(SUBSTITUTE(SUBSTITUTE(SUBSTITUTE(B269," ","_"),"(","_"),")","_"),".","_"),",","_"),"/","_"),"-","_"),"&amp;","_"),"Á","A"),"É","E"),"Í","I"),"Ó","O"),"Ú","U"),"Ñ","N"))</formula1>
    </dataValidation>
    <dataValidation sqref="C27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INDIRECT("PROV_"&amp;SUBSTITUTE(SUBSTITUTE(SUBSTITUTE(SUBSTITUTE(SUBSTITUTE(SUBSTITUTE(SUBSTITUTE(SUBSTITUTE(SUBSTITUTE(SUBSTITUTE(SUBSTITUTE(SUBSTITUTE(SUBSTITUTE(SUBSTITUTE(B270," ","_"),"(","_"),")","_"),".","_"),",","_"),"/","_"),"-","_"),"&amp;","_"),"Á","A"),"É","E"),"Í","I"),"Ó","O"),"Ú","U"),"Ñ","N"))</formula1>
    </dataValidation>
    <dataValidation sqref="C27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INDIRECT("PROV_"&amp;SUBSTITUTE(SUBSTITUTE(SUBSTITUTE(SUBSTITUTE(SUBSTITUTE(SUBSTITUTE(SUBSTITUTE(SUBSTITUTE(SUBSTITUTE(SUBSTITUTE(SUBSTITUTE(SUBSTITUTE(SUBSTITUTE(SUBSTITUTE(B271," ","_"),"(","_"),")","_"),".","_"),",","_"),"/","_"),"-","_"),"&amp;","_"),"Á","A"),"É","E"),"Í","I"),"Ó","O"),"Ú","U"),"Ñ","N"))</formula1>
    </dataValidation>
    <dataValidation sqref="C27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INDIRECT("PROV_"&amp;SUBSTITUTE(SUBSTITUTE(SUBSTITUTE(SUBSTITUTE(SUBSTITUTE(SUBSTITUTE(SUBSTITUTE(SUBSTITUTE(SUBSTITUTE(SUBSTITUTE(SUBSTITUTE(SUBSTITUTE(SUBSTITUTE(SUBSTITUTE(B272," ","_"),"(","_"),")","_"),".","_"),",","_"),"/","_"),"-","_"),"&amp;","_"),"Á","A"),"É","E"),"Í","I"),"Ó","O"),"Ú","U"),"Ñ","N"))</formula1>
    </dataValidation>
    <dataValidation sqref="C27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INDIRECT("PROV_"&amp;SUBSTITUTE(SUBSTITUTE(SUBSTITUTE(SUBSTITUTE(SUBSTITUTE(SUBSTITUTE(SUBSTITUTE(SUBSTITUTE(SUBSTITUTE(SUBSTITUTE(SUBSTITUTE(SUBSTITUTE(SUBSTITUTE(SUBSTITUTE(B273," ","_"),"(","_"),")","_"),".","_"),",","_"),"/","_"),"-","_"),"&amp;","_"),"Á","A"),"É","E"),"Í","I"),"Ó","O"),"Ú","U"),"Ñ","N"))</formula1>
    </dataValidation>
    <dataValidation sqref="C27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INDIRECT("PROV_"&amp;SUBSTITUTE(SUBSTITUTE(SUBSTITUTE(SUBSTITUTE(SUBSTITUTE(SUBSTITUTE(SUBSTITUTE(SUBSTITUTE(SUBSTITUTE(SUBSTITUTE(SUBSTITUTE(SUBSTITUTE(SUBSTITUTE(SUBSTITUTE(B274," ","_"),"(","_"),")","_"),".","_"),",","_"),"/","_"),"-","_"),"&amp;","_"),"Á","A"),"É","E"),"Í","I"),"Ó","O"),"Ú","U"),"Ñ","N"))</formula1>
    </dataValidation>
    <dataValidation sqref="C27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INDIRECT("PROV_"&amp;SUBSTITUTE(SUBSTITUTE(SUBSTITUTE(SUBSTITUTE(SUBSTITUTE(SUBSTITUTE(SUBSTITUTE(SUBSTITUTE(SUBSTITUTE(SUBSTITUTE(SUBSTITUTE(SUBSTITUTE(SUBSTITUTE(SUBSTITUTE(B275," ","_"),"(","_"),")","_"),".","_"),",","_"),"/","_"),"-","_"),"&amp;","_"),"Á","A"),"É","E"),"Í","I"),"Ó","O"),"Ú","U"),"Ñ","N"))</formula1>
    </dataValidation>
    <dataValidation sqref="C27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INDIRECT("PROV_"&amp;SUBSTITUTE(SUBSTITUTE(SUBSTITUTE(SUBSTITUTE(SUBSTITUTE(SUBSTITUTE(SUBSTITUTE(SUBSTITUTE(SUBSTITUTE(SUBSTITUTE(SUBSTITUTE(SUBSTITUTE(SUBSTITUTE(SUBSTITUTE(B276," ","_"),"(","_"),")","_"),".","_"),",","_"),"/","_"),"-","_"),"&amp;","_"),"Á","A"),"É","E"),"Í","I"),"Ó","O"),"Ú","U"),"Ñ","N"))</formula1>
    </dataValidation>
    <dataValidation sqref="C27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INDIRECT("PROV_"&amp;SUBSTITUTE(SUBSTITUTE(SUBSTITUTE(SUBSTITUTE(SUBSTITUTE(SUBSTITUTE(SUBSTITUTE(SUBSTITUTE(SUBSTITUTE(SUBSTITUTE(SUBSTITUTE(SUBSTITUTE(SUBSTITUTE(SUBSTITUTE(B277," ","_"),"(","_"),")","_"),".","_"),",","_"),"/","_"),"-","_"),"&amp;","_"),"Á","A"),"É","E"),"Í","I"),"Ó","O"),"Ú","U"),"Ñ","N"))</formula1>
    </dataValidation>
    <dataValidation sqref="C27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INDIRECT("PROV_"&amp;SUBSTITUTE(SUBSTITUTE(SUBSTITUTE(SUBSTITUTE(SUBSTITUTE(SUBSTITUTE(SUBSTITUTE(SUBSTITUTE(SUBSTITUTE(SUBSTITUTE(SUBSTITUTE(SUBSTITUTE(SUBSTITUTE(SUBSTITUTE(B278," ","_"),"(","_"),")","_"),".","_"),",","_"),"/","_"),"-","_"),"&amp;","_"),"Á","A"),"É","E"),"Í","I"),"Ó","O"),"Ú","U"),"Ñ","N"))</formula1>
    </dataValidation>
    <dataValidation sqref="C27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INDIRECT("PROV_"&amp;SUBSTITUTE(SUBSTITUTE(SUBSTITUTE(SUBSTITUTE(SUBSTITUTE(SUBSTITUTE(SUBSTITUTE(SUBSTITUTE(SUBSTITUTE(SUBSTITUTE(SUBSTITUTE(SUBSTITUTE(SUBSTITUTE(SUBSTITUTE(B279," ","_"),"(","_"),")","_"),".","_"),",","_"),"/","_"),"-","_"),"&amp;","_"),"Á","A"),"É","E"),"Í","I"),"Ó","O"),"Ú","U"),"Ñ","N"))</formula1>
    </dataValidation>
    <dataValidation sqref="C28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INDIRECT("PROV_"&amp;SUBSTITUTE(SUBSTITUTE(SUBSTITUTE(SUBSTITUTE(SUBSTITUTE(SUBSTITUTE(SUBSTITUTE(SUBSTITUTE(SUBSTITUTE(SUBSTITUTE(SUBSTITUTE(SUBSTITUTE(SUBSTITUTE(SUBSTITUTE(B280," ","_"),"(","_"),")","_"),".","_"),",","_"),"/","_"),"-","_"),"&amp;","_"),"Á","A"),"É","E"),"Í","I"),"Ó","O"),"Ú","U"),"Ñ","N"))</formula1>
    </dataValidation>
    <dataValidation sqref="C28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INDIRECT("PROV_"&amp;SUBSTITUTE(SUBSTITUTE(SUBSTITUTE(SUBSTITUTE(SUBSTITUTE(SUBSTITUTE(SUBSTITUTE(SUBSTITUTE(SUBSTITUTE(SUBSTITUTE(SUBSTITUTE(SUBSTITUTE(SUBSTITUTE(SUBSTITUTE(B281," ","_"),"(","_"),")","_"),".","_"),",","_"),"/","_"),"-","_"),"&amp;","_"),"Á","A"),"É","E"),"Í","I"),"Ó","O"),"Ú","U"),"Ñ","N"))</formula1>
    </dataValidation>
    <dataValidation sqref="C28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INDIRECT("PROV_"&amp;SUBSTITUTE(SUBSTITUTE(SUBSTITUTE(SUBSTITUTE(SUBSTITUTE(SUBSTITUTE(SUBSTITUTE(SUBSTITUTE(SUBSTITUTE(SUBSTITUTE(SUBSTITUTE(SUBSTITUTE(SUBSTITUTE(SUBSTITUTE(B282," ","_"),"(","_"),")","_"),".","_"),",","_"),"/","_"),"-","_"),"&amp;","_"),"Á","A"),"É","E"),"Í","I"),"Ó","O"),"Ú","U"),"Ñ","N"))</formula1>
    </dataValidation>
    <dataValidation sqref="C28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INDIRECT("PROV_"&amp;SUBSTITUTE(SUBSTITUTE(SUBSTITUTE(SUBSTITUTE(SUBSTITUTE(SUBSTITUTE(SUBSTITUTE(SUBSTITUTE(SUBSTITUTE(SUBSTITUTE(SUBSTITUTE(SUBSTITUTE(SUBSTITUTE(SUBSTITUTE(B283," ","_"),"(","_"),")","_"),".","_"),",","_"),"/","_"),"-","_"),"&amp;","_"),"Á","A"),"É","E"),"Í","I"),"Ó","O"),"Ú","U"),"Ñ","N"))</formula1>
    </dataValidation>
    <dataValidation sqref="C28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INDIRECT("PROV_"&amp;SUBSTITUTE(SUBSTITUTE(SUBSTITUTE(SUBSTITUTE(SUBSTITUTE(SUBSTITUTE(SUBSTITUTE(SUBSTITUTE(SUBSTITUTE(SUBSTITUTE(SUBSTITUTE(SUBSTITUTE(SUBSTITUTE(SUBSTITUTE(B284," ","_"),"(","_"),")","_"),".","_"),",","_"),"/","_"),"-","_"),"&amp;","_"),"Á","A"),"É","E"),"Í","I"),"Ó","O"),"Ú","U"),"Ñ","N"))</formula1>
    </dataValidation>
    <dataValidation sqref="C28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INDIRECT("PROV_"&amp;SUBSTITUTE(SUBSTITUTE(SUBSTITUTE(SUBSTITUTE(SUBSTITUTE(SUBSTITUTE(SUBSTITUTE(SUBSTITUTE(SUBSTITUTE(SUBSTITUTE(SUBSTITUTE(SUBSTITUTE(SUBSTITUTE(SUBSTITUTE(B285," ","_"),"(","_"),")","_"),".","_"),",","_"),"/","_"),"-","_"),"&amp;","_"),"Á","A"),"É","E"),"Í","I"),"Ó","O"),"Ú","U"),"Ñ","N"))</formula1>
    </dataValidation>
    <dataValidation sqref="C28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INDIRECT("PROV_"&amp;SUBSTITUTE(SUBSTITUTE(SUBSTITUTE(SUBSTITUTE(SUBSTITUTE(SUBSTITUTE(SUBSTITUTE(SUBSTITUTE(SUBSTITUTE(SUBSTITUTE(SUBSTITUTE(SUBSTITUTE(SUBSTITUTE(SUBSTITUTE(B286," ","_"),"(","_"),")","_"),".","_"),",","_"),"/","_"),"-","_"),"&amp;","_"),"Á","A"),"É","E"),"Í","I"),"Ó","O"),"Ú","U"),"Ñ","N"))</formula1>
    </dataValidation>
    <dataValidation sqref="C28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INDIRECT("PROV_"&amp;SUBSTITUTE(SUBSTITUTE(SUBSTITUTE(SUBSTITUTE(SUBSTITUTE(SUBSTITUTE(SUBSTITUTE(SUBSTITUTE(SUBSTITUTE(SUBSTITUTE(SUBSTITUTE(SUBSTITUTE(SUBSTITUTE(SUBSTITUTE(B287," ","_"),"(","_"),")","_"),".","_"),",","_"),"/","_"),"-","_"),"&amp;","_"),"Á","A"),"É","E"),"Í","I"),"Ó","O"),"Ú","U"),"Ñ","N"))</formula1>
    </dataValidation>
    <dataValidation sqref="C28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INDIRECT("PROV_"&amp;SUBSTITUTE(SUBSTITUTE(SUBSTITUTE(SUBSTITUTE(SUBSTITUTE(SUBSTITUTE(SUBSTITUTE(SUBSTITUTE(SUBSTITUTE(SUBSTITUTE(SUBSTITUTE(SUBSTITUTE(SUBSTITUTE(SUBSTITUTE(B288," ","_"),"(","_"),")","_"),".","_"),",","_"),"/","_"),"-","_"),"&amp;","_"),"Á","A"),"É","E"),"Í","I"),"Ó","O"),"Ú","U"),"Ñ","N"))</formula1>
    </dataValidation>
    <dataValidation sqref="C28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INDIRECT("PROV_"&amp;SUBSTITUTE(SUBSTITUTE(SUBSTITUTE(SUBSTITUTE(SUBSTITUTE(SUBSTITUTE(SUBSTITUTE(SUBSTITUTE(SUBSTITUTE(SUBSTITUTE(SUBSTITUTE(SUBSTITUTE(SUBSTITUTE(SUBSTITUTE(B289," ","_"),"(","_"),")","_"),".","_"),",","_"),"/","_"),"-","_"),"&amp;","_"),"Á","A"),"É","E"),"Í","I"),"Ó","O"),"Ú","U"),"Ñ","N"))</formula1>
    </dataValidation>
    <dataValidation sqref="C29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INDIRECT("PROV_"&amp;SUBSTITUTE(SUBSTITUTE(SUBSTITUTE(SUBSTITUTE(SUBSTITUTE(SUBSTITUTE(SUBSTITUTE(SUBSTITUTE(SUBSTITUTE(SUBSTITUTE(SUBSTITUTE(SUBSTITUTE(SUBSTITUTE(SUBSTITUTE(B290," ","_"),"(","_"),")","_"),".","_"),",","_"),"/","_"),"-","_"),"&amp;","_"),"Á","A"),"É","E"),"Í","I"),"Ó","O"),"Ú","U"),"Ñ","N"))</formula1>
    </dataValidation>
    <dataValidation sqref="C29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INDIRECT("PROV_"&amp;SUBSTITUTE(SUBSTITUTE(SUBSTITUTE(SUBSTITUTE(SUBSTITUTE(SUBSTITUTE(SUBSTITUTE(SUBSTITUTE(SUBSTITUTE(SUBSTITUTE(SUBSTITUTE(SUBSTITUTE(SUBSTITUTE(SUBSTITUTE(B291," ","_"),"(","_"),")","_"),".","_"),",","_"),"/","_"),"-","_"),"&amp;","_"),"Á","A"),"É","E"),"Í","I"),"Ó","O"),"Ú","U"),"Ñ","N"))</formula1>
    </dataValidation>
    <dataValidation sqref="C29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INDIRECT("PROV_"&amp;SUBSTITUTE(SUBSTITUTE(SUBSTITUTE(SUBSTITUTE(SUBSTITUTE(SUBSTITUTE(SUBSTITUTE(SUBSTITUTE(SUBSTITUTE(SUBSTITUTE(SUBSTITUTE(SUBSTITUTE(SUBSTITUTE(SUBSTITUTE(B292," ","_"),"(","_"),")","_"),".","_"),",","_"),"/","_"),"-","_"),"&amp;","_"),"Á","A"),"É","E"),"Í","I"),"Ó","O"),"Ú","U"),"Ñ","N"))</formula1>
    </dataValidation>
    <dataValidation sqref="C29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INDIRECT("PROV_"&amp;SUBSTITUTE(SUBSTITUTE(SUBSTITUTE(SUBSTITUTE(SUBSTITUTE(SUBSTITUTE(SUBSTITUTE(SUBSTITUTE(SUBSTITUTE(SUBSTITUTE(SUBSTITUTE(SUBSTITUTE(SUBSTITUTE(SUBSTITUTE(B293," ","_"),"(","_"),")","_"),".","_"),",","_"),"/","_"),"-","_"),"&amp;","_"),"Á","A"),"É","E"),"Í","I"),"Ó","O"),"Ú","U"),"Ñ","N"))</formula1>
    </dataValidation>
    <dataValidation sqref="C29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INDIRECT("PROV_"&amp;SUBSTITUTE(SUBSTITUTE(SUBSTITUTE(SUBSTITUTE(SUBSTITUTE(SUBSTITUTE(SUBSTITUTE(SUBSTITUTE(SUBSTITUTE(SUBSTITUTE(SUBSTITUTE(SUBSTITUTE(SUBSTITUTE(SUBSTITUTE(B294," ","_"),"(","_"),")","_"),".","_"),",","_"),"/","_"),"-","_"),"&amp;","_"),"Á","A"),"É","E"),"Í","I"),"Ó","O"),"Ú","U"),"Ñ","N"))</formula1>
    </dataValidation>
    <dataValidation sqref="C29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INDIRECT("PROV_"&amp;SUBSTITUTE(SUBSTITUTE(SUBSTITUTE(SUBSTITUTE(SUBSTITUTE(SUBSTITUTE(SUBSTITUTE(SUBSTITUTE(SUBSTITUTE(SUBSTITUTE(SUBSTITUTE(SUBSTITUTE(SUBSTITUTE(SUBSTITUTE(B295," ","_"),"(","_"),")","_"),".","_"),",","_"),"/","_"),"-","_"),"&amp;","_"),"Á","A"),"É","E"),"Í","I"),"Ó","O"),"Ú","U"),"Ñ","N"))</formula1>
    </dataValidation>
    <dataValidation sqref="C29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INDIRECT("PROV_"&amp;SUBSTITUTE(SUBSTITUTE(SUBSTITUTE(SUBSTITUTE(SUBSTITUTE(SUBSTITUTE(SUBSTITUTE(SUBSTITUTE(SUBSTITUTE(SUBSTITUTE(SUBSTITUTE(SUBSTITUTE(SUBSTITUTE(SUBSTITUTE(B296," ","_"),"(","_"),")","_"),".","_"),",","_"),"/","_"),"-","_"),"&amp;","_"),"Á","A"),"É","E"),"Í","I"),"Ó","O"),"Ú","U"),"Ñ","N"))</formula1>
    </dataValidation>
    <dataValidation sqref="C29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INDIRECT("PROV_"&amp;SUBSTITUTE(SUBSTITUTE(SUBSTITUTE(SUBSTITUTE(SUBSTITUTE(SUBSTITUTE(SUBSTITUTE(SUBSTITUTE(SUBSTITUTE(SUBSTITUTE(SUBSTITUTE(SUBSTITUTE(SUBSTITUTE(SUBSTITUTE(B297," ","_"),"(","_"),")","_"),".","_"),",","_"),"/","_"),"-","_"),"&amp;","_"),"Á","A"),"É","E"),"Í","I"),"Ó","O"),"Ú","U"),"Ñ","N"))</formula1>
    </dataValidation>
    <dataValidation sqref="C29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INDIRECT("PROV_"&amp;SUBSTITUTE(SUBSTITUTE(SUBSTITUTE(SUBSTITUTE(SUBSTITUTE(SUBSTITUTE(SUBSTITUTE(SUBSTITUTE(SUBSTITUTE(SUBSTITUTE(SUBSTITUTE(SUBSTITUTE(SUBSTITUTE(SUBSTITUTE(B298," ","_"),"(","_"),")","_"),".","_"),",","_"),"/","_"),"-","_"),"&amp;","_"),"Á","A"),"É","E"),"Í","I"),"Ó","O"),"Ú","U"),"Ñ","N"))</formula1>
    </dataValidation>
    <dataValidation sqref="C29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INDIRECT("PROV_"&amp;SUBSTITUTE(SUBSTITUTE(SUBSTITUTE(SUBSTITUTE(SUBSTITUTE(SUBSTITUTE(SUBSTITUTE(SUBSTITUTE(SUBSTITUTE(SUBSTITUTE(SUBSTITUTE(SUBSTITUTE(SUBSTITUTE(SUBSTITUTE(B299," ","_"),"(","_"),")","_"),".","_"),",","_"),"/","_"),"-","_"),"&amp;","_"),"Á","A"),"É","E"),"Í","I"),"Ó","O"),"Ú","U"),"Ñ","N"))</formula1>
    </dataValidation>
    <dataValidation sqref="C30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INDIRECT("PROV_"&amp;SUBSTITUTE(SUBSTITUTE(SUBSTITUTE(SUBSTITUTE(SUBSTITUTE(SUBSTITUTE(SUBSTITUTE(SUBSTITUTE(SUBSTITUTE(SUBSTITUTE(SUBSTITUTE(SUBSTITUTE(SUBSTITUTE(SUBSTITUTE(B300," ","_"),"(","_"),")","_"),".","_"),",","_"),"/","_"),"-","_"),"&amp;","_"),"Á","A"),"É","E"),"Í","I"),"Ó","O"),"Ú","U"),"Ñ","N"))</formula1>
    </dataValidation>
    <dataValidation sqref="C30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INDIRECT("PROV_"&amp;SUBSTITUTE(SUBSTITUTE(SUBSTITUTE(SUBSTITUTE(SUBSTITUTE(SUBSTITUTE(SUBSTITUTE(SUBSTITUTE(SUBSTITUTE(SUBSTITUTE(SUBSTITUTE(SUBSTITUTE(SUBSTITUTE(SUBSTITUTE(B301," ","_"),"(","_"),")","_"),".","_"),",","_"),"/","_"),"-","_"),"&amp;","_"),"Á","A"),"É","E"),"Í","I"),"Ó","O"),"Ú","U"),"Ñ","N"))</formula1>
    </dataValidation>
    <dataValidation sqref="C30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INDIRECT("PROV_"&amp;SUBSTITUTE(SUBSTITUTE(SUBSTITUTE(SUBSTITUTE(SUBSTITUTE(SUBSTITUTE(SUBSTITUTE(SUBSTITUTE(SUBSTITUTE(SUBSTITUTE(SUBSTITUTE(SUBSTITUTE(SUBSTITUTE(SUBSTITUTE(B302," ","_"),"(","_"),")","_"),".","_"),",","_"),"/","_"),"-","_"),"&amp;","_"),"Á","A"),"É","E"),"Í","I"),"Ó","O"),"Ú","U"),"Ñ","N"))</formula1>
    </dataValidation>
    <dataValidation sqref="C30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INDIRECT("PROV_"&amp;SUBSTITUTE(SUBSTITUTE(SUBSTITUTE(SUBSTITUTE(SUBSTITUTE(SUBSTITUTE(SUBSTITUTE(SUBSTITUTE(SUBSTITUTE(SUBSTITUTE(SUBSTITUTE(SUBSTITUTE(SUBSTITUTE(SUBSTITUTE(B303," ","_"),"(","_"),")","_"),".","_"),",","_"),"/","_"),"-","_"),"&amp;","_"),"Á","A"),"É","E"),"Í","I"),"Ó","O"),"Ú","U"),"Ñ","N"))</formula1>
    </dataValidation>
    <dataValidation sqref="C30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INDIRECT("PROV_"&amp;SUBSTITUTE(SUBSTITUTE(SUBSTITUTE(SUBSTITUTE(SUBSTITUTE(SUBSTITUTE(SUBSTITUTE(SUBSTITUTE(SUBSTITUTE(SUBSTITUTE(SUBSTITUTE(SUBSTITUTE(SUBSTITUTE(SUBSTITUTE(B304," ","_"),"(","_"),")","_"),".","_"),",","_"),"/","_"),"-","_"),"&amp;","_"),"Á","A"),"É","E"),"Í","I"),"Ó","O"),"Ú","U"),"Ñ","N"))</formula1>
    </dataValidation>
    <dataValidation sqref="C30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INDIRECT("PROV_"&amp;SUBSTITUTE(SUBSTITUTE(SUBSTITUTE(SUBSTITUTE(SUBSTITUTE(SUBSTITUTE(SUBSTITUTE(SUBSTITUTE(SUBSTITUTE(SUBSTITUTE(SUBSTITUTE(SUBSTITUTE(SUBSTITUTE(SUBSTITUTE(B305," ","_"),"(","_"),")","_"),".","_"),",","_"),"/","_"),"-","_"),"&amp;","_"),"Á","A"),"É","E"),"Í","I"),"Ó","O"),"Ú","U"),"Ñ","N"))</formula1>
    </dataValidation>
    <dataValidation sqref="C30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INDIRECT("PROV_"&amp;SUBSTITUTE(SUBSTITUTE(SUBSTITUTE(SUBSTITUTE(SUBSTITUTE(SUBSTITUTE(SUBSTITUTE(SUBSTITUTE(SUBSTITUTE(SUBSTITUTE(SUBSTITUTE(SUBSTITUTE(SUBSTITUTE(SUBSTITUTE(B306," ","_"),"(","_"),")","_"),".","_"),",","_"),"/","_"),"-","_"),"&amp;","_"),"Á","A"),"É","E"),"Í","I"),"Ó","O"),"Ú","U"),"Ñ","N"))</formula1>
    </dataValidation>
    <dataValidation sqref="C30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INDIRECT("PROV_"&amp;SUBSTITUTE(SUBSTITUTE(SUBSTITUTE(SUBSTITUTE(SUBSTITUTE(SUBSTITUTE(SUBSTITUTE(SUBSTITUTE(SUBSTITUTE(SUBSTITUTE(SUBSTITUTE(SUBSTITUTE(SUBSTITUTE(SUBSTITUTE(B307," ","_"),"(","_"),")","_"),".","_"),",","_"),"/","_"),"-","_"),"&amp;","_"),"Á","A"),"É","E"),"Í","I"),"Ó","O"),"Ú","U"),"Ñ","N"))</formula1>
    </dataValidation>
    <dataValidation sqref="C30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INDIRECT("PROV_"&amp;SUBSTITUTE(SUBSTITUTE(SUBSTITUTE(SUBSTITUTE(SUBSTITUTE(SUBSTITUTE(SUBSTITUTE(SUBSTITUTE(SUBSTITUTE(SUBSTITUTE(SUBSTITUTE(SUBSTITUTE(SUBSTITUTE(SUBSTITUTE(B308," ","_"),"(","_"),")","_"),".","_"),",","_"),"/","_"),"-","_"),"&amp;","_"),"Á","A"),"É","E"),"Í","I"),"Ó","O"),"Ú","U"),"Ñ","N"))</formula1>
    </dataValidation>
    <dataValidation sqref="C30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INDIRECT("PROV_"&amp;SUBSTITUTE(SUBSTITUTE(SUBSTITUTE(SUBSTITUTE(SUBSTITUTE(SUBSTITUTE(SUBSTITUTE(SUBSTITUTE(SUBSTITUTE(SUBSTITUTE(SUBSTITUTE(SUBSTITUTE(SUBSTITUTE(SUBSTITUTE(B309," ","_"),"(","_"),")","_"),".","_"),",","_"),"/","_"),"-","_"),"&amp;","_"),"Á","A"),"É","E"),"Í","I"),"Ó","O"),"Ú","U"),"Ñ","N"))</formula1>
    </dataValidation>
    <dataValidation sqref="C31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INDIRECT("PROV_"&amp;SUBSTITUTE(SUBSTITUTE(SUBSTITUTE(SUBSTITUTE(SUBSTITUTE(SUBSTITUTE(SUBSTITUTE(SUBSTITUTE(SUBSTITUTE(SUBSTITUTE(SUBSTITUTE(SUBSTITUTE(SUBSTITUTE(SUBSTITUTE(B310," ","_"),"(","_"),")","_"),".","_"),",","_"),"/","_"),"-","_"),"&amp;","_"),"Á","A"),"É","E"),"Í","I"),"Ó","O"),"Ú","U"),"Ñ","N"))</formula1>
    </dataValidation>
    <dataValidation sqref="C31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INDIRECT("PROV_"&amp;SUBSTITUTE(SUBSTITUTE(SUBSTITUTE(SUBSTITUTE(SUBSTITUTE(SUBSTITUTE(SUBSTITUTE(SUBSTITUTE(SUBSTITUTE(SUBSTITUTE(SUBSTITUTE(SUBSTITUTE(SUBSTITUTE(SUBSTITUTE(B311," ","_"),"(","_"),")","_"),".","_"),",","_"),"/","_"),"-","_"),"&amp;","_"),"Á","A"),"É","E"),"Í","I"),"Ó","O"),"Ú","U"),"Ñ","N"))</formula1>
    </dataValidation>
    <dataValidation sqref="C31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INDIRECT("PROV_"&amp;SUBSTITUTE(SUBSTITUTE(SUBSTITUTE(SUBSTITUTE(SUBSTITUTE(SUBSTITUTE(SUBSTITUTE(SUBSTITUTE(SUBSTITUTE(SUBSTITUTE(SUBSTITUTE(SUBSTITUTE(SUBSTITUTE(SUBSTITUTE(B312," ","_"),"(","_"),")","_"),".","_"),",","_"),"/","_"),"-","_"),"&amp;","_"),"Á","A"),"É","E"),"Í","I"),"Ó","O"),"Ú","U"),"Ñ","N"))</formula1>
    </dataValidation>
    <dataValidation sqref="C31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INDIRECT("PROV_"&amp;SUBSTITUTE(SUBSTITUTE(SUBSTITUTE(SUBSTITUTE(SUBSTITUTE(SUBSTITUTE(SUBSTITUTE(SUBSTITUTE(SUBSTITUTE(SUBSTITUTE(SUBSTITUTE(SUBSTITUTE(SUBSTITUTE(SUBSTITUTE(B313," ","_"),"(","_"),")","_"),".","_"),",","_"),"/","_"),"-","_"),"&amp;","_"),"Á","A"),"É","E"),"Í","I"),"Ó","O"),"Ú","U"),"Ñ","N"))</formula1>
    </dataValidation>
    <dataValidation sqref="C31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INDIRECT("PROV_"&amp;SUBSTITUTE(SUBSTITUTE(SUBSTITUTE(SUBSTITUTE(SUBSTITUTE(SUBSTITUTE(SUBSTITUTE(SUBSTITUTE(SUBSTITUTE(SUBSTITUTE(SUBSTITUTE(SUBSTITUTE(SUBSTITUTE(SUBSTITUTE(B314," ","_"),"(","_"),")","_"),".","_"),",","_"),"/","_"),"-","_"),"&amp;","_"),"Á","A"),"É","E"),"Í","I"),"Ó","O"),"Ú","U"),"Ñ","N"))</formula1>
    </dataValidation>
    <dataValidation sqref="C31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INDIRECT("PROV_"&amp;SUBSTITUTE(SUBSTITUTE(SUBSTITUTE(SUBSTITUTE(SUBSTITUTE(SUBSTITUTE(SUBSTITUTE(SUBSTITUTE(SUBSTITUTE(SUBSTITUTE(SUBSTITUTE(SUBSTITUTE(SUBSTITUTE(SUBSTITUTE(B315," ","_"),"(","_"),")","_"),".","_"),",","_"),"/","_"),"-","_"),"&amp;","_"),"Á","A"),"É","E"),"Í","I"),"Ó","O"),"Ú","U"),"Ñ","N"))</formula1>
    </dataValidation>
    <dataValidation sqref="C31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INDIRECT("PROV_"&amp;SUBSTITUTE(SUBSTITUTE(SUBSTITUTE(SUBSTITUTE(SUBSTITUTE(SUBSTITUTE(SUBSTITUTE(SUBSTITUTE(SUBSTITUTE(SUBSTITUTE(SUBSTITUTE(SUBSTITUTE(SUBSTITUTE(SUBSTITUTE(B316," ","_"),"(","_"),")","_"),".","_"),",","_"),"/","_"),"-","_"),"&amp;","_"),"Á","A"),"É","E"),"Í","I"),"Ó","O"),"Ú","U"),"Ñ","N"))</formula1>
    </dataValidation>
    <dataValidation sqref="C31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INDIRECT("PROV_"&amp;SUBSTITUTE(SUBSTITUTE(SUBSTITUTE(SUBSTITUTE(SUBSTITUTE(SUBSTITUTE(SUBSTITUTE(SUBSTITUTE(SUBSTITUTE(SUBSTITUTE(SUBSTITUTE(SUBSTITUTE(SUBSTITUTE(SUBSTITUTE(B317," ","_"),"(","_"),")","_"),".","_"),",","_"),"/","_"),"-","_"),"&amp;","_"),"Á","A"),"É","E"),"Í","I"),"Ó","O"),"Ú","U"),"Ñ","N"))</formula1>
    </dataValidation>
    <dataValidation sqref="C31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INDIRECT("PROV_"&amp;SUBSTITUTE(SUBSTITUTE(SUBSTITUTE(SUBSTITUTE(SUBSTITUTE(SUBSTITUTE(SUBSTITUTE(SUBSTITUTE(SUBSTITUTE(SUBSTITUTE(SUBSTITUTE(SUBSTITUTE(SUBSTITUTE(SUBSTITUTE(B318," ","_"),"(","_"),")","_"),".","_"),",","_"),"/","_"),"-","_"),"&amp;","_"),"Á","A"),"É","E"),"Í","I"),"Ó","O"),"Ú","U"),"Ñ","N"))</formula1>
    </dataValidation>
    <dataValidation sqref="C31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INDIRECT("PROV_"&amp;SUBSTITUTE(SUBSTITUTE(SUBSTITUTE(SUBSTITUTE(SUBSTITUTE(SUBSTITUTE(SUBSTITUTE(SUBSTITUTE(SUBSTITUTE(SUBSTITUTE(SUBSTITUTE(SUBSTITUTE(SUBSTITUTE(SUBSTITUTE(B319," ","_"),"(","_"),")","_"),".","_"),",","_"),"/","_"),"-","_"),"&amp;","_"),"Á","A"),"É","E"),"Í","I"),"Ó","O"),"Ú","U"),"Ñ","N"))</formula1>
    </dataValidation>
    <dataValidation sqref="C32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INDIRECT("PROV_"&amp;SUBSTITUTE(SUBSTITUTE(SUBSTITUTE(SUBSTITUTE(SUBSTITUTE(SUBSTITUTE(SUBSTITUTE(SUBSTITUTE(SUBSTITUTE(SUBSTITUTE(SUBSTITUTE(SUBSTITUTE(SUBSTITUTE(SUBSTITUTE(B320," ","_"),"(","_"),")","_"),".","_"),",","_"),"/","_"),"-","_"),"&amp;","_"),"Á","A"),"É","E"),"Í","I"),"Ó","O"),"Ú","U"),"Ñ","N"))</formula1>
    </dataValidation>
    <dataValidation sqref="C32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INDIRECT("PROV_"&amp;SUBSTITUTE(SUBSTITUTE(SUBSTITUTE(SUBSTITUTE(SUBSTITUTE(SUBSTITUTE(SUBSTITUTE(SUBSTITUTE(SUBSTITUTE(SUBSTITUTE(SUBSTITUTE(SUBSTITUTE(SUBSTITUTE(SUBSTITUTE(B321," ","_"),"(","_"),")","_"),".","_"),",","_"),"/","_"),"-","_"),"&amp;","_"),"Á","A"),"É","E"),"Í","I"),"Ó","O"),"Ú","U"),"Ñ","N"))</formula1>
    </dataValidation>
    <dataValidation sqref="C32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INDIRECT("PROV_"&amp;SUBSTITUTE(SUBSTITUTE(SUBSTITUTE(SUBSTITUTE(SUBSTITUTE(SUBSTITUTE(SUBSTITUTE(SUBSTITUTE(SUBSTITUTE(SUBSTITUTE(SUBSTITUTE(SUBSTITUTE(SUBSTITUTE(SUBSTITUTE(B322," ","_"),"(","_"),")","_"),".","_"),",","_"),"/","_"),"-","_"),"&amp;","_"),"Á","A"),"É","E"),"Í","I"),"Ó","O"),"Ú","U"),"Ñ","N"))</formula1>
    </dataValidation>
    <dataValidation sqref="C32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INDIRECT("PROV_"&amp;SUBSTITUTE(SUBSTITUTE(SUBSTITUTE(SUBSTITUTE(SUBSTITUTE(SUBSTITUTE(SUBSTITUTE(SUBSTITUTE(SUBSTITUTE(SUBSTITUTE(SUBSTITUTE(SUBSTITUTE(SUBSTITUTE(SUBSTITUTE(B323," ","_"),"(","_"),")","_"),".","_"),",","_"),"/","_"),"-","_"),"&amp;","_"),"Á","A"),"É","E"),"Í","I"),"Ó","O"),"Ú","U"),"Ñ","N"))</formula1>
    </dataValidation>
    <dataValidation sqref="C32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INDIRECT("PROV_"&amp;SUBSTITUTE(SUBSTITUTE(SUBSTITUTE(SUBSTITUTE(SUBSTITUTE(SUBSTITUTE(SUBSTITUTE(SUBSTITUTE(SUBSTITUTE(SUBSTITUTE(SUBSTITUTE(SUBSTITUTE(SUBSTITUTE(SUBSTITUTE(B324," ","_"),"(","_"),")","_"),".","_"),",","_"),"/","_"),"-","_"),"&amp;","_"),"Á","A"),"É","E"),"Í","I"),"Ó","O"),"Ú","U"),"Ñ","N"))</formula1>
    </dataValidation>
    <dataValidation sqref="C32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INDIRECT("PROV_"&amp;SUBSTITUTE(SUBSTITUTE(SUBSTITUTE(SUBSTITUTE(SUBSTITUTE(SUBSTITUTE(SUBSTITUTE(SUBSTITUTE(SUBSTITUTE(SUBSTITUTE(SUBSTITUTE(SUBSTITUTE(SUBSTITUTE(SUBSTITUTE(B325," ","_"),"(","_"),")","_"),".","_"),",","_"),"/","_"),"-","_"),"&amp;","_"),"Á","A"),"É","E"),"Í","I"),"Ó","O"),"Ú","U"),"Ñ","N"))</formula1>
    </dataValidation>
    <dataValidation sqref="C32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INDIRECT("PROV_"&amp;SUBSTITUTE(SUBSTITUTE(SUBSTITUTE(SUBSTITUTE(SUBSTITUTE(SUBSTITUTE(SUBSTITUTE(SUBSTITUTE(SUBSTITUTE(SUBSTITUTE(SUBSTITUTE(SUBSTITUTE(SUBSTITUTE(SUBSTITUTE(B326," ","_"),"(","_"),")","_"),".","_"),",","_"),"/","_"),"-","_"),"&amp;","_"),"Á","A"),"É","E"),"Í","I"),"Ó","O"),"Ú","U"),"Ñ","N"))</formula1>
    </dataValidation>
    <dataValidation sqref="C32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INDIRECT("PROV_"&amp;SUBSTITUTE(SUBSTITUTE(SUBSTITUTE(SUBSTITUTE(SUBSTITUTE(SUBSTITUTE(SUBSTITUTE(SUBSTITUTE(SUBSTITUTE(SUBSTITUTE(SUBSTITUTE(SUBSTITUTE(SUBSTITUTE(SUBSTITUTE(B327," ","_"),"(","_"),")","_"),".","_"),",","_"),"/","_"),"-","_"),"&amp;","_"),"Á","A"),"É","E"),"Í","I"),"Ó","O"),"Ú","U"),"Ñ","N"))</formula1>
    </dataValidation>
    <dataValidation sqref="C32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INDIRECT("PROV_"&amp;SUBSTITUTE(SUBSTITUTE(SUBSTITUTE(SUBSTITUTE(SUBSTITUTE(SUBSTITUTE(SUBSTITUTE(SUBSTITUTE(SUBSTITUTE(SUBSTITUTE(SUBSTITUTE(SUBSTITUTE(SUBSTITUTE(SUBSTITUTE(B328," ","_"),"(","_"),")","_"),".","_"),",","_"),"/","_"),"-","_"),"&amp;","_"),"Á","A"),"É","E"),"Í","I"),"Ó","O"),"Ú","U"),"Ñ","N"))</formula1>
    </dataValidation>
    <dataValidation sqref="C32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INDIRECT("PROV_"&amp;SUBSTITUTE(SUBSTITUTE(SUBSTITUTE(SUBSTITUTE(SUBSTITUTE(SUBSTITUTE(SUBSTITUTE(SUBSTITUTE(SUBSTITUTE(SUBSTITUTE(SUBSTITUTE(SUBSTITUTE(SUBSTITUTE(SUBSTITUTE(B329," ","_"),"(","_"),")","_"),".","_"),",","_"),"/","_"),"-","_"),"&amp;","_"),"Á","A"),"É","E"),"Í","I"),"Ó","O"),"Ú","U"),"Ñ","N"))</formula1>
    </dataValidation>
    <dataValidation sqref="C33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INDIRECT("PROV_"&amp;SUBSTITUTE(SUBSTITUTE(SUBSTITUTE(SUBSTITUTE(SUBSTITUTE(SUBSTITUTE(SUBSTITUTE(SUBSTITUTE(SUBSTITUTE(SUBSTITUTE(SUBSTITUTE(SUBSTITUTE(SUBSTITUTE(SUBSTITUTE(B330," ","_"),"(","_"),")","_"),".","_"),",","_"),"/","_"),"-","_"),"&amp;","_"),"Á","A"),"É","E"),"Í","I"),"Ó","O"),"Ú","U"),"Ñ","N"))</formula1>
    </dataValidation>
    <dataValidation sqref="C33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INDIRECT("PROV_"&amp;SUBSTITUTE(SUBSTITUTE(SUBSTITUTE(SUBSTITUTE(SUBSTITUTE(SUBSTITUTE(SUBSTITUTE(SUBSTITUTE(SUBSTITUTE(SUBSTITUTE(SUBSTITUTE(SUBSTITUTE(SUBSTITUTE(SUBSTITUTE(B331," ","_"),"(","_"),")","_"),".","_"),",","_"),"/","_"),"-","_"),"&amp;","_"),"Á","A"),"É","E"),"Í","I"),"Ó","O"),"Ú","U"),"Ñ","N"))</formula1>
    </dataValidation>
    <dataValidation sqref="C33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INDIRECT("PROV_"&amp;SUBSTITUTE(SUBSTITUTE(SUBSTITUTE(SUBSTITUTE(SUBSTITUTE(SUBSTITUTE(SUBSTITUTE(SUBSTITUTE(SUBSTITUTE(SUBSTITUTE(SUBSTITUTE(SUBSTITUTE(SUBSTITUTE(SUBSTITUTE(B332," ","_"),"(","_"),")","_"),".","_"),",","_"),"/","_"),"-","_"),"&amp;","_"),"Á","A"),"É","E"),"Í","I"),"Ó","O"),"Ú","U"),"Ñ","N"))</formula1>
    </dataValidation>
    <dataValidation sqref="C33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INDIRECT("PROV_"&amp;SUBSTITUTE(SUBSTITUTE(SUBSTITUTE(SUBSTITUTE(SUBSTITUTE(SUBSTITUTE(SUBSTITUTE(SUBSTITUTE(SUBSTITUTE(SUBSTITUTE(SUBSTITUTE(SUBSTITUTE(SUBSTITUTE(SUBSTITUTE(B333," ","_"),"(","_"),")","_"),".","_"),",","_"),"/","_"),"-","_"),"&amp;","_"),"Á","A"),"É","E"),"Í","I"),"Ó","O"),"Ú","U"),"Ñ","N"))</formula1>
    </dataValidation>
    <dataValidation sqref="C33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INDIRECT("PROV_"&amp;SUBSTITUTE(SUBSTITUTE(SUBSTITUTE(SUBSTITUTE(SUBSTITUTE(SUBSTITUTE(SUBSTITUTE(SUBSTITUTE(SUBSTITUTE(SUBSTITUTE(SUBSTITUTE(SUBSTITUTE(SUBSTITUTE(SUBSTITUTE(B334," ","_"),"(","_"),")","_"),".","_"),",","_"),"/","_"),"-","_"),"&amp;","_"),"Á","A"),"É","E"),"Í","I"),"Ó","O"),"Ú","U"),"Ñ","N"))</formula1>
    </dataValidation>
    <dataValidation sqref="C33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INDIRECT("PROV_"&amp;SUBSTITUTE(SUBSTITUTE(SUBSTITUTE(SUBSTITUTE(SUBSTITUTE(SUBSTITUTE(SUBSTITUTE(SUBSTITUTE(SUBSTITUTE(SUBSTITUTE(SUBSTITUTE(SUBSTITUTE(SUBSTITUTE(SUBSTITUTE(B335," ","_"),"(","_"),")","_"),".","_"),",","_"),"/","_"),"-","_"),"&amp;","_"),"Á","A"),"É","E"),"Í","I"),"Ó","O"),"Ú","U"),"Ñ","N"))</formula1>
    </dataValidation>
    <dataValidation sqref="C33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INDIRECT("PROV_"&amp;SUBSTITUTE(SUBSTITUTE(SUBSTITUTE(SUBSTITUTE(SUBSTITUTE(SUBSTITUTE(SUBSTITUTE(SUBSTITUTE(SUBSTITUTE(SUBSTITUTE(SUBSTITUTE(SUBSTITUTE(SUBSTITUTE(SUBSTITUTE(B336," ","_"),"(","_"),")","_"),".","_"),",","_"),"/","_"),"-","_"),"&amp;","_"),"Á","A"),"É","E"),"Í","I"),"Ó","O"),"Ú","U"),"Ñ","N"))</formula1>
    </dataValidation>
    <dataValidation sqref="C33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INDIRECT("PROV_"&amp;SUBSTITUTE(SUBSTITUTE(SUBSTITUTE(SUBSTITUTE(SUBSTITUTE(SUBSTITUTE(SUBSTITUTE(SUBSTITUTE(SUBSTITUTE(SUBSTITUTE(SUBSTITUTE(SUBSTITUTE(SUBSTITUTE(SUBSTITUTE(B337," ","_"),"(","_"),")","_"),".","_"),",","_"),"/","_"),"-","_"),"&amp;","_"),"Á","A"),"É","E"),"Í","I"),"Ó","O"),"Ú","U"),"Ñ","N"))</formula1>
    </dataValidation>
    <dataValidation sqref="C33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INDIRECT("PROV_"&amp;SUBSTITUTE(SUBSTITUTE(SUBSTITUTE(SUBSTITUTE(SUBSTITUTE(SUBSTITUTE(SUBSTITUTE(SUBSTITUTE(SUBSTITUTE(SUBSTITUTE(SUBSTITUTE(SUBSTITUTE(SUBSTITUTE(SUBSTITUTE(B338," ","_"),"(","_"),")","_"),".","_"),",","_"),"/","_"),"-","_"),"&amp;","_"),"Á","A"),"É","E"),"Í","I"),"Ó","O"),"Ú","U"),"Ñ","N"))</formula1>
    </dataValidation>
    <dataValidation sqref="C33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INDIRECT("PROV_"&amp;SUBSTITUTE(SUBSTITUTE(SUBSTITUTE(SUBSTITUTE(SUBSTITUTE(SUBSTITUTE(SUBSTITUTE(SUBSTITUTE(SUBSTITUTE(SUBSTITUTE(SUBSTITUTE(SUBSTITUTE(SUBSTITUTE(SUBSTITUTE(B339," ","_"),"(","_"),")","_"),".","_"),",","_"),"/","_"),"-","_"),"&amp;","_"),"Á","A"),"É","E"),"Í","I"),"Ó","O"),"Ú","U"),"Ñ","N"))</formula1>
    </dataValidation>
    <dataValidation sqref="C34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INDIRECT("PROV_"&amp;SUBSTITUTE(SUBSTITUTE(SUBSTITUTE(SUBSTITUTE(SUBSTITUTE(SUBSTITUTE(SUBSTITUTE(SUBSTITUTE(SUBSTITUTE(SUBSTITUTE(SUBSTITUTE(SUBSTITUTE(SUBSTITUTE(SUBSTITUTE(B340," ","_"),"(","_"),")","_"),".","_"),",","_"),"/","_"),"-","_"),"&amp;","_"),"Á","A"),"É","E"),"Í","I"),"Ó","O"),"Ú","U"),"Ñ","N"))</formula1>
    </dataValidation>
    <dataValidation sqref="C34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INDIRECT("PROV_"&amp;SUBSTITUTE(SUBSTITUTE(SUBSTITUTE(SUBSTITUTE(SUBSTITUTE(SUBSTITUTE(SUBSTITUTE(SUBSTITUTE(SUBSTITUTE(SUBSTITUTE(SUBSTITUTE(SUBSTITUTE(SUBSTITUTE(SUBSTITUTE(B341," ","_"),"(","_"),")","_"),".","_"),",","_"),"/","_"),"-","_"),"&amp;","_"),"Á","A"),"É","E"),"Í","I"),"Ó","O"),"Ú","U"),"Ñ","N"))</formula1>
    </dataValidation>
    <dataValidation sqref="C34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INDIRECT("PROV_"&amp;SUBSTITUTE(SUBSTITUTE(SUBSTITUTE(SUBSTITUTE(SUBSTITUTE(SUBSTITUTE(SUBSTITUTE(SUBSTITUTE(SUBSTITUTE(SUBSTITUTE(SUBSTITUTE(SUBSTITUTE(SUBSTITUTE(SUBSTITUTE(B342," ","_"),"(","_"),")","_"),".","_"),",","_"),"/","_"),"-","_"),"&amp;","_"),"Á","A"),"É","E"),"Í","I"),"Ó","O"),"Ú","U"),"Ñ","N"))</formula1>
    </dataValidation>
    <dataValidation sqref="C34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INDIRECT("PROV_"&amp;SUBSTITUTE(SUBSTITUTE(SUBSTITUTE(SUBSTITUTE(SUBSTITUTE(SUBSTITUTE(SUBSTITUTE(SUBSTITUTE(SUBSTITUTE(SUBSTITUTE(SUBSTITUTE(SUBSTITUTE(SUBSTITUTE(SUBSTITUTE(B343," ","_"),"(","_"),")","_"),".","_"),",","_"),"/","_"),"-","_"),"&amp;","_"),"Á","A"),"É","E"),"Í","I"),"Ó","O"),"Ú","U"),"Ñ","N"))</formula1>
    </dataValidation>
    <dataValidation sqref="C34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INDIRECT("PROV_"&amp;SUBSTITUTE(SUBSTITUTE(SUBSTITUTE(SUBSTITUTE(SUBSTITUTE(SUBSTITUTE(SUBSTITUTE(SUBSTITUTE(SUBSTITUTE(SUBSTITUTE(SUBSTITUTE(SUBSTITUTE(SUBSTITUTE(SUBSTITUTE(B344," ","_"),"(","_"),")","_"),".","_"),",","_"),"/","_"),"-","_"),"&amp;","_"),"Á","A"),"É","E"),"Í","I"),"Ó","O"),"Ú","U"),"Ñ","N"))</formula1>
    </dataValidation>
    <dataValidation sqref="C34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INDIRECT("PROV_"&amp;SUBSTITUTE(SUBSTITUTE(SUBSTITUTE(SUBSTITUTE(SUBSTITUTE(SUBSTITUTE(SUBSTITUTE(SUBSTITUTE(SUBSTITUTE(SUBSTITUTE(SUBSTITUTE(SUBSTITUTE(SUBSTITUTE(SUBSTITUTE(B345," ","_"),"(","_"),")","_"),".","_"),",","_"),"/","_"),"-","_"),"&amp;","_"),"Á","A"),"É","E"),"Í","I"),"Ó","O"),"Ú","U"),"Ñ","N"))</formula1>
    </dataValidation>
    <dataValidation sqref="C34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INDIRECT("PROV_"&amp;SUBSTITUTE(SUBSTITUTE(SUBSTITUTE(SUBSTITUTE(SUBSTITUTE(SUBSTITUTE(SUBSTITUTE(SUBSTITUTE(SUBSTITUTE(SUBSTITUTE(SUBSTITUTE(SUBSTITUTE(SUBSTITUTE(SUBSTITUTE(B346," ","_"),"(","_"),")","_"),".","_"),",","_"),"/","_"),"-","_"),"&amp;","_"),"Á","A"),"É","E"),"Í","I"),"Ó","O"),"Ú","U"),"Ñ","N"))</formula1>
    </dataValidation>
    <dataValidation sqref="C34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INDIRECT("PROV_"&amp;SUBSTITUTE(SUBSTITUTE(SUBSTITUTE(SUBSTITUTE(SUBSTITUTE(SUBSTITUTE(SUBSTITUTE(SUBSTITUTE(SUBSTITUTE(SUBSTITUTE(SUBSTITUTE(SUBSTITUTE(SUBSTITUTE(SUBSTITUTE(B347," ","_"),"(","_"),")","_"),".","_"),",","_"),"/","_"),"-","_"),"&amp;","_"),"Á","A"),"É","E"),"Í","I"),"Ó","O"),"Ú","U"),"Ñ","N"))</formula1>
    </dataValidation>
    <dataValidation sqref="C34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INDIRECT("PROV_"&amp;SUBSTITUTE(SUBSTITUTE(SUBSTITUTE(SUBSTITUTE(SUBSTITUTE(SUBSTITUTE(SUBSTITUTE(SUBSTITUTE(SUBSTITUTE(SUBSTITUTE(SUBSTITUTE(SUBSTITUTE(SUBSTITUTE(SUBSTITUTE(B348," ","_"),"(","_"),")","_"),".","_"),",","_"),"/","_"),"-","_"),"&amp;","_"),"Á","A"),"É","E"),"Í","I"),"Ó","O"),"Ú","U"),"Ñ","N"))</formula1>
    </dataValidation>
    <dataValidation sqref="C34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INDIRECT("PROV_"&amp;SUBSTITUTE(SUBSTITUTE(SUBSTITUTE(SUBSTITUTE(SUBSTITUTE(SUBSTITUTE(SUBSTITUTE(SUBSTITUTE(SUBSTITUTE(SUBSTITUTE(SUBSTITUTE(SUBSTITUTE(SUBSTITUTE(SUBSTITUTE(B349," ","_"),"(","_"),")","_"),".","_"),",","_"),"/","_"),"-","_"),"&amp;","_"),"Á","A"),"É","E"),"Í","I"),"Ó","O"),"Ú","U"),"Ñ","N"))</formula1>
    </dataValidation>
    <dataValidation sqref="C35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INDIRECT("PROV_"&amp;SUBSTITUTE(SUBSTITUTE(SUBSTITUTE(SUBSTITUTE(SUBSTITUTE(SUBSTITUTE(SUBSTITUTE(SUBSTITUTE(SUBSTITUTE(SUBSTITUTE(SUBSTITUTE(SUBSTITUTE(SUBSTITUTE(SUBSTITUTE(B350," ","_"),"(","_"),")","_"),".","_"),",","_"),"/","_"),"-","_"),"&amp;","_"),"Á","A"),"É","E"),"Í","I"),"Ó","O"),"Ú","U"),"Ñ","N"))</formula1>
    </dataValidation>
    <dataValidation sqref="C35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INDIRECT("PROV_"&amp;SUBSTITUTE(SUBSTITUTE(SUBSTITUTE(SUBSTITUTE(SUBSTITUTE(SUBSTITUTE(SUBSTITUTE(SUBSTITUTE(SUBSTITUTE(SUBSTITUTE(SUBSTITUTE(SUBSTITUTE(SUBSTITUTE(SUBSTITUTE(B351," ","_"),"(","_"),")","_"),".","_"),",","_"),"/","_"),"-","_"),"&amp;","_"),"Á","A"),"É","E"),"Í","I"),"Ó","O"),"Ú","U"),"Ñ","N"))</formula1>
    </dataValidation>
    <dataValidation sqref="C35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INDIRECT("PROV_"&amp;SUBSTITUTE(SUBSTITUTE(SUBSTITUTE(SUBSTITUTE(SUBSTITUTE(SUBSTITUTE(SUBSTITUTE(SUBSTITUTE(SUBSTITUTE(SUBSTITUTE(SUBSTITUTE(SUBSTITUTE(SUBSTITUTE(SUBSTITUTE(B352," ","_"),"(","_"),")","_"),".","_"),",","_"),"/","_"),"-","_"),"&amp;","_"),"Á","A"),"É","E"),"Í","I"),"Ó","O"),"Ú","U"),"Ñ","N"))</formula1>
    </dataValidation>
    <dataValidation sqref="C35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INDIRECT("PROV_"&amp;SUBSTITUTE(SUBSTITUTE(SUBSTITUTE(SUBSTITUTE(SUBSTITUTE(SUBSTITUTE(SUBSTITUTE(SUBSTITUTE(SUBSTITUTE(SUBSTITUTE(SUBSTITUTE(SUBSTITUTE(SUBSTITUTE(SUBSTITUTE(B353," ","_"),"(","_"),")","_"),".","_"),",","_"),"/","_"),"-","_"),"&amp;","_"),"Á","A"),"É","E"),"Í","I"),"Ó","O"),"Ú","U"),"Ñ","N"))</formula1>
    </dataValidation>
    <dataValidation sqref="C35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INDIRECT("PROV_"&amp;SUBSTITUTE(SUBSTITUTE(SUBSTITUTE(SUBSTITUTE(SUBSTITUTE(SUBSTITUTE(SUBSTITUTE(SUBSTITUTE(SUBSTITUTE(SUBSTITUTE(SUBSTITUTE(SUBSTITUTE(SUBSTITUTE(SUBSTITUTE(B354," ","_"),"(","_"),")","_"),".","_"),",","_"),"/","_"),"-","_"),"&amp;","_"),"Á","A"),"É","E"),"Í","I"),"Ó","O"),"Ú","U"),"Ñ","N"))</formula1>
    </dataValidation>
    <dataValidation sqref="C35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INDIRECT("PROV_"&amp;SUBSTITUTE(SUBSTITUTE(SUBSTITUTE(SUBSTITUTE(SUBSTITUTE(SUBSTITUTE(SUBSTITUTE(SUBSTITUTE(SUBSTITUTE(SUBSTITUTE(SUBSTITUTE(SUBSTITUTE(SUBSTITUTE(SUBSTITUTE(B355," ","_"),"(","_"),")","_"),".","_"),",","_"),"/","_"),"-","_"),"&amp;","_"),"Á","A"),"É","E"),"Í","I"),"Ó","O"),"Ú","U"),"Ñ","N"))</formula1>
    </dataValidation>
    <dataValidation sqref="C35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INDIRECT("PROV_"&amp;SUBSTITUTE(SUBSTITUTE(SUBSTITUTE(SUBSTITUTE(SUBSTITUTE(SUBSTITUTE(SUBSTITUTE(SUBSTITUTE(SUBSTITUTE(SUBSTITUTE(SUBSTITUTE(SUBSTITUTE(SUBSTITUTE(SUBSTITUTE(B356," ","_"),"(","_"),")","_"),".","_"),",","_"),"/","_"),"-","_"),"&amp;","_"),"Á","A"),"É","E"),"Í","I"),"Ó","O"),"Ú","U"),"Ñ","N"))</formula1>
    </dataValidation>
    <dataValidation sqref="C35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INDIRECT("PROV_"&amp;SUBSTITUTE(SUBSTITUTE(SUBSTITUTE(SUBSTITUTE(SUBSTITUTE(SUBSTITUTE(SUBSTITUTE(SUBSTITUTE(SUBSTITUTE(SUBSTITUTE(SUBSTITUTE(SUBSTITUTE(SUBSTITUTE(SUBSTITUTE(B357," ","_"),"(","_"),")","_"),".","_"),",","_"),"/","_"),"-","_"),"&amp;","_"),"Á","A"),"É","E"),"Í","I"),"Ó","O"),"Ú","U"),"Ñ","N"))</formula1>
    </dataValidation>
    <dataValidation sqref="C35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INDIRECT("PROV_"&amp;SUBSTITUTE(SUBSTITUTE(SUBSTITUTE(SUBSTITUTE(SUBSTITUTE(SUBSTITUTE(SUBSTITUTE(SUBSTITUTE(SUBSTITUTE(SUBSTITUTE(SUBSTITUTE(SUBSTITUTE(SUBSTITUTE(SUBSTITUTE(B358," ","_"),"(","_"),")","_"),".","_"),",","_"),"/","_"),"-","_"),"&amp;","_"),"Á","A"),"É","E"),"Í","I"),"Ó","O"),"Ú","U"),"Ñ","N"))</formula1>
    </dataValidation>
    <dataValidation sqref="C35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INDIRECT("PROV_"&amp;SUBSTITUTE(SUBSTITUTE(SUBSTITUTE(SUBSTITUTE(SUBSTITUTE(SUBSTITUTE(SUBSTITUTE(SUBSTITUTE(SUBSTITUTE(SUBSTITUTE(SUBSTITUTE(SUBSTITUTE(SUBSTITUTE(SUBSTITUTE(B359," ","_"),"(","_"),")","_"),".","_"),",","_"),"/","_"),"-","_"),"&amp;","_"),"Á","A"),"É","E"),"Í","I"),"Ó","O"),"Ú","U"),"Ñ","N"))</formula1>
    </dataValidation>
    <dataValidation sqref="C36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INDIRECT("PROV_"&amp;SUBSTITUTE(SUBSTITUTE(SUBSTITUTE(SUBSTITUTE(SUBSTITUTE(SUBSTITUTE(SUBSTITUTE(SUBSTITUTE(SUBSTITUTE(SUBSTITUTE(SUBSTITUTE(SUBSTITUTE(SUBSTITUTE(SUBSTITUTE(B360," ","_"),"(","_"),")","_"),".","_"),",","_"),"/","_"),"-","_"),"&amp;","_"),"Á","A"),"É","E"),"Í","I"),"Ó","O"),"Ú","U"),"Ñ","N"))</formula1>
    </dataValidation>
    <dataValidation sqref="C36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INDIRECT("PROV_"&amp;SUBSTITUTE(SUBSTITUTE(SUBSTITUTE(SUBSTITUTE(SUBSTITUTE(SUBSTITUTE(SUBSTITUTE(SUBSTITUTE(SUBSTITUTE(SUBSTITUTE(SUBSTITUTE(SUBSTITUTE(SUBSTITUTE(SUBSTITUTE(B361," ","_"),"(","_"),")","_"),".","_"),",","_"),"/","_"),"-","_"),"&amp;","_"),"Á","A"),"É","E"),"Í","I"),"Ó","O"),"Ú","U"),"Ñ","N"))</formula1>
    </dataValidation>
    <dataValidation sqref="C36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INDIRECT("PROV_"&amp;SUBSTITUTE(SUBSTITUTE(SUBSTITUTE(SUBSTITUTE(SUBSTITUTE(SUBSTITUTE(SUBSTITUTE(SUBSTITUTE(SUBSTITUTE(SUBSTITUTE(SUBSTITUTE(SUBSTITUTE(SUBSTITUTE(SUBSTITUTE(B362," ","_"),"(","_"),")","_"),".","_"),",","_"),"/","_"),"-","_"),"&amp;","_"),"Á","A"),"É","E"),"Í","I"),"Ó","O"),"Ú","U"),"Ñ","N"))</formula1>
    </dataValidation>
    <dataValidation sqref="C36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INDIRECT("PROV_"&amp;SUBSTITUTE(SUBSTITUTE(SUBSTITUTE(SUBSTITUTE(SUBSTITUTE(SUBSTITUTE(SUBSTITUTE(SUBSTITUTE(SUBSTITUTE(SUBSTITUTE(SUBSTITUTE(SUBSTITUTE(SUBSTITUTE(SUBSTITUTE(B363," ","_"),"(","_"),")","_"),".","_"),",","_"),"/","_"),"-","_"),"&amp;","_"),"Á","A"),"É","E"),"Í","I"),"Ó","O"),"Ú","U"),"Ñ","N"))</formula1>
    </dataValidation>
    <dataValidation sqref="C36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INDIRECT("PROV_"&amp;SUBSTITUTE(SUBSTITUTE(SUBSTITUTE(SUBSTITUTE(SUBSTITUTE(SUBSTITUTE(SUBSTITUTE(SUBSTITUTE(SUBSTITUTE(SUBSTITUTE(SUBSTITUTE(SUBSTITUTE(SUBSTITUTE(SUBSTITUTE(B364," ","_"),"(","_"),")","_"),".","_"),",","_"),"/","_"),"-","_"),"&amp;","_"),"Á","A"),"É","E"),"Í","I"),"Ó","O"),"Ú","U"),"Ñ","N"))</formula1>
    </dataValidation>
    <dataValidation sqref="C36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INDIRECT("PROV_"&amp;SUBSTITUTE(SUBSTITUTE(SUBSTITUTE(SUBSTITUTE(SUBSTITUTE(SUBSTITUTE(SUBSTITUTE(SUBSTITUTE(SUBSTITUTE(SUBSTITUTE(SUBSTITUTE(SUBSTITUTE(SUBSTITUTE(SUBSTITUTE(B365," ","_"),"(","_"),")","_"),".","_"),",","_"),"/","_"),"-","_"),"&amp;","_"),"Á","A"),"É","E"),"Í","I"),"Ó","O"),"Ú","U"),"Ñ","N"))</formula1>
    </dataValidation>
    <dataValidation sqref="C36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INDIRECT("PROV_"&amp;SUBSTITUTE(SUBSTITUTE(SUBSTITUTE(SUBSTITUTE(SUBSTITUTE(SUBSTITUTE(SUBSTITUTE(SUBSTITUTE(SUBSTITUTE(SUBSTITUTE(SUBSTITUTE(SUBSTITUTE(SUBSTITUTE(SUBSTITUTE(B366," ","_"),"(","_"),")","_"),".","_"),",","_"),"/","_"),"-","_"),"&amp;","_"),"Á","A"),"É","E"),"Í","I"),"Ó","O"),"Ú","U"),"Ñ","N"))</formula1>
    </dataValidation>
    <dataValidation sqref="C36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INDIRECT("PROV_"&amp;SUBSTITUTE(SUBSTITUTE(SUBSTITUTE(SUBSTITUTE(SUBSTITUTE(SUBSTITUTE(SUBSTITUTE(SUBSTITUTE(SUBSTITUTE(SUBSTITUTE(SUBSTITUTE(SUBSTITUTE(SUBSTITUTE(SUBSTITUTE(B367," ","_"),"(","_"),")","_"),".","_"),",","_"),"/","_"),"-","_"),"&amp;","_"),"Á","A"),"É","E"),"Í","I"),"Ó","O"),"Ú","U"),"Ñ","N"))</formula1>
    </dataValidation>
    <dataValidation sqref="C36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INDIRECT("PROV_"&amp;SUBSTITUTE(SUBSTITUTE(SUBSTITUTE(SUBSTITUTE(SUBSTITUTE(SUBSTITUTE(SUBSTITUTE(SUBSTITUTE(SUBSTITUTE(SUBSTITUTE(SUBSTITUTE(SUBSTITUTE(SUBSTITUTE(SUBSTITUTE(B368," ","_"),"(","_"),")","_"),".","_"),",","_"),"/","_"),"-","_"),"&amp;","_"),"Á","A"),"É","E"),"Í","I"),"Ó","O"),"Ú","U"),"Ñ","N"))</formula1>
    </dataValidation>
    <dataValidation sqref="C36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INDIRECT("PROV_"&amp;SUBSTITUTE(SUBSTITUTE(SUBSTITUTE(SUBSTITUTE(SUBSTITUTE(SUBSTITUTE(SUBSTITUTE(SUBSTITUTE(SUBSTITUTE(SUBSTITUTE(SUBSTITUTE(SUBSTITUTE(SUBSTITUTE(SUBSTITUTE(B369," ","_"),"(","_"),")","_"),".","_"),",","_"),"/","_"),"-","_"),"&amp;","_"),"Á","A"),"É","E"),"Í","I"),"Ó","O"),"Ú","U"),"Ñ","N"))</formula1>
    </dataValidation>
    <dataValidation sqref="C37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INDIRECT("PROV_"&amp;SUBSTITUTE(SUBSTITUTE(SUBSTITUTE(SUBSTITUTE(SUBSTITUTE(SUBSTITUTE(SUBSTITUTE(SUBSTITUTE(SUBSTITUTE(SUBSTITUTE(SUBSTITUTE(SUBSTITUTE(SUBSTITUTE(SUBSTITUTE(B370," ","_"),"(","_"),")","_"),".","_"),",","_"),"/","_"),"-","_"),"&amp;","_"),"Á","A"),"É","E"),"Í","I"),"Ó","O"),"Ú","U"),"Ñ","N"))</formula1>
    </dataValidation>
    <dataValidation sqref="C37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INDIRECT("PROV_"&amp;SUBSTITUTE(SUBSTITUTE(SUBSTITUTE(SUBSTITUTE(SUBSTITUTE(SUBSTITUTE(SUBSTITUTE(SUBSTITUTE(SUBSTITUTE(SUBSTITUTE(SUBSTITUTE(SUBSTITUTE(SUBSTITUTE(SUBSTITUTE(B371," ","_"),"(","_"),")","_"),".","_"),",","_"),"/","_"),"-","_"),"&amp;","_"),"Á","A"),"É","E"),"Í","I"),"Ó","O"),"Ú","U"),"Ñ","N"))</formula1>
    </dataValidation>
    <dataValidation sqref="C37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INDIRECT("PROV_"&amp;SUBSTITUTE(SUBSTITUTE(SUBSTITUTE(SUBSTITUTE(SUBSTITUTE(SUBSTITUTE(SUBSTITUTE(SUBSTITUTE(SUBSTITUTE(SUBSTITUTE(SUBSTITUTE(SUBSTITUTE(SUBSTITUTE(SUBSTITUTE(B372," ","_"),"(","_"),")","_"),".","_"),",","_"),"/","_"),"-","_"),"&amp;","_"),"Á","A"),"É","E"),"Í","I"),"Ó","O"),"Ú","U"),"Ñ","N"))</formula1>
    </dataValidation>
    <dataValidation sqref="C37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INDIRECT("PROV_"&amp;SUBSTITUTE(SUBSTITUTE(SUBSTITUTE(SUBSTITUTE(SUBSTITUTE(SUBSTITUTE(SUBSTITUTE(SUBSTITUTE(SUBSTITUTE(SUBSTITUTE(SUBSTITUTE(SUBSTITUTE(SUBSTITUTE(SUBSTITUTE(B373," ","_"),"(","_"),")","_"),".","_"),",","_"),"/","_"),"-","_"),"&amp;","_"),"Á","A"),"É","E"),"Í","I"),"Ó","O"),"Ú","U"),"Ñ","N"))</formula1>
    </dataValidation>
    <dataValidation sqref="C37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INDIRECT("PROV_"&amp;SUBSTITUTE(SUBSTITUTE(SUBSTITUTE(SUBSTITUTE(SUBSTITUTE(SUBSTITUTE(SUBSTITUTE(SUBSTITUTE(SUBSTITUTE(SUBSTITUTE(SUBSTITUTE(SUBSTITUTE(SUBSTITUTE(SUBSTITUTE(B374," ","_"),"(","_"),")","_"),".","_"),",","_"),"/","_"),"-","_"),"&amp;","_"),"Á","A"),"É","E"),"Í","I"),"Ó","O"),"Ú","U"),"Ñ","N"))</formula1>
    </dataValidation>
    <dataValidation sqref="C37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INDIRECT("PROV_"&amp;SUBSTITUTE(SUBSTITUTE(SUBSTITUTE(SUBSTITUTE(SUBSTITUTE(SUBSTITUTE(SUBSTITUTE(SUBSTITUTE(SUBSTITUTE(SUBSTITUTE(SUBSTITUTE(SUBSTITUTE(SUBSTITUTE(SUBSTITUTE(B375," ","_"),"(","_"),")","_"),".","_"),",","_"),"/","_"),"-","_"),"&amp;","_"),"Á","A"),"É","E"),"Í","I"),"Ó","O"),"Ú","U"),"Ñ","N"))</formula1>
    </dataValidation>
    <dataValidation sqref="C37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INDIRECT("PROV_"&amp;SUBSTITUTE(SUBSTITUTE(SUBSTITUTE(SUBSTITUTE(SUBSTITUTE(SUBSTITUTE(SUBSTITUTE(SUBSTITUTE(SUBSTITUTE(SUBSTITUTE(SUBSTITUTE(SUBSTITUTE(SUBSTITUTE(SUBSTITUTE(B376," ","_"),"(","_"),")","_"),".","_"),",","_"),"/","_"),"-","_"),"&amp;","_"),"Á","A"),"É","E"),"Í","I"),"Ó","O"),"Ú","U"),"Ñ","N"))</formula1>
    </dataValidation>
    <dataValidation sqref="C37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INDIRECT("PROV_"&amp;SUBSTITUTE(SUBSTITUTE(SUBSTITUTE(SUBSTITUTE(SUBSTITUTE(SUBSTITUTE(SUBSTITUTE(SUBSTITUTE(SUBSTITUTE(SUBSTITUTE(SUBSTITUTE(SUBSTITUTE(SUBSTITUTE(SUBSTITUTE(B377," ","_"),"(","_"),")","_"),".","_"),",","_"),"/","_"),"-","_"),"&amp;","_"),"Á","A"),"É","E"),"Í","I"),"Ó","O"),"Ú","U"),"Ñ","N"))</formula1>
    </dataValidation>
    <dataValidation sqref="C37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INDIRECT("PROV_"&amp;SUBSTITUTE(SUBSTITUTE(SUBSTITUTE(SUBSTITUTE(SUBSTITUTE(SUBSTITUTE(SUBSTITUTE(SUBSTITUTE(SUBSTITUTE(SUBSTITUTE(SUBSTITUTE(SUBSTITUTE(SUBSTITUTE(SUBSTITUTE(B378," ","_"),"(","_"),")","_"),".","_"),",","_"),"/","_"),"-","_"),"&amp;","_"),"Á","A"),"É","E"),"Í","I"),"Ó","O"),"Ú","U"),"Ñ","N"))</formula1>
    </dataValidation>
    <dataValidation sqref="C37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INDIRECT("PROV_"&amp;SUBSTITUTE(SUBSTITUTE(SUBSTITUTE(SUBSTITUTE(SUBSTITUTE(SUBSTITUTE(SUBSTITUTE(SUBSTITUTE(SUBSTITUTE(SUBSTITUTE(SUBSTITUTE(SUBSTITUTE(SUBSTITUTE(SUBSTITUTE(B379," ","_"),"(","_"),")","_"),".","_"),",","_"),"/","_"),"-","_"),"&amp;","_"),"Á","A"),"É","E"),"Í","I"),"Ó","O"),"Ú","U"),"Ñ","N"))</formula1>
    </dataValidation>
    <dataValidation sqref="C38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INDIRECT("PROV_"&amp;SUBSTITUTE(SUBSTITUTE(SUBSTITUTE(SUBSTITUTE(SUBSTITUTE(SUBSTITUTE(SUBSTITUTE(SUBSTITUTE(SUBSTITUTE(SUBSTITUTE(SUBSTITUTE(SUBSTITUTE(SUBSTITUTE(SUBSTITUTE(B380," ","_"),"(","_"),")","_"),".","_"),",","_"),"/","_"),"-","_"),"&amp;","_"),"Á","A"),"É","E"),"Í","I"),"Ó","O"),"Ú","U"),"Ñ","N"))</formula1>
    </dataValidation>
    <dataValidation sqref="C38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INDIRECT("PROV_"&amp;SUBSTITUTE(SUBSTITUTE(SUBSTITUTE(SUBSTITUTE(SUBSTITUTE(SUBSTITUTE(SUBSTITUTE(SUBSTITUTE(SUBSTITUTE(SUBSTITUTE(SUBSTITUTE(SUBSTITUTE(SUBSTITUTE(SUBSTITUTE(B381," ","_"),"(","_"),")","_"),".","_"),",","_"),"/","_"),"-","_"),"&amp;","_"),"Á","A"),"É","E"),"Í","I"),"Ó","O"),"Ú","U"),"Ñ","N"))</formula1>
    </dataValidation>
    <dataValidation sqref="C38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INDIRECT("PROV_"&amp;SUBSTITUTE(SUBSTITUTE(SUBSTITUTE(SUBSTITUTE(SUBSTITUTE(SUBSTITUTE(SUBSTITUTE(SUBSTITUTE(SUBSTITUTE(SUBSTITUTE(SUBSTITUTE(SUBSTITUTE(SUBSTITUTE(SUBSTITUTE(B382," ","_"),"(","_"),")","_"),".","_"),",","_"),"/","_"),"-","_"),"&amp;","_"),"Á","A"),"É","E"),"Í","I"),"Ó","O"),"Ú","U"),"Ñ","N"))</formula1>
    </dataValidation>
    <dataValidation sqref="C38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INDIRECT("PROV_"&amp;SUBSTITUTE(SUBSTITUTE(SUBSTITUTE(SUBSTITUTE(SUBSTITUTE(SUBSTITUTE(SUBSTITUTE(SUBSTITUTE(SUBSTITUTE(SUBSTITUTE(SUBSTITUTE(SUBSTITUTE(SUBSTITUTE(SUBSTITUTE(B383," ","_"),"(","_"),")","_"),".","_"),",","_"),"/","_"),"-","_"),"&amp;","_"),"Á","A"),"É","E"),"Í","I"),"Ó","O"),"Ú","U"),"Ñ","N"))</formula1>
    </dataValidation>
    <dataValidation sqref="C38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INDIRECT("PROV_"&amp;SUBSTITUTE(SUBSTITUTE(SUBSTITUTE(SUBSTITUTE(SUBSTITUTE(SUBSTITUTE(SUBSTITUTE(SUBSTITUTE(SUBSTITUTE(SUBSTITUTE(SUBSTITUTE(SUBSTITUTE(SUBSTITUTE(SUBSTITUTE(B384," ","_"),"(","_"),")","_"),".","_"),",","_"),"/","_"),"-","_"),"&amp;","_"),"Á","A"),"É","E"),"Í","I"),"Ó","O"),"Ú","U"),"Ñ","N"))</formula1>
    </dataValidation>
    <dataValidation sqref="C38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INDIRECT("PROV_"&amp;SUBSTITUTE(SUBSTITUTE(SUBSTITUTE(SUBSTITUTE(SUBSTITUTE(SUBSTITUTE(SUBSTITUTE(SUBSTITUTE(SUBSTITUTE(SUBSTITUTE(SUBSTITUTE(SUBSTITUTE(SUBSTITUTE(SUBSTITUTE(B385," ","_"),"(","_"),")","_"),".","_"),",","_"),"/","_"),"-","_"),"&amp;","_"),"Á","A"),"É","E"),"Í","I"),"Ó","O"),"Ú","U"),"Ñ","N"))</formula1>
    </dataValidation>
    <dataValidation sqref="C38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INDIRECT("PROV_"&amp;SUBSTITUTE(SUBSTITUTE(SUBSTITUTE(SUBSTITUTE(SUBSTITUTE(SUBSTITUTE(SUBSTITUTE(SUBSTITUTE(SUBSTITUTE(SUBSTITUTE(SUBSTITUTE(SUBSTITUTE(SUBSTITUTE(SUBSTITUTE(B386," ","_"),"(","_"),")","_"),".","_"),",","_"),"/","_"),"-","_"),"&amp;","_"),"Á","A"),"É","E"),"Í","I"),"Ó","O"),"Ú","U"),"Ñ","N"))</formula1>
    </dataValidation>
    <dataValidation sqref="C38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INDIRECT("PROV_"&amp;SUBSTITUTE(SUBSTITUTE(SUBSTITUTE(SUBSTITUTE(SUBSTITUTE(SUBSTITUTE(SUBSTITUTE(SUBSTITUTE(SUBSTITUTE(SUBSTITUTE(SUBSTITUTE(SUBSTITUTE(SUBSTITUTE(SUBSTITUTE(B387," ","_"),"(","_"),")","_"),".","_"),",","_"),"/","_"),"-","_"),"&amp;","_"),"Á","A"),"É","E"),"Í","I"),"Ó","O"),"Ú","U"),"Ñ","N"))</formula1>
    </dataValidation>
    <dataValidation sqref="C38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INDIRECT("PROV_"&amp;SUBSTITUTE(SUBSTITUTE(SUBSTITUTE(SUBSTITUTE(SUBSTITUTE(SUBSTITUTE(SUBSTITUTE(SUBSTITUTE(SUBSTITUTE(SUBSTITUTE(SUBSTITUTE(SUBSTITUTE(SUBSTITUTE(SUBSTITUTE(B388," ","_"),"(","_"),")","_"),".","_"),",","_"),"/","_"),"-","_"),"&amp;","_"),"Á","A"),"É","E"),"Í","I"),"Ó","O"),"Ú","U"),"Ñ","N"))</formula1>
    </dataValidation>
    <dataValidation sqref="C38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INDIRECT("PROV_"&amp;SUBSTITUTE(SUBSTITUTE(SUBSTITUTE(SUBSTITUTE(SUBSTITUTE(SUBSTITUTE(SUBSTITUTE(SUBSTITUTE(SUBSTITUTE(SUBSTITUTE(SUBSTITUTE(SUBSTITUTE(SUBSTITUTE(SUBSTITUTE(B389," ","_"),"(","_"),")","_"),".","_"),",","_"),"/","_"),"-","_"),"&amp;","_"),"Á","A"),"É","E"),"Í","I"),"Ó","O"),"Ú","U"),"Ñ","N"))</formula1>
    </dataValidation>
    <dataValidation sqref="C39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INDIRECT("PROV_"&amp;SUBSTITUTE(SUBSTITUTE(SUBSTITUTE(SUBSTITUTE(SUBSTITUTE(SUBSTITUTE(SUBSTITUTE(SUBSTITUTE(SUBSTITUTE(SUBSTITUTE(SUBSTITUTE(SUBSTITUTE(SUBSTITUTE(SUBSTITUTE(B390," ","_"),"(","_"),")","_"),".","_"),",","_"),"/","_"),"-","_"),"&amp;","_"),"Á","A"),"É","E"),"Í","I"),"Ó","O"),"Ú","U"),"Ñ","N"))</formula1>
    </dataValidation>
    <dataValidation sqref="C39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INDIRECT("PROV_"&amp;SUBSTITUTE(SUBSTITUTE(SUBSTITUTE(SUBSTITUTE(SUBSTITUTE(SUBSTITUTE(SUBSTITUTE(SUBSTITUTE(SUBSTITUTE(SUBSTITUTE(SUBSTITUTE(SUBSTITUTE(SUBSTITUTE(SUBSTITUTE(B391," ","_"),"(","_"),")","_"),".","_"),",","_"),"/","_"),"-","_"),"&amp;","_"),"Á","A"),"É","E"),"Í","I"),"Ó","O"),"Ú","U"),"Ñ","N"))</formula1>
    </dataValidation>
    <dataValidation sqref="C39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INDIRECT("PROV_"&amp;SUBSTITUTE(SUBSTITUTE(SUBSTITUTE(SUBSTITUTE(SUBSTITUTE(SUBSTITUTE(SUBSTITUTE(SUBSTITUTE(SUBSTITUTE(SUBSTITUTE(SUBSTITUTE(SUBSTITUTE(SUBSTITUTE(SUBSTITUTE(B392," ","_"),"(","_"),")","_"),".","_"),",","_"),"/","_"),"-","_"),"&amp;","_"),"Á","A"),"É","E"),"Í","I"),"Ó","O"),"Ú","U"),"Ñ","N"))</formula1>
    </dataValidation>
    <dataValidation sqref="C39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INDIRECT("PROV_"&amp;SUBSTITUTE(SUBSTITUTE(SUBSTITUTE(SUBSTITUTE(SUBSTITUTE(SUBSTITUTE(SUBSTITUTE(SUBSTITUTE(SUBSTITUTE(SUBSTITUTE(SUBSTITUTE(SUBSTITUTE(SUBSTITUTE(SUBSTITUTE(B393," ","_"),"(","_"),")","_"),".","_"),",","_"),"/","_"),"-","_"),"&amp;","_"),"Á","A"),"É","E"),"Í","I"),"Ó","O"),"Ú","U"),"Ñ","N"))</formula1>
    </dataValidation>
    <dataValidation sqref="C39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INDIRECT("PROV_"&amp;SUBSTITUTE(SUBSTITUTE(SUBSTITUTE(SUBSTITUTE(SUBSTITUTE(SUBSTITUTE(SUBSTITUTE(SUBSTITUTE(SUBSTITUTE(SUBSTITUTE(SUBSTITUTE(SUBSTITUTE(SUBSTITUTE(SUBSTITUTE(B394," ","_"),"(","_"),")","_"),".","_"),",","_"),"/","_"),"-","_"),"&amp;","_"),"Á","A"),"É","E"),"Í","I"),"Ó","O"),"Ú","U"),"Ñ","N"))</formula1>
    </dataValidation>
    <dataValidation sqref="C39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INDIRECT("PROV_"&amp;SUBSTITUTE(SUBSTITUTE(SUBSTITUTE(SUBSTITUTE(SUBSTITUTE(SUBSTITUTE(SUBSTITUTE(SUBSTITUTE(SUBSTITUTE(SUBSTITUTE(SUBSTITUTE(SUBSTITUTE(SUBSTITUTE(SUBSTITUTE(B395," ","_"),"(","_"),")","_"),".","_"),",","_"),"/","_"),"-","_"),"&amp;","_"),"Á","A"),"É","E"),"Í","I"),"Ó","O"),"Ú","U"),"Ñ","N"))</formula1>
    </dataValidation>
    <dataValidation sqref="C39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INDIRECT("PROV_"&amp;SUBSTITUTE(SUBSTITUTE(SUBSTITUTE(SUBSTITUTE(SUBSTITUTE(SUBSTITUTE(SUBSTITUTE(SUBSTITUTE(SUBSTITUTE(SUBSTITUTE(SUBSTITUTE(SUBSTITUTE(SUBSTITUTE(SUBSTITUTE(B396," ","_"),"(","_"),")","_"),".","_"),",","_"),"/","_"),"-","_"),"&amp;","_"),"Á","A"),"É","E"),"Í","I"),"Ó","O"),"Ú","U"),"Ñ","N"))</formula1>
    </dataValidation>
    <dataValidation sqref="C39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INDIRECT("PROV_"&amp;SUBSTITUTE(SUBSTITUTE(SUBSTITUTE(SUBSTITUTE(SUBSTITUTE(SUBSTITUTE(SUBSTITUTE(SUBSTITUTE(SUBSTITUTE(SUBSTITUTE(SUBSTITUTE(SUBSTITUTE(SUBSTITUTE(SUBSTITUTE(B397," ","_"),"(","_"),")","_"),".","_"),",","_"),"/","_"),"-","_"),"&amp;","_"),"Á","A"),"É","E"),"Í","I"),"Ó","O"),"Ú","U"),"Ñ","N"))</formula1>
    </dataValidation>
    <dataValidation sqref="C39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INDIRECT("PROV_"&amp;SUBSTITUTE(SUBSTITUTE(SUBSTITUTE(SUBSTITUTE(SUBSTITUTE(SUBSTITUTE(SUBSTITUTE(SUBSTITUTE(SUBSTITUTE(SUBSTITUTE(SUBSTITUTE(SUBSTITUTE(SUBSTITUTE(SUBSTITUTE(B398," ","_"),"(","_"),")","_"),".","_"),",","_"),"/","_"),"-","_"),"&amp;","_"),"Á","A"),"É","E"),"Í","I"),"Ó","O"),"Ú","U"),"Ñ","N"))</formula1>
    </dataValidation>
    <dataValidation sqref="C39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INDIRECT("PROV_"&amp;SUBSTITUTE(SUBSTITUTE(SUBSTITUTE(SUBSTITUTE(SUBSTITUTE(SUBSTITUTE(SUBSTITUTE(SUBSTITUTE(SUBSTITUTE(SUBSTITUTE(SUBSTITUTE(SUBSTITUTE(SUBSTITUTE(SUBSTITUTE(B399," ","_"),"(","_"),")","_"),".","_"),",","_"),"/","_"),"-","_"),"&amp;","_"),"Á","A"),"É","E"),"Í","I"),"Ó","O"),"Ú","U"),"Ñ","N"))</formula1>
    </dataValidation>
    <dataValidation sqref="C40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INDIRECT("PROV_"&amp;SUBSTITUTE(SUBSTITUTE(SUBSTITUTE(SUBSTITUTE(SUBSTITUTE(SUBSTITUTE(SUBSTITUTE(SUBSTITUTE(SUBSTITUTE(SUBSTITUTE(SUBSTITUTE(SUBSTITUTE(SUBSTITUTE(SUBSTITUTE(B400," ","_"),"(","_"),")","_"),".","_"),",","_"),"/","_"),"-","_"),"&amp;","_"),"Á","A"),"É","E"),"Í","I"),"Ó","O"),"Ú","U"),"Ñ","N"))</formula1>
    </dataValidation>
    <dataValidation sqref="C40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INDIRECT("PROV_"&amp;SUBSTITUTE(SUBSTITUTE(SUBSTITUTE(SUBSTITUTE(SUBSTITUTE(SUBSTITUTE(SUBSTITUTE(SUBSTITUTE(SUBSTITUTE(SUBSTITUTE(SUBSTITUTE(SUBSTITUTE(SUBSTITUTE(SUBSTITUTE(B401," ","_"),"(","_"),")","_"),".","_"),",","_"),"/","_"),"-","_"),"&amp;","_"),"Á","A"),"É","E"),"Í","I"),"Ó","O"),"Ú","U"),"Ñ","N"))</formula1>
    </dataValidation>
    <dataValidation sqref="C40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INDIRECT("PROV_"&amp;SUBSTITUTE(SUBSTITUTE(SUBSTITUTE(SUBSTITUTE(SUBSTITUTE(SUBSTITUTE(SUBSTITUTE(SUBSTITUTE(SUBSTITUTE(SUBSTITUTE(SUBSTITUTE(SUBSTITUTE(SUBSTITUTE(SUBSTITUTE(B402," ","_"),"(","_"),")","_"),".","_"),",","_"),"/","_"),"-","_"),"&amp;","_"),"Á","A"),"É","E"),"Í","I"),"Ó","O"),"Ú","U"),"Ñ","N"))</formula1>
    </dataValidation>
    <dataValidation sqref="C40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INDIRECT("PROV_"&amp;SUBSTITUTE(SUBSTITUTE(SUBSTITUTE(SUBSTITUTE(SUBSTITUTE(SUBSTITUTE(SUBSTITUTE(SUBSTITUTE(SUBSTITUTE(SUBSTITUTE(SUBSTITUTE(SUBSTITUTE(SUBSTITUTE(SUBSTITUTE(B403," ","_"),"(","_"),")","_"),".","_"),",","_"),"/","_"),"-","_"),"&amp;","_"),"Á","A"),"É","E"),"Í","I"),"Ó","O"),"Ú","U"),"Ñ","N"))</formula1>
    </dataValidation>
    <dataValidation sqref="C40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INDIRECT("PROV_"&amp;SUBSTITUTE(SUBSTITUTE(SUBSTITUTE(SUBSTITUTE(SUBSTITUTE(SUBSTITUTE(SUBSTITUTE(SUBSTITUTE(SUBSTITUTE(SUBSTITUTE(SUBSTITUTE(SUBSTITUTE(SUBSTITUTE(SUBSTITUTE(B404," ","_"),"(","_"),")","_"),".","_"),",","_"),"/","_"),"-","_"),"&amp;","_"),"Á","A"),"É","E"),"Í","I"),"Ó","O"),"Ú","U"),"Ñ","N"))</formula1>
    </dataValidation>
    <dataValidation sqref="C40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INDIRECT("PROV_"&amp;SUBSTITUTE(SUBSTITUTE(SUBSTITUTE(SUBSTITUTE(SUBSTITUTE(SUBSTITUTE(SUBSTITUTE(SUBSTITUTE(SUBSTITUTE(SUBSTITUTE(SUBSTITUTE(SUBSTITUTE(SUBSTITUTE(SUBSTITUTE(B405," ","_"),"(","_"),")","_"),".","_"),",","_"),"/","_"),"-","_"),"&amp;","_"),"Á","A"),"É","E"),"Í","I"),"Ó","O"),"Ú","U"),"Ñ","N"))</formula1>
    </dataValidation>
    <dataValidation sqref="C40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INDIRECT("PROV_"&amp;SUBSTITUTE(SUBSTITUTE(SUBSTITUTE(SUBSTITUTE(SUBSTITUTE(SUBSTITUTE(SUBSTITUTE(SUBSTITUTE(SUBSTITUTE(SUBSTITUTE(SUBSTITUTE(SUBSTITUTE(SUBSTITUTE(SUBSTITUTE(B406," ","_"),"(","_"),")","_"),".","_"),",","_"),"/","_"),"-","_"),"&amp;","_"),"Á","A"),"É","E"),"Í","I"),"Ó","O"),"Ú","U"),"Ñ","N"))</formula1>
    </dataValidation>
    <dataValidation sqref="C40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INDIRECT("PROV_"&amp;SUBSTITUTE(SUBSTITUTE(SUBSTITUTE(SUBSTITUTE(SUBSTITUTE(SUBSTITUTE(SUBSTITUTE(SUBSTITUTE(SUBSTITUTE(SUBSTITUTE(SUBSTITUTE(SUBSTITUTE(SUBSTITUTE(SUBSTITUTE(B407," ","_"),"(","_"),")","_"),".","_"),",","_"),"/","_"),"-","_"),"&amp;","_"),"Á","A"),"É","E"),"Í","I"),"Ó","O"),"Ú","U"),"Ñ","N"))</formula1>
    </dataValidation>
    <dataValidation sqref="C40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INDIRECT("PROV_"&amp;SUBSTITUTE(SUBSTITUTE(SUBSTITUTE(SUBSTITUTE(SUBSTITUTE(SUBSTITUTE(SUBSTITUTE(SUBSTITUTE(SUBSTITUTE(SUBSTITUTE(SUBSTITUTE(SUBSTITUTE(SUBSTITUTE(SUBSTITUTE(B408," ","_"),"(","_"),")","_"),".","_"),",","_"),"/","_"),"-","_"),"&amp;","_"),"Á","A"),"É","E"),"Í","I"),"Ó","O"),"Ú","U"),"Ñ","N"))</formula1>
    </dataValidation>
    <dataValidation sqref="C40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INDIRECT("PROV_"&amp;SUBSTITUTE(SUBSTITUTE(SUBSTITUTE(SUBSTITUTE(SUBSTITUTE(SUBSTITUTE(SUBSTITUTE(SUBSTITUTE(SUBSTITUTE(SUBSTITUTE(SUBSTITUTE(SUBSTITUTE(SUBSTITUTE(SUBSTITUTE(B409," ","_"),"(","_"),")","_"),".","_"),",","_"),"/","_"),"-","_"),"&amp;","_"),"Á","A"),"É","E"),"Í","I"),"Ó","O"),"Ú","U"),"Ñ","N"))</formula1>
    </dataValidation>
    <dataValidation sqref="C41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INDIRECT("PROV_"&amp;SUBSTITUTE(SUBSTITUTE(SUBSTITUTE(SUBSTITUTE(SUBSTITUTE(SUBSTITUTE(SUBSTITUTE(SUBSTITUTE(SUBSTITUTE(SUBSTITUTE(SUBSTITUTE(SUBSTITUTE(SUBSTITUTE(SUBSTITUTE(B410," ","_"),"(","_"),")","_"),".","_"),",","_"),"/","_"),"-","_"),"&amp;","_"),"Á","A"),"É","E"),"Í","I"),"Ó","O"),"Ú","U"),"Ñ","N"))</formula1>
    </dataValidation>
    <dataValidation sqref="C41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INDIRECT("PROV_"&amp;SUBSTITUTE(SUBSTITUTE(SUBSTITUTE(SUBSTITUTE(SUBSTITUTE(SUBSTITUTE(SUBSTITUTE(SUBSTITUTE(SUBSTITUTE(SUBSTITUTE(SUBSTITUTE(SUBSTITUTE(SUBSTITUTE(SUBSTITUTE(B411," ","_"),"(","_"),")","_"),".","_"),",","_"),"/","_"),"-","_"),"&amp;","_"),"Á","A"),"É","E"),"Í","I"),"Ó","O"),"Ú","U"),"Ñ","N"))</formula1>
    </dataValidation>
    <dataValidation sqref="C41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INDIRECT("PROV_"&amp;SUBSTITUTE(SUBSTITUTE(SUBSTITUTE(SUBSTITUTE(SUBSTITUTE(SUBSTITUTE(SUBSTITUTE(SUBSTITUTE(SUBSTITUTE(SUBSTITUTE(SUBSTITUTE(SUBSTITUTE(SUBSTITUTE(SUBSTITUTE(B412," ","_"),"(","_"),")","_"),".","_"),",","_"),"/","_"),"-","_"),"&amp;","_"),"Á","A"),"É","E"),"Í","I"),"Ó","O"),"Ú","U"),"Ñ","N"))</formula1>
    </dataValidation>
    <dataValidation sqref="C41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INDIRECT("PROV_"&amp;SUBSTITUTE(SUBSTITUTE(SUBSTITUTE(SUBSTITUTE(SUBSTITUTE(SUBSTITUTE(SUBSTITUTE(SUBSTITUTE(SUBSTITUTE(SUBSTITUTE(SUBSTITUTE(SUBSTITUTE(SUBSTITUTE(SUBSTITUTE(B413," ","_"),"(","_"),")","_"),".","_"),",","_"),"/","_"),"-","_"),"&amp;","_"),"Á","A"),"É","E"),"Í","I"),"Ó","O"),"Ú","U"),"Ñ","N"))</formula1>
    </dataValidation>
    <dataValidation sqref="C41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INDIRECT("PROV_"&amp;SUBSTITUTE(SUBSTITUTE(SUBSTITUTE(SUBSTITUTE(SUBSTITUTE(SUBSTITUTE(SUBSTITUTE(SUBSTITUTE(SUBSTITUTE(SUBSTITUTE(SUBSTITUTE(SUBSTITUTE(SUBSTITUTE(SUBSTITUTE(B414," ","_"),"(","_"),")","_"),".","_"),",","_"),"/","_"),"-","_"),"&amp;","_"),"Á","A"),"É","E"),"Í","I"),"Ó","O"),"Ú","U"),"Ñ","N"))</formula1>
    </dataValidation>
    <dataValidation sqref="C41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INDIRECT("PROV_"&amp;SUBSTITUTE(SUBSTITUTE(SUBSTITUTE(SUBSTITUTE(SUBSTITUTE(SUBSTITUTE(SUBSTITUTE(SUBSTITUTE(SUBSTITUTE(SUBSTITUTE(SUBSTITUTE(SUBSTITUTE(SUBSTITUTE(SUBSTITUTE(B415," ","_"),"(","_"),")","_"),".","_"),",","_"),"/","_"),"-","_"),"&amp;","_"),"Á","A"),"É","E"),"Í","I"),"Ó","O"),"Ú","U"),"Ñ","N"))</formula1>
    </dataValidation>
    <dataValidation sqref="C41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INDIRECT("PROV_"&amp;SUBSTITUTE(SUBSTITUTE(SUBSTITUTE(SUBSTITUTE(SUBSTITUTE(SUBSTITUTE(SUBSTITUTE(SUBSTITUTE(SUBSTITUTE(SUBSTITUTE(SUBSTITUTE(SUBSTITUTE(SUBSTITUTE(SUBSTITUTE(B416," ","_"),"(","_"),")","_"),".","_"),",","_"),"/","_"),"-","_"),"&amp;","_"),"Á","A"),"É","E"),"Í","I"),"Ó","O"),"Ú","U"),"Ñ","N"))</formula1>
    </dataValidation>
    <dataValidation sqref="C41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INDIRECT("PROV_"&amp;SUBSTITUTE(SUBSTITUTE(SUBSTITUTE(SUBSTITUTE(SUBSTITUTE(SUBSTITUTE(SUBSTITUTE(SUBSTITUTE(SUBSTITUTE(SUBSTITUTE(SUBSTITUTE(SUBSTITUTE(SUBSTITUTE(SUBSTITUTE(B417," ","_"),"(","_"),")","_"),".","_"),",","_"),"/","_"),"-","_"),"&amp;","_"),"Á","A"),"É","E"),"Í","I"),"Ó","O"),"Ú","U"),"Ñ","N"))</formula1>
    </dataValidation>
    <dataValidation sqref="C41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INDIRECT("PROV_"&amp;SUBSTITUTE(SUBSTITUTE(SUBSTITUTE(SUBSTITUTE(SUBSTITUTE(SUBSTITUTE(SUBSTITUTE(SUBSTITUTE(SUBSTITUTE(SUBSTITUTE(SUBSTITUTE(SUBSTITUTE(SUBSTITUTE(SUBSTITUTE(B418," ","_"),"(","_"),")","_"),".","_"),",","_"),"/","_"),"-","_"),"&amp;","_"),"Á","A"),"É","E"),"Í","I"),"Ó","O"),"Ú","U"),"Ñ","N"))</formula1>
    </dataValidation>
    <dataValidation sqref="C41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INDIRECT("PROV_"&amp;SUBSTITUTE(SUBSTITUTE(SUBSTITUTE(SUBSTITUTE(SUBSTITUTE(SUBSTITUTE(SUBSTITUTE(SUBSTITUTE(SUBSTITUTE(SUBSTITUTE(SUBSTITUTE(SUBSTITUTE(SUBSTITUTE(SUBSTITUTE(B419," ","_"),"(","_"),")","_"),".","_"),",","_"),"/","_"),"-","_"),"&amp;","_"),"Á","A"),"É","E"),"Í","I"),"Ó","O"),"Ú","U"),"Ñ","N"))</formula1>
    </dataValidation>
    <dataValidation sqref="C42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INDIRECT("PROV_"&amp;SUBSTITUTE(SUBSTITUTE(SUBSTITUTE(SUBSTITUTE(SUBSTITUTE(SUBSTITUTE(SUBSTITUTE(SUBSTITUTE(SUBSTITUTE(SUBSTITUTE(SUBSTITUTE(SUBSTITUTE(SUBSTITUTE(SUBSTITUTE(B420," ","_"),"(","_"),")","_"),".","_"),",","_"),"/","_"),"-","_"),"&amp;","_"),"Á","A"),"É","E"),"Í","I"),"Ó","O"),"Ú","U"),"Ñ","N"))</formula1>
    </dataValidation>
    <dataValidation sqref="C42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INDIRECT("PROV_"&amp;SUBSTITUTE(SUBSTITUTE(SUBSTITUTE(SUBSTITUTE(SUBSTITUTE(SUBSTITUTE(SUBSTITUTE(SUBSTITUTE(SUBSTITUTE(SUBSTITUTE(SUBSTITUTE(SUBSTITUTE(SUBSTITUTE(SUBSTITUTE(B421," ","_"),"(","_"),")","_"),".","_"),",","_"),"/","_"),"-","_"),"&amp;","_"),"Á","A"),"É","E"),"Í","I"),"Ó","O"),"Ú","U"),"Ñ","N"))</formula1>
    </dataValidation>
    <dataValidation sqref="C42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INDIRECT("PROV_"&amp;SUBSTITUTE(SUBSTITUTE(SUBSTITUTE(SUBSTITUTE(SUBSTITUTE(SUBSTITUTE(SUBSTITUTE(SUBSTITUTE(SUBSTITUTE(SUBSTITUTE(SUBSTITUTE(SUBSTITUTE(SUBSTITUTE(SUBSTITUTE(B422," ","_"),"(","_"),")","_"),".","_"),",","_"),"/","_"),"-","_"),"&amp;","_"),"Á","A"),"É","E"),"Í","I"),"Ó","O"),"Ú","U"),"Ñ","N"))</formula1>
    </dataValidation>
    <dataValidation sqref="C42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INDIRECT("PROV_"&amp;SUBSTITUTE(SUBSTITUTE(SUBSTITUTE(SUBSTITUTE(SUBSTITUTE(SUBSTITUTE(SUBSTITUTE(SUBSTITUTE(SUBSTITUTE(SUBSTITUTE(SUBSTITUTE(SUBSTITUTE(SUBSTITUTE(SUBSTITUTE(B423," ","_"),"(","_"),")","_"),".","_"),",","_"),"/","_"),"-","_"),"&amp;","_"),"Á","A"),"É","E"),"Í","I"),"Ó","O"),"Ú","U"),"Ñ","N"))</formula1>
    </dataValidation>
    <dataValidation sqref="C42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INDIRECT("PROV_"&amp;SUBSTITUTE(SUBSTITUTE(SUBSTITUTE(SUBSTITUTE(SUBSTITUTE(SUBSTITUTE(SUBSTITUTE(SUBSTITUTE(SUBSTITUTE(SUBSTITUTE(SUBSTITUTE(SUBSTITUTE(SUBSTITUTE(SUBSTITUTE(B424," ","_"),"(","_"),")","_"),".","_"),",","_"),"/","_"),"-","_"),"&amp;","_"),"Á","A"),"É","E"),"Í","I"),"Ó","O"),"Ú","U"),"Ñ","N"))</formula1>
    </dataValidation>
    <dataValidation sqref="C42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INDIRECT("PROV_"&amp;SUBSTITUTE(SUBSTITUTE(SUBSTITUTE(SUBSTITUTE(SUBSTITUTE(SUBSTITUTE(SUBSTITUTE(SUBSTITUTE(SUBSTITUTE(SUBSTITUTE(SUBSTITUTE(SUBSTITUTE(SUBSTITUTE(SUBSTITUTE(B425," ","_"),"(","_"),")","_"),".","_"),",","_"),"/","_"),"-","_"),"&amp;","_"),"Á","A"),"É","E"),"Í","I"),"Ó","O"),"Ú","U"),"Ñ","N"))</formula1>
    </dataValidation>
    <dataValidation sqref="C42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INDIRECT("PROV_"&amp;SUBSTITUTE(SUBSTITUTE(SUBSTITUTE(SUBSTITUTE(SUBSTITUTE(SUBSTITUTE(SUBSTITUTE(SUBSTITUTE(SUBSTITUTE(SUBSTITUTE(SUBSTITUTE(SUBSTITUTE(SUBSTITUTE(SUBSTITUTE(B426," ","_"),"(","_"),")","_"),".","_"),",","_"),"/","_"),"-","_"),"&amp;","_"),"Á","A"),"É","E"),"Í","I"),"Ó","O"),"Ú","U"),"Ñ","N"))</formula1>
    </dataValidation>
    <dataValidation sqref="C42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INDIRECT("PROV_"&amp;SUBSTITUTE(SUBSTITUTE(SUBSTITUTE(SUBSTITUTE(SUBSTITUTE(SUBSTITUTE(SUBSTITUTE(SUBSTITUTE(SUBSTITUTE(SUBSTITUTE(SUBSTITUTE(SUBSTITUTE(SUBSTITUTE(SUBSTITUTE(B427," ","_"),"(","_"),")","_"),".","_"),",","_"),"/","_"),"-","_"),"&amp;","_"),"Á","A"),"É","E"),"Í","I"),"Ó","O"),"Ú","U"),"Ñ","N"))</formula1>
    </dataValidation>
    <dataValidation sqref="C42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INDIRECT("PROV_"&amp;SUBSTITUTE(SUBSTITUTE(SUBSTITUTE(SUBSTITUTE(SUBSTITUTE(SUBSTITUTE(SUBSTITUTE(SUBSTITUTE(SUBSTITUTE(SUBSTITUTE(SUBSTITUTE(SUBSTITUTE(SUBSTITUTE(SUBSTITUTE(B428," ","_"),"(","_"),")","_"),".","_"),",","_"),"/","_"),"-","_"),"&amp;","_"),"Á","A"),"É","E"),"Í","I"),"Ó","O"),"Ú","U"),"Ñ","N"))</formula1>
    </dataValidation>
    <dataValidation sqref="C42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INDIRECT("PROV_"&amp;SUBSTITUTE(SUBSTITUTE(SUBSTITUTE(SUBSTITUTE(SUBSTITUTE(SUBSTITUTE(SUBSTITUTE(SUBSTITUTE(SUBSTITUTE(SUBSTITUTE(SUBSTITUTE(SUBSTITUTE(SUBSTITUTE(SUBSTITUTE(B429," ","_"),"(","_"),")","_"),".","_"),",","_"),"/","_"),"-","_"),"&amp;","_"),"Á","A"),"É","E"),"Í","I"),"Ó","O"),"Ú","U"),"Ñ","N"))</formula1>
    </dataValidation>
    <dataValidation sqref="C43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INDIRECT("PROV_"&amp;SUBSTITUTE(SUBSTITUTE(SUBSTITUTE(SUBSTITUTE(SUBSTITUTE(SUBSTITUTE(SUBSTITUTE(SUBSTITUTE(SUBSTITUTE(SUBSTITUTE(SUBSTITUTE(SUBSTITUTE(SUBSTITUTE(SUBSTITUTE(B430," ","_"),"(","_"),")","_"),".","_"),",","_"),"/","_"),"-","_"),"&amp;","_"),"Á","A"),"É","E"),"Í","I"),"Ó","O"),"Ú","U"),"Ñ","N"))</formula1>
    </dataValidation>
    <dataValidation sqref="C43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INDIRECT("PROV_"&amp;SUBSTITUTE(SUBSTITUTE(SUBSTITUTE(SUBSTITUTE(SUBSTITUTE(SUBSTITUTE(SUBSTITUTE(SUBSTITUTE(SUBSTITUTE(SUBSTITUTE(SUBSTITUTE(SUBSTITUTE(SUBSTITUTE(SUBSTITUTE(B431," ","_"),"(","_"),")","_"),".","_"),",","_"),"/","_"),"-","_"),"&amp;","_"),"Á","A"),"É","E"),"Í","I"),"Ó","O"),"Ú","U"),"Ñ","N"))</formula1>
    </dataValidation>
    <dataValidation sqref="C43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INDIRECT("PROV_"&amp;SUBSTITUTE(SUBSTITUTE(SUBSTITUTE(SUBSTITUTE(SUBSTITUTE(SUBSTITUTE(SUBSTITUTE(SUBSTITUTE(SUBSTITUTE(SUBSTITUTE(SUBSTITUTE(SUBSTITUTE(SUBSTITUTE(SUBSTITUTE(B432," ","_"),"(","_"),")","_"),".","_"),",","_"),"/","_"),"-","_"),"&amp;","_"),"Á","A"),"É","E"),"Í","I"),"Ó","O"),"Ú","U"),"Ñ","N"))</formula1>
    </dataValidation>
    <dataValidation sqref="C43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INDIRECT("PROV_"&amp;SUBSTITUTE(SUBSTITUTE(SUBSTITUTE(SUBSTITUTE(SUBSTITUTE(SUBSTITUTE(SUBSTITUTE(SUBSTITUTE(SUBSTITUTE(SUBSTITUTE(SUBSTITUTE(SUBSTITUTE(SUBSTITUTE(SUBSTITUTE(B433," ","_"),"(","_"),")","_"),".","_"),",","_"),"/","_"),"-","_"),"&amp;","_"),"Á","A"),"É","E"),"Í","I"),"Ó","O"),"Ú","U"),"Ñ","N"))</formula1>
    </dataValidation>
    <dataValidation sqref="C43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INDIRECT("PROV_"&amp;SUBSTITUTE(SUBSTITUTE(SUBSTITUTE(SUBSTITUTE(SUBSTITUTE(SUBSTITUTE(SUBSTITUTE(SUBSTITUTE(SUBSTITUTE(SUBSTITUTE(SUBSTITUTE(SUBSTITUTE(SUBSTITUTE(SUBSTITUTE(B434," ","_"),"(","_"),")","_"),".","_"),",","_"),"/","_"),"-","_"),"&amp;","_"),"Á","A"),"É","E"),"Í","I"),"Ó","O"),"Ú","U"),"Ñ","N"))</formula1>
    </dataValidation>
    <dataValidation sqref="C43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INDIRECT("PROV_"&amp;SUBSTITUTE(SUBSTITUTE(SUBSTITUTE(SUBSTITUTE(SUBSTITUTE(SUBSTITUTE(SUBSTITUTE(SUBSTITUTE(SUBSTITUTE(SUBSTITUTE(SUBSTITUTE(SUBSTITUTE(SUBSTITUTE(SUBSTITUTE(B435," ","_"),"(","_"),")","_"),".","_"),",","_"),"/","_"),"-","_"),"&amp;","_"),"Á","A"),"É","E"),"Í","I"),"Ó","O"),"Ú","U"),"Ñ","N"))</formula1>
    </dataValidation>
    <dataValidation sqref="C43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INDIRECT("PROV_"&amp;SUBSTITUTE(SUBSTITUTE(SUBSTITUTE(SUBSTITUTE(SUBSTITUTE(SUBSTITUTE(SUBSTITUTE(SUBSTITUTE(SUBSTITUTE(SUBSTITUTE(SUBSTITUTE(SUBSTITUTE(SUBSTITUTE(SUBSTITUTE(B436," ","_"),"(","_"),")","_"),".","_"),",","_"),"/","_"),"-","_"),"&amp;","_"),"Á","A"),"É","E"),"Í","I"),"Ó","O"),"Ú","U"),"Ñ","N"))</formula1>
    </dataValidation>
    <dataValidation sqref="C43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INDIRECT("PROV_"&amp;SUBSTITUTE(SUBSTITUTE(SUBSTITUTE(SUBSTITUTE(SUBSTITUTE(SUBSTITUTE(SUBSTITUTE(SUBSTITUTE(SUBSTITUTE(SUBSTITUTE(SUBSTITUTE(SUBSTITUTE(SUBSTITUTE(SUBSTITUTE(B437," ","_"),"(","_"),")","_"),".","_"),",","_"),"/","_"),"-","_"),"&amp;","_"),"Á","A"),"É","E"),"Í","I"),"Ó","O"),"Ú","U"),"Ñ","N"))</formula1>
    </dataValidation>
    <dataValidation sqref="C43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INDIRECT("PROV_"&amp;SUBSTITUTE(SUBSTITUTE(SUBSTITUTE(SUBSTITUTE(SUBSTITUTE(SUBSTITUTE(SUBSTITUTE(SUBSTITUTE(SUBSTITUTE(SUBSTITUTE(SUBSTITUTE(SUBSTITUTE(SUBSTITUTE(SUBSTITUTE(B438," ","_"),"(","_"),")","_"),".","_"),",","_"),"/","_"),"-","_"),"&amp;","_"),"Á","A"),"É","E"),"Í","I"),"Ó","O"),"Ú","U"),"Ñ","N"))</formula1>
    </dataValidation>
    <dataValidation sqref="C43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INDIRECT("PROV_"&amp;SUBSTITUTE(SUBSTITUTE(SUBSTITUTE(SUBSTITUTE(SUBSTITUTE(SUBSTITUTE(SUBSTITUTE(SUBSTITUTE(SUBSTITUTE(SUBSTITUTE(SUBSTITUTE(SUBSTITUTE(SUBSTITUTE(SUBSTITUTE(B439," ","_"),"(","_"),")","_"),".","_"),",","_"),"/","_"),"-","_"),"&amp;","_"),"Á","A"),"É","E"),"Í","I"),"Ó","O"),"Ú","U"),"Ñ","N"))</formula1>
    </dataValidation>
    <dataValidation sqref="C44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INDIRECT("PROV_"&amp;SUBSTITUTE(SUBSTITUTE(SUBSTITUTE(SUBSTITUTE(SUBSTITUTE(SUBSTITUTE(SUBSTITUTE(SUBSTITUTE(SUBSTITUTE(SUBSTITUTE(SUBSTITUTE(SUBSTITUTE(SUBSTITUTE(SUBSTITUTE(B440," ","_"),"(","_"),")","_"),".","_"),",","_"),"/","_"),"-","_"),"&amp;","_"),"Á","A"),"É","E"),"Í","I"),"Ó","O"),"Ú","U"),"Ñ","N"))</formula1>
    </dataValidation>
    <dataValidation sqref="C44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INDIRECT("PROV_"&amp;SUBSTITUTE(SUBSTITUTE(SUBSTITUTE(SUBSTITUTE(SUBSTITUTE(SUBSTITUTE(SUBSTITUTE(SUBSTITUTE(SUBSTITUTE(SUBSTITUTE(SUBSTITUTE(SUBSTITUTE(SUBSTITUTE(SUBSTITUTE(B441," ","_"),"(","_"),")","_"),".","_"),",","_"),"/","_"),"-","_"),"&amp;","_"),"Á","A"),"É","E"),"Í","I"),"Ó","O"),"Ú","U"),"Ñ","N"))</formula1>
    </dataValidation>
    <dataValidation sqref="C442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INDIRECT("PROV_"&amp;SUBSTITUTE(SUBSTITUTE(SUBSTITUTE(SUBSTITUTE(SUBSTITUTE(SUBSTITUTE(SUBSTITUTE(SUBSTITUTE(SUBSTITUTE(SUBSTITUTE(SUBSTITUTE(SUBSTITUTE(SUBSTITUTE(SUBSTITUTE(B442," ","_"),"(","_"),")","_"),".","_"),",","_"),"/","_"),"-","_"),"&amp;","_"),"Á","A"),"É","E"),"Í","I"),"Ó","O"),"Ú","U"),"Ñ","N"))</formula1>
    </dataValidation>
    <dataValidation sqref="C443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INDIRECT("PROV_"&amp;SUBSTITUTE(SUBSTITUTE(SUBSTITUTE(SUBSTITUTE(SUBSTITUTE(SUBSTITUTE(SUBSTITUTE(SUBSTITUTE(SUBSTITUTE(SUBSTITUTE(SUBSTITUTE(SUBSTITUTE(SUBSTITUTE(SUBSTITUTE(B443," ","_"),"(","_"),")","_"),".","_"),",","_"),"/","_"),"-","_"),"&amp;","_"),"Á","A"),"É","E"),"Í","I"),"Ó","O"),"Ú","U"),"Ñ","N"))</formula1>
    </dataValidation>
    <dataValidation sqref="C444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INDIRECT("PROV_"&amp;SUBSTITUTE(SUBSTITUTE(SUBSTITUTE(SUBSTITUTE(SUBSTITUTE(SUBSTITUTE(SUBSTITUTE(SUBSTITUTE(SUBSTITUTE(SUBSTITUTE(SUBSTITUTE(SUBSTITUTE(SUBSTITUTE(SUBSTITUTE(B444," ","_"),"(","_"),")","_"),".","_"),",","_"),"/","_"),"-","_"),"&amp;","_"),"Á","A"),"É","E"),"Í","I"),"Ó","O"),"Ú","U"),"Ñ","N"))</formula1>
    </dataValidation>
    <dataValidation sqref="C445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INDIRECT("PROV_"&amp;SUBSTITUTE(SUBSTITUTE(SUBSTITUTE(SUBSTITUTE(SUBSTITUTE(SUBSTITUTE(SUBSTITUTE(SUBSTITUTE(SUBSTITUTE(SUBSTITUTE(SUBSTITUTE(SUBSTITUTE(SUBSTITUTE(SUBSTITUTE(B445," ","_"),"(","_"),")","_"),".","_"),",","_"),"/","_"),"-","_"),"&amp;","_"),"Á","A"),"É","E"),"Í","I"),"Ó","O"),"Ú","U"),"Ñ","N"))</formula1>
    </dataValidation>
    <dataValidation sqref="C446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INDIRECT("PROV_"&amp;SUBSTITUTE(SUBSTITUTE(SUBSTITUTE(SUBSTITUTE(SUBSTITUTE(SUBSTITUTE(SUBSTITUTE(SUBSTITUTE(SUBSTITUTE(SUBSTITUTE(SUBSTITUTE(SUBSTITUTE(SUBSTITUTE(SUBSTITUTE(B446," ","_"),"(","_"),")","_"),".","_"),",","_"),"/","_"),"-","_"),"&amp;","_"),"Á","A"),"É","E"),"Í","I"),"Ó","O"),"Ú","U"),"Ñ","N"))</formula1>
    </dataValidation>
    <dataValidation sqref="C447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INDIRECT("PROV_"&amp;SUBSTITUTE(SUBSTITUTE(SUBSTITUTE(SUBSTITUTE(SUBSTITUTE(SUBSTITUTE(SUBSTITUTE(SUBSTITUTE(SUBSTITUTE(SUBSTITUTE(SUBSTITUTE(SUBSTITUTE(SUBSTITUTE(SUBSTITUTE(B447," ","_"),"(","_"),")","_"),".","_"),",","_"),"/","_"),"-","_"),"&amp;","_"),"Á","A"),"É","E"),"Í","I"),"Ó","O"),"Ú","U"),"Ñ","N"))</formula1>
    </dataValidation>
    <dataValidation sqref="C448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INDIRECT("PROV_"&amp;SUBSTITUTE(SUBSTITUTE(SUBSTITUTE(SUBSTITUTE(SUBSTITUTE(SUBSTITUTE(SUBSTITUTE(SUBSTITUTE(SUBSTITUTE(SUBSTITUTE(SUBSTITUTE(SUBSTITUTE(SUBSTITUTE(SUBSTITUTE(B448," ","_"),"(","_"),")","_"),".","_"),",","_"),"/","_"),"-","_"),"&amp;","_"),"Á","A"),"É","E"),"Í","I"),"Ó","O"),"Ú","U"),"Ñ","N"))</formula1>
    </dataValidation>
    <dataValidation sqref="C449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INDIRECT("PROV_"&amp;SUBSTITUTE(SUBSTITUTE(SUBSTITUTE(SUBSTITUTE(SUBSTITUTE(SUBSTITUTE(SUBSTITUTE(SUBSTITUTE(SUBSTITUTE(SUBSTITUTE(SUBSTITUTE(SUBSTITUTE(SUBSTITUTE(SUBSTITUTE(B449," ","_"),"(","_"),")","_"),".","_"),",","_"),"/","_"),"-","_"),"&amp;","_"),"Á","A"),"É","E"),"Í","I"),"Ó","O"),"Ú","U"),"Ñ","N"))</formula1>
    </dataValidation>
    <dataValidation sqref="C450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INDIRECT("PROV_"&amp;SUBSTITUTE(SUBSTITUTE(SUBSTITUTE(SUBSTITUTE(SUBSTITUTE(SUBSTITUTE(SUBSTITUTE(SUBSTITUTE(SUBSTITUTE(SUBSTITUTE(SUBSTITUTE(SUBSTITUTE(SUBSTITUTE(SUBSTITUTE(B450," ","_"),"(","_"),")","_"),".","_"),",","_"),"/","_"),"-","_"),"&amp;","_"),"Á","A"),"É","E"),"Í","I"),"Ó","O"),"Ú","U"),"Ñ","N"))</formula1>
    </dataValidation>
    <dataValidation sqref="C451" showDropDown="0" showInputMessage="0" showErrorMessage="1" allowBlank="1" errorTitle="Servicio no está en la Maestra" error="Este servicio no existe en la Maestra para el proveedor elegido. Puedes continuar si es un registro manual." type="list" errorStyle="warning">
      <formula1>INDIRECT("PROV_"&amp;SUBSTITUTE(SUBSTITUTE(SUBSTITUTE(SUBSTITUTE(SUBSTITUTE(SUBSTITUTE(SUBSTITUTE(SUBSTITUTE(SUBSTITUTE(SUBSTITUTE(SUBSTITUTE(SUBSTITUTE(SUBSTITUTE(SUBSTITUTE(B451," ","_"),"(","_"),")","_"),".","_"),",","_"),"/","_"),"-","_"),"&amp;","_"),"Á","A"),"É","E"),"Í","I"),"Ó","O"),"Ú","U"),"Ñ","N"))</formula1>
    </dataValidation>
    <dataValidation sqref="J4:J451" showDropDown="0" showInputMessage="0" showErrorMessage="0" allowBlank="1" type="list">
      <formula1>"Calle 100,Aeropuerto,Buenaventura,Cartagena,Barranquilla,Medellín,Cali,Transversal,Puertos"</formula1>
    </dataValidation>
    <dataValidation sqref="Y4:Y451" showDropDown="0" showInputMessage="0" showErrorMessage="0" allowBlank="1" type="list">
      <formula1>"Aprobado,Pendiente,Rechazado"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1"/>
  <sheetViews>
    <sheetView zoomScaleNormal="100" workbookViewId="0">
      <pane ySplit="2" topLeftCell="A3" activePane="bottomLeft" state="frozen"/>
      <selection pane="bottomLeft" activeCell="C17" sqref="C17"/>
    </sheetView>
  </sheetViews>
  <sheetFormatPr baseColWidth="10" defaultColWidth="8.7109375" defaultRowHeight="15"/>
  <cols>
    <col width="5" customWidth="1" min="1" max="1"/>
    <col width="40" customWidth="1" min="2" max="2"/>
    <col width="30" customWidth="1" min="3" max="3"/>
    <col width="8" customWidth="1" min="4" max="4"/>
    <col width="30" customWidth="1" min="5" max="6"/>
    <col width="36" customWidth="1" min="7" max="7"/>
    <col width="38" customWidth="1" min="8" max="8"/>
    <col width="13" customWidth="1" min="9" max="9"/>
    <col width="14" customWidth="1" min="10" max="10"/>
    <col width="15" customWidth="1" min="11" max="11"/>
    <col width="13" customWidth="1" min="12" max="12"/>
    <col width="14" customWidth="1" min="13" max="13"/>
  </cols>
  <sheetData>
    <row r="1" ht="30" customHeight="1">
      <c r="A1" s="49" t="inlineStr">
        <is>
          <t>ARCHIVO PLANO — PARA CONTABILIDAD  |  Generado automáticamente desde REGISTRO</t>
        </is>
      </c>
    </row>
    <row r="2" ht="24.75" customHeight="1">
      <c r="A2" s="34" t="inlineStr">
        <is>
          <t>N°</t>
        </is>
      </c>
      <c r="B2" s="34" t="inlineStr">
        <is>
          <t>PROVEEDOR</t>
        </is>
      </c>
      <c r="C2" s="34" t="inlineStr">
        <is>
          <t>SERVICIO</t>
        </is>
      </c>
      <c r="D2" s="34" t="inlineStr">
        <is>
          <t>ÁREA</t>
        </is>
      </c>
      <c r="E2" s="34" t="inlineStr">
        <is>
          <t>P&amp;L</t>
        </is>
      </c>
      <c r="F2" s="34" t="inlineStr">
        <is>
          <t>CUENTA CONTABLE</t>
        </is>
      </c>
      <c r="G2" s="34" t="inlineStr">
        <is>
          <t>GLOSA</t>
        </is>
      </c>
      <c r="H2" s="34" t="inlineStr">
        <is>
          <t>DETALLE</t>
        </is>
      </c>
      <c r="I2" s="34" t="inlineStr">
        <is>
          <t>SUCURSAL</t>
        </is>
      </c>
      <c r="J2" s="34" t="inlineStr">
        <is>
          <t>N° FACTURA</t>
        </is>
      </c>
      <c r="K2" s="34" t="inlineStr">
        <is>
          <t>FECHA VENCIMIENTO</t>
        </is>
      </c>
      <c r="L2" s="34" t="inlineStr">
        <is>
          <t>GASTO NETO</t>
        </is>
      </c>
      <c r="M2" s="34" t="inlineStr">
        <is>
          <t>MES EJECUCIÓN</t>
        </is>
      </c>
    </row>
    <row r="3" ht="15" customHeight="1">
      <c r="A3" s="4">
        <f>IF(REGISTRO!B4="","",REGISTRO!A4)</f>
        <v/>
      </c>
      <c r="B3" s="4">
        <f>IF(REGISTRO!B4="","",REGISTRO!B4)</f>
        <v/>
      </c>
      <c r="C3" s="4">
        <f>IF(REGISTRO!B4="","",REGISTRO!C4)</f>
        <v/>
      </c>
      <c r="D3" s="4">
        <f>IF(REGISTRO!B4="","",REGISTRO!D4)</f>
        <v/>
      </c>
      <c r="E3" s="4">
        <f>IF(REGISTRO!B4="","",REGISTRO!E4)</f>
        <v/>
      </c>
      <c r="F3" s="4">
        <f>IF(REGISTRO!B4="","",REGISTRO!F4)</f>
        <v/>
      </c>
      <c r="G3" s="4">
        <f>IF(REGISTRO!B4="","",REGISTRO!G4)</f>
        <v/>
      </c>
      <c r="H3" s="4">
        <f>IF(REGISTRO!B4="","",REGISTRO!I4)</f>
        <v/>
      </c>
      <c r="I3" s="4">
        <f>IF(REGISTRO!B4="","",REGISTRO!J4)</f>
        <v/>
      </c>
      <c r="J3" s="4">
        <f>IF(REGISTRO!B4="","",REGISTRO!K4)</f>
        <v/>
      </c>
      <c r="K3" s="35">
        <f>IF(REGISTRO!B4="","",REGISTRO!N4)</f>
        <v/>
      </c>
      <c r="L3" s="36">
        <f>IF(REGISTRO!B4="","",REGISTRO!R4)</f>
        <v/>
      </c>
      <c r="M3" s="4">
        <f>IF(REGISTRO!B4="","",REGISTRO!S4)</f>
        <v/>
      </c>
    </row>
    <row r="4" ht="15" customHeight="1">
      <c r="A4" s="68">
        <f>IF(REGISTRO!B4="","",REGISTRO!A4)</f>
        <v/>
      </c>
      <c r="B4" s="68">
        <f>IF(REGISTRO!B4="","",REGISTRO!B4)</f>
        <v/>
      </c>
      <c r="C4" s="68">
        <f>IF(REGISTRO!B4="","",REGISTRO!C4)</f>
        <v/>
      </c>
      <c r="D4" s="68">
        <f>IF(REGISTRO!B4="","",REGISTRO!D4)</f>
        <v/>
      </c>
      <c r="E4" s="68">
        <f>IF(REGISTRO!B4="","",REGISTRO!E4)</f>
        <v/>
      </c>
      <c r="F4" s="68">
        <f>IF(REGISTRO!B4="","",REGISTRO!F4)</f>
        <v/>
      </c>
      <c r="G4" s="68">
        <f>IF(REGISTRO!B4="","",REGISTRO!G4)</f>
        <v/>
      </c>
      <c r="H4" s="68">
        <f>IF(REGISTRO!B4="","",REGISTRO!I4)</f>
        <v/>
      </c>
      <c r="I4" s="68">
        <f>IF(REGISTRO!B4="","",REGISTRO!J4)</f>
        <v/>
      </c>
      <c r="J4" s="68">
        <f>IF(REGISTRO!B4="","",REGISTRO!K4)</f>
        <v/>
      </c>
      <c r="K4" s="69">
        <f>IF(REGISTRO!B4="","",REGISTRO!N4)</f>
        <v/>
      </c>
      <c r="L4" s="70">
        <f>IF(REGISTRO!B4="","",REGISTRO!R4)</f>
        <v/>
      </c>
      <c r="M4" s="68">
        <f>IF(REGISTRO!B4="","",REGISTRO!S4)</f>
        <v/>
      </c>
    </row>
    <row r="5" ht="15" customHeight="1">
      <c r="A5" s="71">
        <f>IF(REGISTRO!B5="","",REGISTRO!A5)</f>
        <v/>
      </c>
      <c r="B5" s="71">
        <f>IF(REGISTRO!B5="","",REGISTRO!B5)</f>
        <v/>
      </c>
      <c r="C5" s="71">
        <f>IF(REGISTRO!B5="","",REGISTRO!C5)</f>
        <v/>
      </c>
      <c r="D5" s="71">
        <f>IF(REGISTRO!B5="","",REGISTRO!D5)</f>
        <v/>
      </c>
      <c r="E5" s="71">
        <f>IF(REGISTRO!B5="","",REGISTRO!E5)</f>
        <v/>
      </c>
      <c r="F5" s="71">
        <f>IF(REGISTRO!B5="","",REGISTRO!F5)</f>
        <v/>
      </c>
      <c r="G5" s="71">
        <f>IF(REGISTRO!B5="","",REGISTRO!G5)</f>
        <v/>
      </c>
      <c r="H5" s="71">
        <f>IF(REGISTRO!B5="","",REGISTRO!I5)</f>
        <v/>
      </c>
      <c r="I5" s="71">
        <f>IF(REGISTRO!B5="","",REGISTRO!J5)</f>
        <v/>
      </c>
      <c r="J5" s="71">
        <f>IF(REGISTRO!B5="","",REGISTRO!K5)</f>
        <v/>
      </c>
      <c r="K5" s="72">
        <f>IF(REGISTRO!B5="","",REGISTRO!N5)</f>
        <v/>
      </c>
      <c r="L5" s="73">
        <f>IF(REGISTRO!B5="","",REGISTRO!R5)</f>
        <v/>
      </c>
      <c r="M5" s="71">
        <f>IF(REGISTRO!B5="","",REGISTRO!S5)</f>
        <v/>
      </c>
    </row>
    <row r="6" ht="15" customHeight="1">
      <c r="A6" s="68">
        <f>IF(REGISTRO!B6="","",REGISTRO!A6)</f>
        <v/>
      </c>
      <c r="B6" s="68">
        <f>IF(REGISTRO!B6="","",REGISTRO!B6)</f>
        <v/>
      </c>
      <c r="C6" s="68">
        <f>IF(REGISTRO!B6="","",REGISTRO!C6)</f>
        <v/>
      </c>
      <c r="D6" s="68">
        <f>IF(REGISTRO!B6="","",REGISTRO!D6)</f>
        <v/>
      </c>
      <c r="E6" s="68">
        <f>IF(REGISTRO!B6="","",REGISTRO!E6)</f>
        <v/>
      </c>
      <c r="F6" s="68">
        <f>IF(REGISTRO!B6="","",REGISTRO!F6)</f>
        <v/>
      </c>
      <c r="G6" s="68">
        <f>IF(REGISTRO!B6="","",REGISTRO!G6)</f>
        <v/>
      </c>
      <c r="H6" s="68">
        <f>IF(REGISTRO!B6="","",REGISTRO!I6)</f>
        <v/>
      </c>
      <c r="I6" s="68">
        <f>IF(REGISTRO!B6="","",REGISTRO!J6)</f>
        <v/>
      </c>
      <c r="J6" s="68">
        <f>IF(REGISTRO!B6="","",REGISTRO!K6)</f>
        <v/>
      </c>
      <c r="K6" s="69">
        <f>IF(REGISTRO!B6="","",REGISTRO!N6)</f>
        <v/>
      </c>
      <c r="L6" s="70">
        <f>IF(REGISTRO!B6="","",REGISTRO!R6)</f>
        <v/>
      </c>
      <c r="M6" s="68">
        <f>IF(REGISTRO!B6="","",REGISTRO!S6)</f>
        <v/>
      </c>
    </row>
    <row r="7" ht="15" customHeight="1">
      <c r="A7" s="71">
        <f>IF(REGISTRO!B7="","",REGISTRO!A7)</f>
        <v/>
      </c>
      <c r="B7" s="71">
        <f>IF(REGISTRO!B7="","",REGISTRO!B7)</f>
        <v/>
      </c>
      <c r="C7" s="71">
        <f>IF(REGISTRO!B7="","",REGISTRO!C7)</f>
        <v/>
      </c>
      <c r="D7" s="71">
        <f>IF(REGISTRO!B7="","",REGISTRO!D7)</f>
        <v/>
      </c>
      <c r="E7" s="71">
        <f>IF(REGISTRO!B7="","",REGISTRO!E7)</f>
        <v/>
      </c>
      <c r="F7" s="71">
        <f>IF(REGISTRO!B7="","",REGISTRO!F7)</f>
        <v/>
      </c>
      <c r="G7" s="71">
        <f>IF(REGISTRO!B7="","",REGISTRO!G7)</f>
        <v/>
      </c>
      <c r="H7" s="71">
        <f>IF(REGISTRO!B7="","",REGISTRO!I7)</f>
        <v/>
      </c>
      <c r="I7" s="71">
        <f>IF(REGISTRO!B7="","",REGISTRO!J7)</f>
        <v/>
      </c>
      <c r="J7" s="71">
        <f>IF(REGISTRO!B7="","",REGISTRO!K7)</f>
        <v/>
      </c>
      <c r="K7" s="72">
        <f>IF(REGISTRO!B7="","",REGISTRO!N7)</f>
        <v/>
      </c>
      <c r="L7" s="73">
        <f>IF(REGISTRO!B7="","",REGISTRO!R7)</f>
        <v/>
      </c>
      <c r="M7" s="71">
        <f>IF(REGISTRO!B7="","",REGISTRO!S7)</f>
        <v/>
      </c>
    </row>
    <row r="8" ht="15" customHeight="1">
      <c r="A8" s="68">
        <f>IF(REGISTRO!B8="","",REGISTRO!A8)</f>
        <v/>
      </c>
      <c r="B8" s="68">
        <f>IF(REGISTRO!B8="","",REGISTRO!B8)</f>
        <v/>
      </c>
      <c r="C8" s="68">
        <f>IF(REGISTRO!B8="","",REGISTRO!C8)</f>
        <v/>
      </c>
      <c r="D8" s="68">
        <f>IF(REGISTRO!B8="","",REGISTRO!D8)</f>
        <v/>
      </c>
      <c r="E8" s="68">
        <f>IF(REGISTRO!B8="","",REGISTRO!E8)</f>
        <v/>
      </c>
      <c r="F8" s="68">
        <f>IF(REGISTRO!B8="","",REGISTRO!F8)</f>
        <v/>
      </c>
      <c r="G8" s="68">
        <f>IF(REGISTRO!B8="","",REGISTRO!G8)</f>
        <v/>
      </c>
      <c r="H8" s="68">
        <f>IF(REGISTRO!B8="","",REGISTRO!I8)</f>
        <v/>
      </c>
      <c r="I8" s="68">
        <f>IF(REGISTRO!B8="","",REGISTRO!J8)</f>
        <v/>
      </c>
      <c r="J8" s="68">
        <f>IF(REGISTRO!B8="","",REGISTRO!K8)</f>
        <v/>
      </c>
      <c r="K8" s="69">
        <f>IF(REGISTRO!B8="","",REGISTRO!N8)</f>
        <v/>
      </c>
      <c r="L8" s="70">
        <f>IF(REGISTRO!B8="","",REGISTRO!R8)</f>
        <v/>
      </c>
      <c r="M8" s="68">
        <f>IF(REGISTRO!B8="","",REGISTRO!S8)</f>
        <v/>
      </c>
    </row>
    <row r="9" ht="15" customHeight="1">
      <c r="A9" s="71">
        <f>IF(REGISTRO!B9="","",REGISTRO!A9)</f>
        <v/>
      </c>
      <c r="B9" s="71">
        <f>IF(REGISTRO!B9="","",REGISTRO!B9)</f>
        <v/>
      </c>
      <c r="C9" s="71">
        <f>IF(REGISTRO!B9="","",REGISTRO!C9)</f>
        <v/>
      </c>
      <c r="D9" s="71">
        <f>IF(REGISTRO!B9="","",REGISTRO!D9)</f>
        <v/>
      </c>
      <c r="E9" s="71">
        <f>IF(REGISTRO!B9="","",REGISTRO!E9)</f>
        <v/>
      </c>
      <c r="F9" s="71">
        <f>IF(REGISTRO!B9="","",REGISTRO!F9)</f>
        <v/>
      </c>
      <c r="G9" s="71">
        <f>IF(REGISTRO!B9="","",REGISTRO!G9)</f>
        <v/>
      </c>
      <c r="H9" s="71">
        <f>IF(REGISTRO!B9="","",REGISTRO!I9)</f>
        <v/>
      </c>
      <c r="I9" s="71">
        <f>IF(REGISTRO!B9="","",REGISTRO!J9)</f>
        <v/>
      </c>
      <c r="J9" s="71">
        <f>IF(REGISTRO!B9="","",REGISTRO!K9)</f>
        <v/>
      </c>
      <c r="K9" s="72">
        <f>IF(REGISTRO!B9="","",REGISTRO!N9)</f>
        <v/>
      </c>
      <c r="L9" s="73">
        <f>IF(REGISTRO!B9="","",REGISTRO!R9)</f>
        <v/>
      </c>
      <c r="M9" s="71">
        <f>IF(REGISTRO!B9="","",REGISTRO!S9)</f>
        <v/>
      </c>
    </row>
    <row r="10" ht="15" customHeight="1">
      <c r="A10" s="68">
        <f>IF(REGISTRO!B10="","",REGISTRO!A10)</f>
        <v/>
      </c>
      <c r="B10" s="68">
        <f>IF(REGISTRO!B10="","",REGISTRO!B10)</f>
        <v/>
      </c>
      <c r="C10" s="68">
        <f>IF(REGISTRO!B10="","",REGISTRO!C10)</f>
        <v/>
      </c>
      <c r="D10" s="68">
        <f>IF(REGISTRO!B10="","",REGISTRO!D10)</f>
        <v/>
      </c>
      <c r="E10" s="68">
        <f>IF(REGISTRO!B10="","",REGISTRO!E10)</f>
        <v/>
      </c>
      <c r="F10" s="68">
        <f>IF(REGISTRO!B10="","",REGISTRO!F10)</f>
        <v/>
      </c>
      <c r="G10" s="68">
        <f>IF(REGISTRO!B10="","",REGISTRO!G10)</f>
        <v/>
      </c>
      <c r="H10" s="68">
        <f>IF(REGISTRO!B10="","",REGISTRO!I10)</f>
        <v/>
      </c>
      <c r="I10" s="68">
        <f>IF(REGISTRO!B10="","",REGISTRO!J10)</f>
        <v/>
      </c>
      <c r="J10" s="68">
        <f>IF(REGISTRO!B10="","",REGISTRO!K10)</f>
        <v/>
      </c>
      <c r="K10" s="69">
        <f>IF(REGISTRO!B10="","",REGISTRO!N10)</f>
        <v/>
      </c>
      <c r="L10" s="70">
        <f>IF(REGISTRO!B10="","",REGISTRO!R10)</f>
        <v/>
      </c>
      <c r="M10" s="68">
        <f>IF(REGISTRO!B10="","",REGISTRO!S10)</f>
        <v/>
      </c>
    </row>
    <row r="11" ht="15" customHeight="1">
      <c r="A11" s="71">
        <f>IF(REGISTRO!B11="","",REGISTRO!A11)</f>
        <v/>
      </c>
      <c r="B11" s="71">
        <f>IF(REGISTRO!B11="","",REGISTRO!B11)</f>
        <v/>
      </c>
      <c r="C11" s="71">
        <f>IF(REGISTRO!B11="","",REGISTRO!C11)</f>
        <v/>
      </c>
      <c r="D11" s="71">
        <f>IF(REGISTRO!B11="","",REGISTRO!D11)</f>
        <v/>
      </c>
      <c r="E11" s="71">
        <f>IF(REGISTRO!B11="","",REGISTRO!E11)</f>
        <v/>
      </c>
      <c r="F11" s="71">
        <f>IF(REGISTRO!B11="","",REGISTRO!F11)</f>
        <v/>
      </c>
      <c r="G11" s="71">
        <f>IF(REGISTRO!B11="","",REGISTRO!G11)</f>
        <v/>
      </c>
      <c r="H11" s="71">
        <f>IF(REGISTRO!B11="","",REGISTRO!I11)</f>
        <v/>
      </c>
      <c r="I11" s="71">
        <f>IF(REGISTRO!B11="","",REGISTRO!J11)</f>
        <v/>
      </c>
      <c r="J11" s="71">
        <f>IF(REGISTRO!B11="","",REGISTRO!K11)</f>
        <v/>
      </c>
      <c r="K11" s="72">
        <f>IF(REGISTRO!B11="","",REGISTRO!N11)</f>
        <v/>
      </c>
      <c r="L11" s="73">
        <f>IF(REGISTRO!B11="","",REGISTRO!R11)</f>
        <v/>
      </c>
      <c r="M11" s="71">
        <f>IF(REGISTRO!B11="","",REGISTRO!S11)</f>
        <v/>
      </c>
    </row>
    <row r="12" ht="15" customHeight="1">
      <c r="A12" s="68">
        <f>IF(REGISTRO!B12="","",REGISTRO!A12)</f>
        <v/>
      </c>
      <c r="B12" s="68">
        <f>IF(REGISTRO!B12="","",REGISTRO!B12)</f>
        <v/>
      </c>
      <c r="C12" s="68">
        <f>IF(REGISTRO!B12="","",REGISTRO!C12)</f>
        <v/>
      </c>
      <c r="D12" s="68">
        <f>IF(REGISTRO!B12="","",REGISTRO!D12)</f>
        <v/>
      </c>
      <c r="E12" s="68">
        <f>IF(REGISTRO!B12="","",REGISTRO!E12)</f>
        <v/>
      </c>
      <c r="F12" s="68">
        <f>IF(REGISTRO!B12="","",REGISTRO!F12)</f>
        <v/>
      </c>
      <c r="G12" s="68">
        <f>IF(REGISTRO!B12="","",REGISTRO!G12)</f>
        <v/>
      </c>
      <c r="H12" s="68">
        <f>IF(REGISTRO!B12="","",REGISTRO!I12)</f>
        <v/>
      </c>
      <c r="I12" s="68">
        <f>IF(REGISTRO!B12="","",REGISTRO!J12)</f>
        <v/>
      </c>
      <c r="J12" s="68">
        <f>IF(REGISTRO!B12="","",REGISTRO!K12)</f>
        <v/>
      </c>
      <c r="K12" s="69">
        <f>IF(REGISTRO!B12="","",REGISTRO!N12)</f>
        <v/>
      </c>
      <c r="L12" s="70">
        <f>IF(REGISTRO!B12="","",REGISTRO!R12)</f>
        <v/>
      </c>
      <c r="M12" s="68">
        <f>IF(REGISTRO!B12="","",REGISTRO!S12)</f>
        <v/>
      </c>
    </row>
    <row r="13" ht="15" customHeight="1">
      <c r="A13" s="71">
        <f>IF(REGISTRO!B13="","",REGISTRO!A13)</f>
        <v/>
      </c>
      <c r="B13" s="71">
        <f>IF(REGISTRO!B13="","",REGISTRO!B13)</f>
        <v/>
      </c>
      <c r="C13" s="71">
        <f>IF(REGISTRO!B13="","",REGISTRO!C13)</f>
        <v/>
      </c>
      <c r="D13" s="71">
        <f>IF(REGISTRO!B13="","",REGISTRO!D13)</f>
        <v/>
      </c>
      <c r="E13" s="71">
        <f>IF(REGISTRO!B13="","",REGISTRO!E13)</f>
        <v/>
      </c>
      <c r="F13" s="71">
        <f>IF(REGISTRO!B13="","",REGISTRO!F13)</f>
        <v/>
      </c>
      <c r="G13" s="71">
        <f>IF(REGISTRO!B13="","",REGISTRO!G13)</f>
        <v/>
      </c>
      <c r="H13" s="71">
        <f>IF(REGISTRO!B13="","",REGISTRO!I13)</f>
        <v/>
      </c>
      <c r="I13" s="71">
        <f>IF(REGISTRO!B13="","",REGISTRO!J13)</f>
        <v/>
      </c>
      <c r="J13" s="71">
        <f>IF(REGISTRO!B13="","",REGISTRO!K13)</f>
        <v/>
      </c>
      <c r="K13" s="72">
        <f>IF(REGISTRO!B13="","",REGISTRO!N13)</f>
        <v/>
      </c>
      <c r="L13" s="73">
        <f>IF(REGISTRO!B13="","",REGISTRO!R13)</f>
        <v/>
      </c>
      <c r="M13" s="71">
        <f>IF(REGISTRO!B13="","",REGISTRO!S13)</f>
        <v/>
      </c>
    </row>
    <row r="14" ht="15" customHeight="1">
      <c r="A14" s="68">
        <f>IF(REGISTRO!B14="","",REGISTRO!A14)</f>
        <v/>
      </c>
      <c r="B14" s="68">
        <f>IF(REGISTRO!B14="","",REGISTRO!B14)</f>
        <v/>
      </c>
      <c r="C14" s="68">
        <f>IF(REGISTRO!B14="","",REGISTRO!C14)</f>
        <v/>
      </c>
      <c r="D14" s="68">
        <f>IF(REGISTRO!B14="","",REGISTRO!D14)</f>
        <v/>
      </c>
      <c r="E14" s="68">
        <f>IF(REGISTRO!B14="","",REGISTRO!E14)</f>
        <v/>
      </c>
      <c r="F14" s="68">
        <f>IF(REGISTRO!B14="","",REGISTRO!F14)</f>
        <v/>
      </c>
      <c r="G14" s="68">
        <f>IF(REGISTRO!B14="","",REGISTRO!G14)</f>
        <v/>
      </c>
      <c r="H14" s="68">
        <f>IF(REGISTRO!B14="","",REGISTRO!I14)</f>
        <v/>
      </c>
      <c r="I14" s="68">
        <f>IF(REGISTRO!B14="","",REGISTRO!J14)</f>
        <v/>
      </c>
      <c r="J14" s="68">
        <f>IF(REGISTRO!B14="","",REGISTRO!K14)</f>
        <v/>
      </c>
      <c r="K14" s="69">
        <f>IF(REGISTRO!B14="","",REGISTRO!N14)</f>
        <v/>
      </c>
      <c r="L14" s="70">
        <f>IF(REGISTRO!B14="","",REGISTRO!R14)</f>
        <v/>
      </c>
      <c r="M14" s="68">
        <f>IF(REGISTRO!B14="","",REGISTRO!S14)</f>
        <v/>
      </c>
    </row>
    <row r="15" ht="15" customHeight="1">
      <c r="A15" s="71">
        <f>IF(REGISTRO!B15="","",REGISTRO!A15)</f>
        <v/>
      </c>
      <c r="B15" s="71">
        <f>IF(REGISTRO!B15="","",REGISTRO!B15)</f>
        <v/>
      </c>
      <c r="C15" s="71">
        <f>IF(REGISTRO!B15="","",REGISTRO!C15)</f>
        <v/>
      </c>
      <c r="D15" s="71">
        <f>IF(REGISTRO!B15="","",REGISTRO!D15)</f>
        <v/>
      </c>
      <c r="E15" s="71">
        <f>IF(REGISTRO!B15="","",REGISTRO!E15)</f>
        <v/>
      </c>
      <c r="F15" s="71">
        <f>IF(REGISTRO!B15="","",REGISTRO!F15)</f>
        <v/>
      </c>
      <c r="G15" s="71">
        <f>IF(REGISTRO!B15="","",REGISTRO!G15)</f>
        <v/>
      </c>
      <c r="H15" s="71">
        <f>IF(REGISTRO!B15="","",REGISTRO!I15)</f>
        <v/>
      </c>
      <c r="I15" s="71">
        <f>IF(REGISTRO!B15="","",REGISTRO!J15)</f>
        <v/>
      </c>
      <c r="J15" s="71">
        <f>IF(REGISTRO!B15="","",REGISTRO!K15)</f>
        <v/>
      </c>
      <c r="K15" s="72">
        <f>IF(REGISTRO!B15="","",REGISTRO!N15)</f>
        <v/>
      </c>
      <c r="L15" s="73">
        <f>IF(REGISTRO!B15="","",REGISTRO!R15)</f>
        <v/>
      </c>
      <c r="M15" s="71">
        <f>IF(REGISTRO!B15="","",REGISTRO!S15)</f>
        <v/>
      </c>
    </row>
    <row r="16" ht="15" customHeight="1">
      <c r="A16" s="68">
        <f>IF(REGISTRO!B16="","",REGISTRO!A16)</f>
        <v/>
      </c>
      <c r="B16" s="68">
        <f>IF(REGISTRO!B16="","",REGISTRO!B16)</f>
        <v/>
      </c>
      <c r="C16" s="68">
        <f>IF(REGISTRO!B16="","",REGISTRO!C16)</f>
        <v/>
      </c>
      <c r="D16" s="68">
        <f>IF(REGISTRO!B16="","",REGISTRO!D16)</f>
        <v/>
      </c>
      <c r="E16" s="68">
        <f>IF(REGISTRO!B16="","",REGISTRO!E16)</f>
        <v/>
      </c>
      <c r="F16" s="68">
        <f>IF(REGISTRO!B16="","",REGISTRO!F16)</f>
        <v/>
      </c>
      <c r="G16" s="68">
        <f>IF(REGISTRO!B16="","",REGISTRO!G16)</f>
        <v/>
      </c>
      <c r="H16" s="68">
        <f>IF(REGISTRO!B16="","",REGISTRO!I16)</f>
        <v/>
      </c>
      <c r="I16" s="68">
        <f>IF(REGISTRO!B16="","",REGISTRO!J16)</f>
        <v/>
      </c>
      <c r="J16" s="68">
        <f>IF(REGISTRO!B16="","",REGISTRO!K16)</f>
        <v/>
      </c>
      <c r="K16" s="69">
        <f>IF(REGISTRO!B16="","",REGISTRO!N16)</f>
        <v/>
      </c>
      <c r="L16" s="70">
        <f>IF(REGISTRO!B16="","",REGISTRO!R16)</f>
        <v/>
      </c>
      <c r="M16" s="68">
        <f>IF(REGISTRO!B16="","",REGISTRO!S16)</f>
        <v/>
      </c>
    </row>
    <row r="17" ht="15" customHeight="1">
      <c r="A17" s="71">
        <f>IF(REGISTRO!B17="","",REGISTRO!A17)</f>
        <v/>
      </c>
      <c r="B17" s="71">
        <f>IF(REGISTRO!B17="","",REGISTRO!B17)</f>
        <v/>
      </c>
      <c r="C17" s="71">
        <f>IF(REGISTRO!B17="","",REGISTRO!C17)</f>
        <v/>
      </c>
      <c r="D17" s="71">
        <f>IF(REGISTRO!B17="","",REGISTRO!D17)</f>
        <v/>
      </c>
      <c r="E17" s="71">
        <f>IF(REGISTRO!B17="","",REGISTRO!E17)</f>
        <v/>
      </c>
      <c r="F17" s="71">
        <f>IF(REGISTRO!B17="","",REGISTRO!F17)</f>
        <v/>
      </c>
      <c r="G17" s="71">
        <f>IF(REGISTRO!B17="","",REGISTRO!G17)</f>
        <v/>
      </c>
      <c r="H17" s="71">
        <f>IF(REGISTRO!B17="","",REGISTRO!I17)</f>
        <v/>
      </c>
      <c r="I17" s="71">
        <f>IF(REGISTRO!B17="","",REGISTRO!J17)</f>
        <v/>
      </c>
      <c r="J17" s="71">
        <f>IF(REGISTRO!B17="","",REGISTRO!K17)</f>
        <v/>
      </c>
      <c r="K17" s="72">
        <f>IF(REGISTRO!B17="","",REGISTRO!N17)</f>
        <v/>
      </c>
      <c r="L17" s="73">
        <f>IF(REGISTRO!B17="","",REGISTRO!R17)</f>
        <v/>
      </c>
      <c r="M17" s="71">
        <f>IF(REGISTRO!B17="","",REGISTRO!S17)</f>
        <v/>
      </c>
    </row>
    <row r="18" ht="15" customHeight="1">
      <c r="A18" s="68">
        <f>IF(REGISTRO!B18="","",REGISTRO!A18)</f>
        <v/>
      </c>
      <c r="B18" s="68">
        <f>IF(REGISTRO!B18="","",REGISTRO!B18)</f>
        <v/>
      </c>
      <c r="C18" s="68">
        <f>IF(REGISTRO!B18="","",REGISTRO!C18)</f>
        <v/>
      </c>
      <c r="D18" s="68">
        <f>IF(REGISTRO!B18="","",REGISTRO!D18)</f>
        <v/>
      </c>
      <c r="E18" s="68">
        <f>IF(REGISTRO!B18="","",REGISTRO!E18)</f>
        <v/>
      </c>
      <c r="F18" s="68">
        <f>IF(REGISTRO!B18="","",REGISTRO!F18)</f>
        <v/>
      </c>
      <c r="G18" s="68">
        <f>IF(REGISTRO!B18="","",REGISTRO!G18)</f>
        <v/>
      </c>
      <c r="H18" s="68">
        <f>IF(REGISTRO!B18="","",REGISTRO!I18)</f>
        <v/>
      </c>
      <c r="I18" s="68">
        <f>IF(REGISTRO!B18="","",REGISTRO!J18)</f>
        <v/>
      </c>
      <c r="J18" s="68">
        <f>IF(REGISTRO!B18="","",REGISTRO!K18)</f>
        <v/>
      </c>
      <c r="K18" s="69">
        <f>IF(REGISTRO!B18="","",REGISTRO!N18)</f>
        <v/>
      </c>
      <c r="L18" s="70">
        <f>IF(REGISTRO!B18="","",REGISTRO!R18)</f>
        <v/>
      </c>
      <c r="M18" s="68">
        <f>IF(REGISTRO!B18="","",REGISTRO!S18)</f>
        <v/>
      </c>
    </row>
    <row r="19" ht="15" customHeight="1">
      <c r="A19" s="71">
        <f>IF(REGISTRO!B19="","",REGISTRO!A19)</f>
        <v/>
      </c>
      <c r="B19" s="71">
        <f>IF(REGISTRO!B19="","",REGISTRO!B19)</f>
        <v/>
      </c>
      <c r="C19" s="71">
        <f>IF(REGISTRO!B19="","",REGISTRO!C19)</f>
        <v/>
      </c>
      <c r="D19" s="71">
        <f>IF(REGISTRO!B19="","",REGISTRO!D19)</f>
        <v/>
      </c>
      <c r="E19" s="71">
        <f>IF(REGISTRO!B19="","",REGISTRO!E19)</f>
        <v/>
      </c>
      <c r="F19" s="71">
        <f>IF(REGISTRO!B19="","",REGISTRO!F19)</f>
        <v/>
      </c>
      <c r="G19" s="71">
        <f>IF(REGISTRO!B19="","",REGISTRO!G19)</f>
        <v/>
      </c>
      <c r="H19" s="71">
        <f>IF(REGISTRO!B19="","",REGISTRO!I19)</f>
        <v/>
      </c>
      <c r="I19" s="71">
        <f>IF(REGISTRO!B19="","",REGISTRO!J19)</f>
        <v/>
      </c>
      <c r="J19" s="71">
        <f>IF(REGISTRO!B19="","",REGISTRO!K19)</f>
        <v/>
      </c>
      <c r="K19" s="72">
        <f>IF(REGISTRO!B19="","",REGISTRO!N19)</f>
        <v/>
      </c>
      <c r="L19" s="73">
        <f>IF(REGISTRO!B19="","",REGISTRO!R19)</f>
        <v/>
      </c>
      <c r="M19" s="71">
        <f>IF(REGISTRO!B19="","",REGISTRO!S19)</f>
        <v/>
      </c>
    </row>
    <row r="20" ht="15" customHeight="1">
      <c r="A20" s="68">
        <f>IF(REGISTRO!B20="","",REGISTRO!A20)</f>
        <v/>
      </c>
      <c r="B20" s="68">
        <f>IF(REGISTRO!B20="","",REGISTRO!B20)</f>
        <v/>
      </c>
      <c r="C20" s="68">
        <f>IF(REGISTRO!B20="","",REGISTRO!C20)</f>
        <v/>
      </c>
      <c r="D20" s="68">
        <f>IF(REGISTRO!B20="","",REGISTRO!D20)</f>
        <v/>
      </c>
      <c r="E20" s="68">
        <f>IF(REGISTRO!B20="","",REGISTRO!E20)</f>
        <v/>
      </c>
      <c r="F20" s="68">
        <f>IF(REGISTRO!B20="","",REGISTRO!F20)</f>
        <v/>
      </c>
      <c r="G20" s="68">
        <f>IF(REGISTRO!B20="","",REGISTRO!G20)</f>
        <v/>
      </c>
      <c r="H20" s="68">
        <f>IF(REGISTRO!B20="","",REGISTRO!I20)</f>
        <v/>
      </c>
      <c r="I20" s="68">
        <f>IF(REGISTRO!B20="","",REGISTRO!J20)</f>
        <v/>
      </c>
      <c r="J20" s="68">
        <f>IF(REGISTRO!B20="","",REGISTRO!K20)</f>
        <v/>
      </c>
      <c r="K20" s="69">
        <f>IF(REGISTRO!B20="","",REGISTRO!N20)</f>
        <v/>
      </c>
      <c r="L20" s="70">
        <f>IF(REGISTRO!B20="","",REGISTRO!R20)</f>
        <v/>
      </c>
      <c r="M20" s="68">
        <f>IF(REGISTRO!B20="","",REGISTRO!S20)</f>
        <v/>
      </c>
    </row>
    <row r="21" ht="15" customHeight="1">
      <c r="A21" s="71">
        <f>IF(REGISTRO!B21="","",REGISTRO!A21)</f>
        <v/>
      </c>
      <c r="B21" s="71">
        <f>IF(REGISTRO!B21="","",REGISTRO!B21)</f>
        <v/>
      </c>
      <c r="C21" s="71">
        <f>IF(REGISTRO!B21="","",REGISTRO!C21)</f>
        <v/>
      </c>
      <c r="D21" s="71">
        <f>IF(REGISTRO!B21="","",REGISTRO!D21)</f>
        <v/>
      </c>
      <c r="E21" s="71">
        <f>IF(REGISTRO!B21="","",REGISTRO!E21)</f>
        <v/>
      </c>
      <c r="F21" s="71">
        <f>IF(REGISTRO!B21="","",REGISTRO!F21)</f>
        <v/>
      </c>
      <c r="G21" s="71">
        <f>IF(REGISTRO!B21="","",REGISTRO!G21)</f>
        <v/>
      </c>
      <c r="H21" s="71">
        <f>IF(REGISTRO!B21="","",REGISTRO!I21)</f>
        <v/>
      </c>
      <c r="I21" s="71">
        <f>IF(REGISTRO!B21="","",REGISTRO!J21)</f>
        <v/>
      </c>
      <c r="J21" s="71">
        <f>IF(REGISTRO!B21="","",REGISTRO!K21)</f>
        <v/>
      </c>
      <c r="K21" s="72">
        <f>IF(REGISTRO!B21="","",REGISTRO!N21)</f>
        <v/>
      </c>
      <c r="L21" s="73">
        <f>IF(REGISTRO!B21="","",REGISTRO!R21)</f>
        <v/>
      </c>
      <c r="M21" s="71">
        <f>IF(REGISTRO!B21="","",REGISTRO!S21)</f>
        <v/>
      </c>
    </row>
    <row r="22" ht="15" customHeight="1">
      <c r="A22" s="68">
        <f>IF(REGISTRO!B22="","",REGISTRO!A22)</f>
        <v/>
      </c>
      <c r="B22" s="68">
        <f>IF(REGISTRO!B22="","",REGISTRO!B22)</f>
        <v/>
      </c>
      <c r="C22" s="68">
        <f>IF(REGISTRO!B22="","",REGISTRO!C22)</f>
        <v/>
      </c>
      <c r="D22" s="68">
        <f>IF(REGISTRO!B22="","",REGISTRO!D22)</f>
        <v/>
      </c>
      <c r="E22" s="68">
        <f>IF(REGISTRO!B22="","",REGISTRO!E22)</f>
        <v/>
      </c>
      <c r="F22" s="68">
        <f>IF(REGISTRO!B22="","",REGISTRO!F22)</f>
        <v/>
      </c>
      <c r="G22" s="68">
        <f>IF(REGISTRO!B22="","",REGISTRO!G22)</f>
        <v/>
      </c>
      <c r="H22" s="68">
        <f>IF(REGISTRO!B22="","",REGISTRO!I22)</f>
        <v/>
      </c>
      <c r="I22" s="68">
        <f>IF(REGISTRO!B22="","",REGISTRO!J22)</f>
        <v/>
      </c>
      <c r="J22" s="68">
        <f>IF(REGISTRO!B22="","",REGISTRO!K22)</f>
        <v/>
      </c>
      <c r="K22" s="69">
        <f>IF(REGISTRO!B22="","",REGISTRO!N22)</f>
        <v/>
      </c>
      <c r="L22" s="70">
        <f>IF(REGISTRO!B22="","",REGISTRO!R22)</f>
        <v/>
      </c>
      <c r="M22" s="68">
        <f>IF(REGISTRO!B22="","",REGISTRO!S22)</f>
        <v/>
      </c>
    </row>
    <row r="23" ht="15" customHeight="1">
      <c r="A23" s="71">
        <f>IF(REGISTRO!B23="","",REGISTRO!A23)</f>
        <v/>
      </c>
      <c r="B23" s="71">
        <f>IF(REGISTRO!B23="","",REGISTRO!B23)</f>
        <v/>
      </c>
      <c r="C23" s="71">
        <f>IF(REGISTRO!B23="","",REGISTRO!C23)</f>
        <v/>
      </c>
      <c r="D23" s="71">
        <f>IF(REGISTRO!B23="","",REGISTRO!D23)</f>
        <v/>
      </c>
      <c r="E23" s="71">
        <f>IF(REGISTRO!B23="","",REGISTRO!E23)</f>
        <v/>
      </c>
      <c r="F23" s="71">
        <f>IF(REGISTRO!B23="","",REGISTRO!F23)</f>
        <v/>
      </c>
      <c r="G23" s="71">
        <f>IF(REGISTRO!B23="","",REGISTRO!G23)</f>
        <v/>
      </c>
      <c r="H23" s="71">
        <f>IF(REGISTRO!B23="","",REGISTRO!I23)</f>
        <v/>
      </c>
      <c r="I23" s="71">
        <f>IF(REGISTRO!B23="","",REGISTRO!J23)</f>
        <v/>
      </c>
      <c r="J23" s="71">
        <f>IF(REGISTRO!B23="","",REGISTRO!K23)</f>
        <v/>
      </c>
      <c r="K23" s="72">
        <f>IF(REGISTRO!B23="","",REGISTRO!N23)</f>
        <v/>
      </c>
      <c r="L23" s="73">
        <f>IF(REGISTRO!B23="","",REGISTRO!R23)</f>
        <v/>
      </c>
      <c r="M23" s="71">
        <f>IF(REGISTRO!B23="","",REGISTRO!S23)</f>
        <v/>
      </c>
    </row>
    <row r="24" ht="15" customHeight="1">
      <c r="A24" s="68">
        <f>IF(REGISTRO!B24="","",REGISTRO!A24)</f>
        <v/>
      </c>
      <c r="B24" s="68">
        <f>IF(REGISTRO!B24="","",REGISTRO!B24)</f>
        <v/>
      </c>
      <c r="C24" s="68">
        <f>IF(REGISTRO!B24="","",REGISTRO!C24)</f>
        <v/>
      </c>
      <c r="D24" s="68">
        <f>IF(REGISTRO!B24="","",REGISTRO!D24)</f>
        <v/>
      </c>
      <c r="E24" s="68">
        <f>IF(REGISTRO!B24="","",REGISTRO!E24)</f>
        <v/>
      </c>
      <c r="F24" s="68">
        <f>IF(REGISTRO!B24="","",REGISTRO!F24)</f>
        <v/>
      </c>
      <c r="G24" s="68">
        <f>IF(REGISTRO!B24="","",REGISTRO!G24)</f>
        <v/>
      </c>
      <c r="H24" s="68">
        <f>IF(REGISTRO!B24="","",REGISTRO!I24)</f>
        <v/>
      </c>
      <c r="I24" s="68">
        <f>IF(REGISTRO!B24="","",REGISTRO!J24)</f>
        <v/>
      </c>
      <c r="J24" s="68">
        <f>IF(REGISTRO!B24="","",REGISTRO!K24)</f>
        <v/>
      </c>
      <c r="K24" s="69">
        <f>IF(REGISTRO!B24="","",REGISTRO!N24)</f>
        <v/>
      </c>
      <c r="L24" s="70">
        <f>IF(REGISTRO!B24="","",REGISTRO!R24)</f>
        <v/>
      </c>
      <c r="M24" s="68">
        <f>IF(REGISTRO!B24="","",REGISTRO!S24)</f>
        <v/>
      </c>
    </row>
    <row r="25" ht="15" customHeight="1">
      <c r="A25" s="71">
        <f>IF(REGISTRO!B25="","",REGISTRO!A25)</f>
        <v/>
      </c>
      <c r="B25" s="71">
        <f>IF(REGISTRO!B25="","",REGISTRO!B25)</f>
        <v/>
      </c>
      <c r="C25" s="71">
        <f>IF(REGISTRO!B25="","",REGISTRO!C25)</f>
        <v/>
      </c>
      <c r="D25" s="71">
        <f>IF(REGISTRO!B25="","",REGISTRO!D25)</f>
        <v/>
      </c>
      <c r="E25" s="71">
        <f>IF(REGISTRO!B25="","",REGISTRO!E25)</f>
        <v/>
      </c>
      <c r="F25" s="71">
        <f>IF(REGISTRO!B25="","",REGISTRO!F25)</f>
        <v/>
      </c>
      <c r="G25" s="71">
        <f>IF(REGISTRO!B25="","",REGISTRO!G25)</f>
        <v/>
      </c>
      <c r="H25" s="71">
        <f>IF(REGISTRO!B25="","",REGISTRO!I25)</f>
        <v/>
      </c>
      <c r="I25" s="71">
        <f>IF(REGISTRO!B25="","",REGISTRO!J25)</f>
        <v/>
      </c>
      <c r="J25" s="71">
        <f>IF(REGISTRO!B25="","",REGISTRO!K25)</f>
        <v/>
      </c>
      <c r="K25" s="72">
        <f>IF(REGISTRO!B25="","",REGISTRO!N25)</f>
        <v/>
      </c>
      <c r="L25" s="73">
        <f>IF(REGISTRO!B25="","",REGISTRO!R25)</f>
        <v/>
      </c>
      <c r="M25" s="71">
        <f>IF(REGISTRO!B25="","",REGISTRO!S25)</f>
        <v/>
      </c>
    </row>
    <row r="26" ht="15" customHeight="1">
      <c r="A26" s="68">
        <f>IF(REGISTRO!B26="","",REGISTRO!A26)</f>
        <v/>
      </c>
      <c r="B26" s="68">
        <f>IF(REGISTRO!B26="","",REGISTRO!B26)</f>
        <v/>
      </c>
      <c r="C26" s="68">
        <f>IF(REGISTRO!B26="","",REGISTRO!C26)</f>
        <v/>
      </c>
      <c r="D26" s="68">
        <f>IF(REGISTRO!B26="","",REGISTRO!D26)</f>
        <v/>
      </c>
      <c r="E26" s="68">
        <f>IF(REGISTRO!B26="","",REGISTRO!E26)</f>
        <v/>
      </c>
      <c r="F26" s="68">
        <f>IF(REGISTRO!B26="","",REGISTRO!F26)</f>
        <v/>
      </c>
      <c r="G26" s="68">
        <f>IF(REGISTRO!B26="","",REGISTRO!G26)</f>
        <v/>
      </c>
      <c r="H26" s="68">
        <f>IF(REGISTRO!B26="","",REGISTRO!I26)</f>
        <v/>
      </c>
      <c r="I26" s="68">
        <f>IF(REGISTRO!B26="","",REGISTRO!J26)</f>
        <v/>
      </c>
      <c r="J26" s="68">
        <f>IF(REGISTRO!B26="","",REGISTRO!K26)</f>
        <v/>
      </c>
      <c r="K26" s="69">
        <f>IF(REGISTRO!B26="","",REGISTRO!N26)</f>
        <v/>
      </c>
      <c r="L26" s="70">
        <f>IF(REGISTRO!B26="","",REGISTRO!R26)</f>
        <v/>
      </c>
      <c r="M26" s="68">
        <f>IF(REGISTRO!B26="","",REGISTRO!S26)</f>
        <v/>
      </c>
    </row>
    <row r="27" ht="15" customHeight="1">
      <c r="A27" s="71">
        <f>IF(REGISTRO!B27="","",REGISTRO!A27)</f>
        <v/>
      </c>
      <c r="B27" s="71">
        <f>IF(REGISTRO!B27="","",REGISTRO!B27)</f>
        <v/>
      </c>
      <c r="C27" s="71">
        <f>IF(REGISTRO!B27="","",REGISTRO!C27)</f>
        <v/>
      </c>
      <c r="D27" s="71">
        <f>IF(REGISTRO!B27="","",REGISTRO!D27)</f>
        <v/>
      </c>
      <c r="E27" s="71">
        <f>IF(REGISTRO!B27="","",REGISTRO!E27)</f>
        <v/>
      </c>
      <c r="F27" s="71">
        <f>IF(REGISTRO!B27="","",REGISTRO!F27)</f>
        <v/>
      </c>
      <c r="G27" s="71">
        <f>IF(REGISTRO!B27="","",REGISTRO!G27)</f>
        <v/>
      </c>
      <c r="H27" s="71">
        <f>IF(REGISTRO!B27="","",REGISTRO!I27)</f>
        <v/>
      </c>
      <c r="I27" s="71">
        <f>IF(REGISTRO!B27="","",REGISTRO!J27)</f>
        <v/>
      </c>
      <c r="J27" s="71">
        <f>IF(REGISTRO!B27="","",REGISTRO!K27)</f>
        <v/>
      </c>
      <c r="K27" s="72">
        <f>IF(REGISTRO!B27="","",REGISTRO!N27)</f>
        <v/>
      </c>
      <c r="L27" s="73">
        <f>IF(REGISTRO!B27="","",REGISTRO!R27)</f>
        <v/>
      </c>
      <c r="M27" s="71">
        <f>IF(REGISTRO!B27="","",REGISTRO!S27)</f>
        <v/>
      </c>
    </row>
    <row r="28" ht="15" customHeight="1">
      <c r="A28" s="68">
        <f>IF(REGISTRO!B28="","",REGISTRO!A28)</f>
        <v/>
      </c>
      <c r="B28" s="68">
        <f>IF(REGISTRO!B28="","",REGISTRO!B28)</f>
        <v/>
      </c>
      <c r="C28" s="68">
        <f>IF(REGISTRO!B28="","",REGISTRO!C28)</f>
        <v/>
      </c>
      <c r="D28" s="68">
        <f>IF(REGISTRO!B28="","",REGISTRO!D28)</f>
        <v/>
      </c>
      <c r="E28" s="68">
        <f>IF(REGISTRO!B28="","",REGISTRO!E28)</f>
        <v/>
      </c>
      <c r="F28" s="68">
        <f>IF(REGISTRO!B28="","",REGISTRO!F28)</f>
        <v/>
      </c>
      <c r="G28" s="68">
        <f>IF(REGISTRO!B28="","",REGISTRO!G28)</f>
        <v/>
      </c>
      <c r="H28" s="68">
        <f>IF(REGISTRO!B28="","",REGISTRO!I28)</f>
        <v/>
      </c>
      <c r="I28" s="68">
        <f>IF(REGISTRO!B28="","",REGISTRO!J28)</f>
        <v/>
      </c>
      <c r="J28" s="68">
        <f>IF(REGISTRO!B28="","",REGISTRO!K28)</f>
        <v/>
      </c>
      <c r="K28" s="69">
        <f>IF(REGISTRO!B28="","",REGISTRO!N28)</f>
        <v/>
      </c>
      <c r="L28" s="70">
        <f>IF(REGISTRO!B28="","",REGISTRO!R28)</f>
        <v/>
      </c>
      <c r="M28" s="68">
        <f>IF(REGISTRO!B28="","",REGISTRO!S28)</f>
        <v/>
      </c>
    </row>
    <row r="29" ht="15" customHeight="1">
      <c r="A29" s="71">
        <f>IF(REGISTRO!B29="","",REGISTRO!A29)</f>
        <v/>
      </c>
      <c r="B29" s="71">
        <f>IF(REGISTRO!B29="","",REGISTRO!B29)</f>
        <v/>
      </c>
      <c r="C29" s="71">
        <f>IF(REGISTRO!B29="","",REGISTRO!C29)</f>
        <v/>
      </c>
      <c r="D29" s="71">
        <f>IF(REGISTRO!B29="","",REGISTRO!D29)</f>
        <v/>
      </c>
      <c r="E29" s="71">
        <f>IF(REGISTRO!B29="","",REGISTRO!E29)</f>
        <v/>
      </c>
      <c r="F29" s="71">
        <f>IF(REGISTRO!B29="","",REGISTRO!F29)</f>
        <v/>
      </c>
      <c r="G29" s="71">
        <f>IF(REGISTRO!B29="","",REGISTRO!G29)</f>
        <v/>
      </c>
      <c r="H29" s="71">
        <f>IF(REGISTRO!B29="","",REGISTRO!I29)</f>
        <v/>
      </c>
      <c r="I29" s="71">
        <f>IF(REGISTRO!B29="","",REGISTRO!J29)</f>
        <v/>
      </c>
      <c r="J29" s="71">
        <f>IF(REGISTRO!B29="","",REGISTRO!K29)</f>
        <v/>
      </c>
      <c r="K29" s="72">
        <f>IF(REGISTRO!B29="","",REGISTRO!N29)</f>
        <v/>
      </c>
      <c r="L29" s="73">
        <f>IF(REGISTRO!B29="","",REGISTRO!R29)</f>
        <v/>
      </c>
      <c r="M29" s="71">
        <f>IF(REGISTRO!B29="","",REGISTRO!S29)</f>
        <v/>
      </c>
    </row>
    <row r="30" ht="15" customHeight="1">
      <c r="A30" s="68">
        <f>IF(REGISTRO!B30="","",REGISTRO!A30)</f>
        <v/>
      </c>
      <c r="B30" s="68">
        <f>IF(REGISTRO!B30="","",REGISTRO!B30)</f>
        <v/>
      </c>
      <c r="C30" s="68">
        <f>IF(REGISTRO!B30="","",REGISTRO!C30)</f>
        <v/>
      </c>
      <c r="D30" s="68">
        <f>IF(REGISTRO!B30="","",REGISTRO!D30)</f>
        <v/>
      </c>
      <c r="E30" s="68">
        <f>IF(REGISTRO!B30="","",REGISTRO!E30)</f>
        <v/>
      </c>
      <c r="F30" s="68">
        <f>IF(REGISTRO!B30="","",REGISTRO!F30)</f>
        <v/>
      </c>
      <c r="G30" s="68">
        <f>IF(REGISTRO!B30="","",REGISTRO!G30)</f>
        <v/>
      </c>
      <c r="H30" s="68">
        <f>IF(REGISTRO!B30="","",REGISTRO!I30)</f>
        <v/>
      </c>
      <c r="I30" s="68">
        <f>IF(REGISTRO!B30="","",REGISTRO!J30)</f>
        <v/>
      </c>
      <c r="J30" s="68">
        <f>IF(REGISTRO!B30="","",REGISTRO!K30)</f>
        <v/>
      </c>
      <c r="K30" s="69">
        <f>IF(REGISTRO!B30="","",REGISTRO!N30)</f>
        <v/>
      </c>
      <c r="L30" s="70">
        <f>IF(REGISTRO!B30="","",REGISTRO!R30)</f>
        <v/>
      </c>
      <c r="M30" s="68">
        <f>IF(REGISTRO!B30="","",REGISTRO!S30)</f>
        <v/>
      </c>
    </row>
    <row r="31" ht="15" customHeight="1">
      <c r="A31" s="71">
        <f>IF(REGISTRO!B31="","",REGISTRO!A31)</f>
        <v/>
      </c>
      <c r="B31" s="71">
        <f>IF(REGISTRO!B31="","",REGISTRO!B31)</f>
        <v/>
      </c>
      <c r="C31" s="71">
        <f>IF(REGISTRO!B31="","",REGISTRO!C31)</f>
        <v/>
      </c>
      <c r="D31" s="71">
        <f>IF(REGISTRO!B31="","",REGISTRO!D31)</f>
        <v/>
      </c>
      <c r="E31" s="71">
        <f>IF(REGISTRO!B31="","",REGISTRO!E31)</f>
        <v/>
      </c>
      <c r="F31" s="71">
        <f>IF(REGISTRO!B31="","",REGISTRO!F31)</f>
        <v/>
      </c>
      <c r="G31" s="71">
        <f>IF(REGISTRO!B31="","",REGISTRO!G31)</f>
        <v/>
      </c>
      <c r="H31" s="71">
        <f>IF(REGISTRO!B31="","",REGISTRO!I31)</f>
        <v/>
      </c>
      <c r="I31" s="71">
        <f>IF(REGISTRO!B31="","",REGISTRO!J31)</f>
        <v/>
      </c>
      <c r="J31" s="71">
        <f>IF(REGISTRO!B31="","",REGISTRO!K31)</f>
        <v/>
      </c>
      <c r="K31" s="72">
        <f>IF(REGISTRO!B31="","",REGISTRO!N31)</f>
        <v/>
      </c>
      <c r="L31" s="73">
        <f>IF(REGISTRO!B31="","",REGISTRO!R31)</f>
        <v/>
      </c>
      <c r="M31" s="71">
        <f>IF(REGISTRO!B31="","",REGISTRO!S31)</f>
        <v/>
      </c>
    </row>
    <row r="32" ht="15" customHeight="1">
      <c r="A32" s="68">
        <f>IF(REGISTRO!B32="","",REGISTRO!A32)</f>
        <v/>
      </c>
      <c r="B32" s="68">
        <f>IF(REGISTRO!B32="","",REGISTRO!B32)</f>
        <v/>
      </c>
      <c r="C32" s="68">
        <f>IF(REGISTRO!B32="","",REGISTRO!C32)</f>
        <v/>
      </c>
      <c r="D32" s="68">
        <f>IF(REGISTRO!B32="","",REGISTRO!D32)</f>
        <v/>
      </c>
      <c r="E32" s="68">
        <f>IF(REGISTRO!B32="","",REGISTRO!E32)</f>
        <v/>
      </c>
      <c r="F32" s="68">
        <f>IF(REGISTRO!B32="","",REGISTRO!F32)</f>
        <v/>
      </c>
      <c r="G32" s="68">
        <f>IF(REGISTRO!B32="","",REGISTRO!G32)</f>
        <v/>
      </c>
      <c r="H32" s="68">
        <f>IF(REGISTRO!B32="","",REGISTRO!I32)</f>
        <v/>
      </c>
      <c r="I32" s="68">
        <f>IF(REGISTRO!B32="","",REGISTRO!J32)</f>
        <v/>
      </c>
      <c r="J32" s="68">
        <f>IF(REGISTRO!B32="","",REGISTRO!K32)</f>
        <v/>
      </c>
      <c r="K32" s="69">
        <f>IF(REGISTRO!B32="","",REGISTRO!N32)</f>
        <v/>
      </c>
      <c r="L32" s="70">
        <f>IF(REGISTRO!B32="","",REGISTRO!R32)</f>
        <v/>
      </c>
      <c r="M32" s="68">
        <f>IF(REGISTRO!B32="","",REGISTRO!S32)</f>
        <v/>
      </c>
    </row>
    <row r="33" ht="15" customHeight="1">
      <c r="A33" s="71">
        <f>IF(REGISTRO!B33="","",REGISTRO!A33)</f>
        <v/>
      </c>
      <c r="B33" s="71">
        <f>IF(REGISTRO!B33="","",REGISTRO!B33)</f>
        <v/>
      </c>
      <c r="C33" s="71">
        <f>IF(REGISTRO!B33="","",REGISTRO!C33)</f>
        <v/>
      </c>
      <c r="D33" s="71">
        <f>IF(REGISTRO!B33="","",REGISTRO!D33)</f>
        <v/>
      </c>
      <c r="E33" s="71">
        <f>IF(REGISTRO!B33="","",REGISTRO!E33)</f>
        <v/>
      </c>
      <c r="F33" s="71">
        <f>IF(REGISTRO!B33="","",REGISTRO!F33)</f>
        <v/>
      </c>
      <c r="G33" s="71">
        <f>IF(REGISTRO!B33="","",REGISTRO!G33)</f>
        <v/>
      </c>
      <c r="H33" s="71">
        <f>IF(REGISTRO!B33="","",REGISTRO!I33)</f>
        <v/>
      </c>
      <c r="I33" s="71">
        <f>IF(REGISTRO!B33="","",REGISTRO!J33)</f>
        <v/>
      </c>
      <c r="J33" s="71">
        <f>IF(REGISTRO!B33="","",REGISTRO!K33)</f>
        <v/>
      </c>
      <c r="K33" s="72">
        <f>IF(REGISTRO!B33="","",REGISTRO!N33)</f>
        <v/>
      </c>
      <c r="L33" s="73">
        <f>IF(REGISTRO!B33="","",REGISTRO!R33)</f>
        <v/>
      </c>
      <c r="M33" s="71">
        <f>IF(REGISTRO!B33="","",REGISTRO!S33)</f>
        <v/>
      </c>
    </row>
    <row r="34" ht="15" customHeight="1">
      <c r="A34" s="68">
        <f>IF(REGISTRO!B34="","",REGISTRO!A34)</f>
        <v/>
      </c>
      <c r="B34" s="68">
        <f>IF(REGISTRO!B34="","",REGISTRO!B34)</f>
        <v/>
      </c>
      <c r="C34" s="68">
        <f>IF(REGISTRO!B34="","",REGISTRO!C34)</f>
        <v/>
      </c>
      <c r="D34" s="68">
        <f>IF(REGISTRO!B34="","",REGISTRO!D34)</f>
        <v/>
      </c>
      <c r="E34" s="68">
        <f>IF(REGISTRO!B34="","",REGISTRO!E34)</f>
        <v/>
      </c>
      <c r="F34" s="68">
        <f>IF(REGISTRO!B34="","",REGISTRO!F34)</f>
        <v/>
      </c>
      <c r="G34" s="68">
        <f>IF(REGISTRO!B34="","",REGISTRO!G34)</f>
        <v/>
      </c>
      <c r="H34" s="68">
        <f>IF(REGISTRO!B34="","",REGISTRO!I34)</f>
        <v/>
      </c>
      <c r="I34" s="68">
        <f>IF(REGISTRO!B34="","",REGISTRO!J34)</f>
        <v/>
      </c>
      <c r="J34" s="68">
        <f>IF(REGISTRO!B34="","",REGISTRO!K34)</f>
        <v/>
      </c>
      <c r="K34" s="69">
        <f>IF(REGISTRO!B34="","",REGISTRO!N34)</f>
        <v/>
      </c>
      <c r="L34" s="70">
        <f>IF(REGISTRO!B34="","",REGISTRO!R34)</f>
        <v/>
      </c>
      <c r="M34" s="68">
        <f>IF(REGISTRO!B34="","",REGISTRO!S34)</f>
        <v/>
      </c>
    </row>
    <row r="35" ht="15" customHeight="1">
      <c r="A35" s="71">
        <f>IF(REGISTRO!B35="","",REGISTRO!A35)</f>
        <v/>
      </c>
      <c r="B35" s="71">
        <f>IF(REGISTRO!B35="","",REGISTRO!B35)</f>
        <v/>
      </c>
      <c r="C35" s="71">
        <f>IF(REGISTRO!B35="","",REGISTRO!C35)</f>
        <v/>
      </c>
      <c r="D35" s="71">
        <f>IF(REGISTRO!B35="","",REGISTRO!D35)</f>
        <v/>
      </c>
      <c r="E35" s="71">
        <f>IF(REGISTRO!B35="","",REGISTRO!E35)</f>
        <v/>
      </c>
      <c r="F35" s="71">
        <f>IF(REGISTRO!B35="","",REGISTRO!F35)</f>
        <v/>
      </c>
      <c r="G35" s="71">
        <f>IF(REGISTRO!B35="","",REGISTRO!G35)</f>
        <v/>
      </c>
      <c r="H35" s="71">
        <f>IF(REGISTRO!B35="","",REGISTRO!I35)</f>
        <v/>
      </c>
      <c r="I35" s="71">
        <f>IF(REGISTRO!B35="","",REGISTRO!J35)</f>
        <v/>
      </c>
      <c r="J35" s="71">
        <f>IF(REGISTRO!B35="","",REGISTRO!K35)</f>
        <v/>
      </c>
      <c r="K35" s="72">
        <f>IF(REGISTRO!B35="","",REGISTRO!N35)</f>
        <v/>
      </c>
      <c r="L35" s="73">
        <f>IF(REGISTRO!B35="","",REGISTRO!R35)</f>
        <v/>
      </c>
      <c r="M35" s="71">
        <f>IF(REGISTRO!B35="","",REGISTRO!S35)</f>
        <v/>
      </c>
    </row>
    <row r="36" ht="15" customHeight="1">
      <c r="A36" s="68">
        <f>IF(REGISTRO!B36="","",REGISTRO!A36)</f>
        <v/>
      </c>
      <c r="B36" s="68">
        <f>IF(REGISTRO!B36="","",REGISTRO!B36)</f>
        <v/>
      </c>
      <c r="C36" s="68">
        <f>IF(REGISTRO!B36="","",REGISTRO!C36)</f>
        <v/>
      </c>
      <c r="D36" s="68">
        <f>IF(REGISTRO!B36="","",REGISTRO!D36)</f>
        <v/>
      </c>
      <c r="E36" s="68">
        <f>IF(REGISTRO!B36="","",REGISTRO!E36)</f>
        <v/>
      </c>
      <c r="F36" s="68">
        <f>IF(REGISTRO!B36="","",REGISTRO!F36)</f>
        <v/>
      </c>
      <c r="G36" s="68">
        <f>IF(REGISTRO!B36="","",REGISTRO!G36)</f>
        <v/>
      </c>
      <c r="H36" s="68">
        <f>IF(REGISTRO!B36="","",REGISTRO!I36)</f>
        <v/>
      </c>
      <c r="I36" s="68">
        <f>IF(REGISTRO!B36="","",REGISTRO!J36)</f>
        <v/>
      </c>
      <c r="J36" s="68">
        <f>IF(REGISTRO!B36="","",REGISTRO!K36)</f>
        <v/>
      </c>
      <c r="K36" s="69">
        <f>IF(REGISTRO!B36="","",REGISTRO!N36)</f>
        <v/>
      </c>
      <c r="L36" s="70">
        <f>IF(REGISTRO!B36="","",REGISTRO!R36)</f>
        <v/>
      </c>
      <c r="M36" s="68">
        <f>IF(REGISTRO!B36="","",REGISTRO!S36)</f>
        <v/>
      </c>
    </row>
    <row r="37" ht="15" customHeight="1">
      <c r="A37" s="71">
        <f>IF(REGISTRO!B37="","",REGISTRO!A37)</f>
        <v/>
      </c>
      <c r="B37" s="71">
        <f>IF(REGISTRO!B37="","",REGISTRO!B37)</f>
        <v/>
      </c>
      <c r="C37" s="71">
        <f>IF(REGISTRO!B37="","",REGISTRO!C37)</f>
        <v/>
      </c>
      <c r="D37" s="71">
        <f>IF(REGISTRO!B37="","",REGISTRO!D37)</f>
        <v/>
      </c>
      <c r="E37" s="71">
        <f>IF(REGISTRO!B37="","",REGISTRO!E37)</f>
        <v/>
      </c>
      <c r="F37" s="71">
        <f>IF(REGISTRO!B37="","",REGISTRO!F37)</f>
        <v/>
      </c>
      <c r="G37" s="71">
        <f>IF(REGISTRO!B37="","",REGISTRO!G37)</f>
        <v/>
      </c>
      <c r="H37" s="71">
        <f>IF(REGISTRO!B37="","",REGISTRO!I37)</f>
        <v/>
      </c>
      <c r="I37" s="71">
        <f>IF(REGISTRO!B37="","",REGISTRO!J37)</f>
        <v/>
      </c>
      <c r="J37" s="71">
        <f>IF(REGISTRO!B37="","",REGISTRO!K37)</f>
        <v/>
      </c>
      <c r="K37" s="72">
        <f>IF(REGISTRO!B37="","",REGISTRO!N37)</f>
        <v/>
      </c>
      <c r="L37" s="73">
        <f>IF(REGISTRO!B37="","",REGISTRO!R37)</f>
        <v/>
      </c>
      <c r="M37" s="71">
        <f>IF(REGISTRO!B37="","",REGISTRO!S37)</f>
        <v/>
      </c>
    </row>
    <row r="38" ht="15" customHeight="1">
      <c r="A38" s="68">
        <f>IF(REGISTRO!B38="","",REGISTRO!A38)</f>
        <v/>
      </c>
      <c r="B38" s="68">
        <f>IF(REGISTRO!B38="","",REGISTRO!B38)</f>
        <v/>
      </c>
      <c r="C38" s="68">
        <f>IF(REGISTRO!B38="","",REGISTRO!C38)</f>
        <v/>
      </c>
      <c r="D38" s="68">
        <f>IF(REGISTRO!B38="","",REGISTRO!D38)</f>
        <v/>
      </c>
      <c r="E38" s="68">
        <f>IF(REGISTRO!B38="","",REGISTRO!E38)</f>
        <v/>
      </c>
      <c r="F38" s="68">
        <f>IF(REGISTRO!B38="","",REGISTRO!F38)</f>
        <v/>
      </c>
      <c r="G38" s="68">
        <f>IF(REGISTRO!B38="","",REGISTRO!G38)</f>
        <v/>
      </c>
      <c r="H38" s="68">
        <f>IF(REGISTRO!B38="","",REGISTRO!I38)</f>
        <v/>
      </c>
      <c r="I38" s="68">
        <f>IF(REGISTRO!B38="","",REGISTRO!J38)</f>
        <v/>
      </c>
      <c r="J38" s="68">
        <f>IF(REGISTRO!B38="","",REGISTRO!K38)</f>
        <v/>
      </c>
      <c r="K38" s="69">
        <f>IF(REGISTRO!B38="","",REGISTRO!N38)</f>
        <v/>
      </c>
      <c r="L38" s="70">
        <f>IF(REGISTRO!B38="","",REGISTRO!R38)</f>
        <v/>
      </c>
      <c r="M38" s="68">
        <f>IF(REGISTRO!B38="","",REGISTRO!S38)</f>
        <v/>
      </c>
    </row>
    <row r="39" ht="15" customHeight="1">
      <c r="A39" s="71">
        <f>IF(REGISTRO!B39="","",REGISTRO!A39)</f>
        <v/>
      </c>
      <c r="B39" s="71">
        <f>IF(REGISTRO!B39="","",REGISTRO!B39)</f>
        <v/>
      </c>
      <c r="C39" s="71">
        <f>IF(REGISTRO!B39="","",REGISTRO!C39)</f>
        <v/>
      </c>
      <c r="D39" s="71">
        <f>IF(REGISTRO!B39="","",REGISTRO!D39)</f>
        <v/>
      </c>
      <c r="E39" s="71">
        <f>IF(REGISTRO!B39="","",REGISTRO!E39)</f>
        <v/>
      </c>
      <c r="F39" s="71">
        <f>IF(REGISTRO!B39="","",REGISTRO!F39)</f>
        <v/>
      </c>
      <c r="G39" s="71">
        <f>IF(REGISTRO!B39="","",REGISTRO!G39)</f>
        <v/>
      </c>
      <c r="H39" s="71">
        <f>IF(REGISTRO!B39="","",REGISTRO!I39)</f>
        <v/>
      </c>
      <c r="I39" s="71">
        <f>IF(REGISTRO!B39="","",REGISTRO!J39)</f>
        <v/>
      </c>
      <c r="J39" s="71">
        <f>IF(REGISTRO!B39="","",REGISTRO!K39)</f>
        <v/>
      </c>
      <c r="K39" s="72">
        <f>IF(REGISTRO!B39="","",REGISTRO!N39)</f>
        <v/>
      </c>
      <c r="L39" s="73">
        <f>IF(REGISTRO!B39="","",REGISTRO!R39)</f>
        <v/>
      </c>
      <c r="M39" s="71">
        <f>IF(REGISTRO!B39="","",REGISTRO!S39)</f>
        <v/>
      </c>
    </row>
    <row r="40" ht="15" customHeight="1">
      <c r="A40" s="68">
        <f>IF(REGISTRO!B40="","",REGISTRO!A40)</f>
        <v/>
      </c>
      <c r="B40" s="68">
        <f>IF(REGISTRO!B40="","",REGISTRO!B40)</f>
        <v/>
      </c>
      <c r="C40" s="68">
        <f>IF(REGISTRO!B40="","",REGISTRO!C40)</f>
        <v/>
      </c>
      <c r="D40" s="68">
        <f>IF(REGISTRO!B40="","",REGISTRO!D40)</f>
        <v/>
      </c>
      <c r="E40" s="68">
        <f>IF(REGISTRO!B40="","",REGISTRO!E40)</f>
        <v/>
      </c>
      <c r="F40" s="68">
        <f>IF(REGISTRO!B40="","",REGISTRO!F40)</f>
        <v/>
      </c>
      <c r="G40" s="68">
        <f>IF(REGISTRO!B40="","",REGISTRO!G40)</f>
        <v/>
      </c>
      <c r="H40" s="68">
        <f>IF(REGISTRO!B40="","",REGISTRO!I40)</f>
        <v/>
      </c>
      <c r="I40" s="68">
        <f>IF(REGISTRO!B40="","",REGISTRO!J40)</f>
        <v/>
      </c>
      <c r="J40" s="68">
        <f>IF(REGISTRO!B40="","",REGISTRO!K40)</f>
        <v/>
      </c>
      <c r="K40" s="69">
        <f>IF(REGISTRO!B40="","",REGISTRO!N40)</f>
        <v/>
      </c>
      <c r="L40" s="70">
        <f>IF(REGISTRO!B40="","",REGISTRO!R40)</f>
        <v/>
      </c>
      <c r="M40" s="68">
        <f>IF(REGISTRO!B40="","",REGISTRO!S40)</f>
        <v/>
      </c>
    </row>
    <row r="41" ht="15" customHeight="1">
      <c r="A41" s="71">
        <f>IF(REGISTRO!B41="","",REGISTRO!A41)</f>
        <v/>
      </c>
      <c r="B41" s="71">
        <f>IF(REGISTRO!B41="","",REGISTRO!B41)</f>
        <v/>
      </c>
      <c r="C41" s="71">
        <f>IF(REGISTRO!B41="","",REGISTRO!C41)</f>
        <v/>
      </c>
      <c r="D41" s="71">
        <f>IF(REGISTRO!B41="","",REGISTRO!D41)</f>
        <v/>
      </c>
      <c r="E41" s="71">
        <f>IF(REGISTRO!B41="","",REGISTRO!E41)</f>
        <v/>
      </c>
      <c r="F41" s="71">
        <f>IF(REGISTRO!B41="","",REGISTRO!F41)</f>
        <v/>
      </c>
      <c r="G41" s="71">
        <f>IF(REGISTRO!B41="","",REGISTRO!G41)</f>
        <v/>
      </c>
      <c r="H41" s="71">
        <f>IF(REGISTRO!B41="","",REGISTRO!I41)</f>
        <v/>
      </c>
      <c r="I41" s="71">
        <f>IF(REGISTRO!B41="","",REGISTRO!J41)</f>
        <v/>
      </c>
      <c r="J41" s="71">
        <f>IF(REGISTRO!B41="","",REGISTRO!K41)</f>
        <v/>
      </c>
      <c r="K41" s="72">
        <f>IF(REGISTRO!B41="","",REGISTRO!N41)</f>
        <v/>
      </c>
      <c r="L41" s="73">
        <f>IF(REGISTRO!B41="","",REGISTRO!R41)</f>
        <v/>
      </c>
      <c r="M41" s="71">
        <f>IF(REGISTRO!B41="","",REGISTRO!S41)</f>
        <v/>
      </c>
    </row>
    <row r="42" ht="15" customHeight="1">
      <c r="A42" s="68">
        <f>IF(REGISTRO!B42="","",REGISTRO!A42)</f>
        <v/>
      </c>
      <c r="B42" s="68">
        <f>IF(REGISTRO!B42="","",REGISTRO!B42)</f>
        <v/>
      </c>
      <c r="C42" s="68">
        <f>IF(REGISTRO!B42="","",REGISTRO!C42)</f>
        <v/>
      </c>
      <c r="D42" s="68">
        <f>IF(REGISTRO!B42="","",REGISTRO!D42)</f>
        <v/>
      </c>
      <c r="E42" s="68">
        <f>IF(REGISTRO!B42="","",REGISTRO!E42)</f>
        <v/>
      </c>
      <c r="F42" s="68">
        <f>IF(REGISTRO!B42="","",REGISTRO!F42)</f>
        <v/>
      </c>
      <c r="G42" s="68">
        <f>IF(REGISTRO!B42="","",REGISTRO!G42)</f>
        <v/>
      </c>
      <c r="H42" s="68">
        <f>IF(REGISTRO!B42="","",REGISTRO!I42)</f>
        <v/>
      </c>
      <c r="I42" s="68">
        <f>IF(REGISTRO!B42="","",REGISTRO!J42)</f>
        <v/>
      </c>
      <c r="J42" s="68">
        <f>IF(REGISTRO!B42="","",REGISTRO!K42)</f>
        <v/>
      </c>
      <c r="K42" s="69">
        <f>IF(REGISTRO!B42="","",REGISTRO!N42)</f>
        <v/>
      </c>
      <c r="L42" s="70">
        <f>IF(REGISTRO!B42="","",REGISTRO!R42)</f>
        <v/>
      </c>
      <c r="M42" s="68">
        <f>IF(REGISTRO!B42="","",REGISTRO!S42)</f>
        <v/>
      </c>
    </row>
    <row r="43" ht="15" customHeight="1">
      <c r="A43" s="71">
        <f>IF(REGISTRO!B43="","",REGISTRO!A43)</f>
        <v/>
      </c>
      <c r="B43" s="71">
        <f>IF(REGISTRO!B43="","",REGISTRO!B43)</f>
        <v/>
      </c>
      <c r="C43" s="71">
        <f>IF(REGISTRO!B43="","",REGISTRO!C43)</f>
        <v/>
      </c>
      <c r="D43" s="71">
        <f>IF(REGISTRO!B43="","",REGISTRO!D43)</f>
        <v/>
      </c>
      <c r="E43" s="71">
        <f>IF(REGISTRO!B43="","",REGISTRO!E43)</f>
        <v/>
      </c>
      <c r="F43" s="71">
        <f>IF(REGISTRO!B43="","",REGISTRO!F43)</f>
        <v/>
      </c>
      <c r="G43" s="71">
        <f>IF(REGISTRO!B43="","",REGISTRO!G43)</f>
        <v/>
      </c>
      <c r="H43" s="71">
        <f>IF(REGISTRO!B43="","",REGISTRO!I43)</f>
        <v/>
      </c>
      <c r="I43" s="71">
        <f>IF(REGISTRO!B43="","",REGISTRO!J43)</f>
        <v/>
      </c>
      <c r="J43" s="71">
        <f>IF(REGISTRO!B43="","",REGISTRO!K43)</f>
        <v/>
      </c>
      <c r="K43" s="72">
        <f>IF(REGISTRO!B43="","",REGISTRO!N43)</f>
        <v/>
      </c>
      <c r="L43" s="73">
        <f>IF(REGISTRO!B43="","",REGISTRO!R43)</f>
        <v/>
      </c>
      <c r="M43" s="71">
        <f>IF(REGISTRO!B43="","",REGISTRO!S43)</f>
        <v/>
      </c>
    </row>
    <row r="44" ht="15" customHeight="1">
      <c r="A44" s="68">
        <f>IF(REGISTRO!B44="","",REGISTRO!A44)</f>
        <v/>
      </c>
      <c r="B44" s="68">
        <f>IF(REGISTRO!B44="","",REGISTRO!B44)</f>
        <v/>
      </c>
      <c r="C44" s="68">
        <f>IF(REGISTRO!B44="","",REGISTRO!C44)</f>
        <v/>
      </c>
      <c r="D44" s="68">
        <f>IF(REGISTRO!B44="","",REGISTRO!D44)</f>
        <v/>
      </c>
      <c r="E44" s="68">
        <f>IF(REGISTRO!B44="","",REGISTRO!E44)</f>
        <v/>
      </c>
      <c r="F44" s="68">
        <f>IF(REGISTRO!B44="","",REGISTRO!F44)</f>
        <v/>
      </c>
      <c r="G44" s="68">
        <f>IF(REGISTRO!B44="","",REGISTRO!G44)</f>
        <v/>
      </c>
      <c r="H44" s="68">
        <f>IF(REGISTRO!B44="","",REGISTRO!I44)</f>
        <v/>
      </c>
      <c r="I44" s="68">
        <f>IF(REGISTRO!B44="","",REGISTRO!J44)</f>
        <v/>
      </c>
      <c r="J44" s="68">
        <f>IF(REGISTRO!B44="","",REGISTRO!K44)</f>
        <v/>
      </c>
      <c r="K44" s="69">
        <f>IF(REGISTRO!B44="","",REGISTRO!N44)</f>
        <v/>
      </c>
      <c r="L44" s="70">
        <f>IF(REGISTRO!B44="","",REGISTRO!R44)</f>
        <v/>
      </c>
      <c r="M44" s="68">
        <f>IF(REGISTRO!B44="","",REGISTRO!S44)</f>
        <v/>
      </c>
    </row>
    <row r="45" ht="15" customHeight="1">
      <c r="A45" s="71">
        <f>IF(REGISTRO!B45="","",REGISTRO!A45)</f>
        <v/>
      </c>
      <c r="B45" s="71">
        <f>IF(REGISTRO!B45="","",REGISTRO!B45)</f>
        <v/>
      </c>
      <c r="C45" s="71">
        <f>IF(REGISTRO!B45="","",REGISTRO!C45)</f>
        <v/>
      </c>
      <c r="D45" s="71">
        <f>IF(REGISTRO!B45="","",REGISTRO!D45)</f>
        <v/>
      </c>
      <c r="E45" s="71">
        <f>IF(REGISTRO!B45="","",REGISTRO!E45)</f>
        <v/>
      </c>
      <c r="F45" s="71">
        <f>IF(REGISTRO!B45="","",REGISTRO!F45)</f>
        <v/>
      </c>
      <c r="G45" s="71">
        <f>IF(REGISTRO!B45="","",REGISTRO!G45)</f>
        <v/>
      </c>
      <c r="H45" s="71">
        <f>IF(REGISTRO!B45="","",REGISTRO!I45)</f>
        <v/>
      </c>
      <c r="I45" s="71">
        <f>IF(REGISTRO!B45="","",REGISTRO!J45)</f>
        <v/>
      </c>
      <c r="J45" s="71">
        <f>IF(REGISTRO!B45="","",REGISTRO!K45)</f>
        <v/>
      </c>
      <c r="K45" s="72">
        <f>IF(REGISTRO!B45="","",REGISTRO!N45)</f>
        <v/>
      </c>
      <c r="L45" s="73">
        <f>IF(REGISTRO!B45="","",REGISTRO!R45)</f>
        <v/>
      </c>
      <c r="M45" s="71">
        <f>IF(REGISTRO!B45="","",REGISTRO!S45)</f>
        <v/>
      </c>
    </row>
    <row r="46" ht="15" customHeight="1">
      <c r="A46" s="68">
        <f>IF(REGISTRO!B46="","",REGISTRO!A46)</f>
        <v/>
      </c>
      <c r="B46" s="68">
        <f>IF(REGISTRO!B46="","",REGISTRO!B46)</f>
        <v/>
      </c>
      <c r="C46" s="68">
        <f>IF(REGISTRO!B46="","",REGISTRO!C46)</f>
        <v/>
      </c>
      <c r="D46" s="68">
        <f>IF(REGISTRO!B46="","",REGISTRO!D46)</f>
        <v/>
      </c>
      <c r="E46" s="68">
        <f>IF(REGISTRO!B46="","",REGISTRO!E46)</f>
        <v/>
      </c>
      <c r="F46" s="68">
        <f>IF(REGISTRO!B46="","",REGISTRO!F46)</f>
        <v/>
      </c>
      <c r="G46" s="68">
        <f>IF(REGISTRO!B46="","",REGISTRO!G46)</f>
        <v/>
      </c>
      <c r="H46" s="68">
        <f>IF(REGISTRO!B46="","",REGISTRO!I46)</f>
        <v/>
      </c>
      <c r="I46" s="68">
        <f>IF(REGISTRO!B46="","",REGISTRO!J46)</f>
        <v/>
      </c>
      <c r="J46" s="68">
        <f>IF(REGISTRO!B46="","",REGISTRO!K46)</f>
        <v/>
      </c>
      <c r="K46" s="69">
        <f>IF(REGISTRO!B46="","",REGISTRO!N46)</f>
        <v/>
      </c>
      <c r="L46" s="70">
        <f>IF(REGISTRO!B46="","",REGISTRO!R46)</f>
        <v/>
      </c>
      <c r="M46" s="68">
        <f>IF(REGISTRO!B46="","",REGISTRO!S46)</f>
        <v/>
      </c>
    </row>
    <row r="47" ht="15" customHeight="1">
      <c r="A47" s="71">
        <f>IF(REGISTRO!B47="","",REGISTRO!A47)</f>
        <v/>
      </c>
      <c r="B47" s="71">
        <f>IF(REGISTRO!B47="","",REGISTRO!B47)</f>
        <v/>
      </c>
      <c r="C47" s="71">
        <f>IF(REGISTRO!B47="","",REGISTRO!C47)</f>
        <v/>
      </c>
      <c r="D47" s="71">
        <f>IF(REGISTRO!B47="","",REGISTRO!D47)</f>
        <v/>
      </c>
      <c r="E47" s="71">
        <f>IF(REGISTRO!B47="","",REGISTRO!E47)</f>
        <v/>
      </c>
      <c r="F47" s="71">
        <f>IF(REGISTRO!B47="","",REGISTRO!F47)</f>
        <v/>
      </c>
      <c r="G47" s="71">
        <f>IF(REGISTRO!B47="","",REGISTRO!G47)</f>
        <v/>
      </c>
      <c r="H47" s="71">
        <f>IF(REGISTRO!B47="","",REGISTRO!I47)</f>
        <v/>
      </c>
      <c r="I47" s="71">
        <f>IF(REGISTRO!B47="","",REGISTRO!J47)</f>
        <v/>
      </c>
      <c r="J47" s="71">
        <f>IF(REGISTRO!B47="","",REGISTRO!K47)</f>
        <v/>
      </c>
      <c r="K47" s="72">
        <f>IF(REGISTRO!B47="","",REGISTRO!N47)</f>
        <v/>
      </c>
      <c r="L47" s="73">
        <f>IF(REGISTRO!B47="","",REGISTRO!R47)</f>
        <v/>
      </c>
      <c r="M47" s="71">
        <f>IF(REGISTRO!B47="","",REGISTRO!S47)</f>
        <v/>
      </c>
    </row>
    <row r="48" ht="15" customHeight="1">
      <c r="A48" s="68">
        <f>IF(REGISTRO!B48="","",REGISTRO!A48)</f>
        <v/>
      </c>
      <c r="B48" s="68">
        <f>IF(REGISTRO!B48="","",REGISTRO!B48)</f>
        <v/>
      </c>
      <c r="C48" s="68">
        <f>IF(REGISTRO!B48="","",REGISTRO!C48)</f>
        <v/>
      </c>
      <c r="D48" s="68">
        <f>IF(REGISTRO!B48="","",REGISTRO!D48)</f>
        <v/>
      </c>
      <c r="E48" s="68">
        <f>IF(REGISTRO!B48="","",REGISTRO!E48)</f>
        <v/>
      </c>
      <c r="F48" s="68">
        <f>IF(REGISTRO!B48="","",REGISTRO!F48)</f>
        <v/>
      </c>
      <c r="G48" s="68">
        <f>IF(REGISTRO!B48="","",REGISTRO!G48)</f>
        <v/>
      </c>
      <c r="H48" s="68">
        <f>IF(REGISTRO!B48="","",REGISTRO!I48)</f>
        <v/>
      </c>
      <c r="I48" s="68">
        <f>IF(REGISTRO!B48="","",REGISTRO!J48)</f>
        <v/>
      </c>
      <c r="J48" s="68">
        <f>IF(REGISTRO!B48="","",REGISTRO!K48)</f>
        <v/>
      </c>
      <c r="K48" s="69">
        <f>IF(REGISTRO!B48="","",REGISTRO!N48)</f>
        <v/>
      </c>
      <c r="L48" s="70">
        <f>IF(REGISTRO!B48="","",REGISTRO!R48)</f>
        <v/>
      </c>
      <c r="M48" s="68">
        <f>IF(REGISTRO!B48="","",REGISTRO!S48)</f>
        <v/>
      </c>
    </row>
    <row r="49" ht="15" customHeight="1">
      <c r="A49" s="71">
        <f>IF(REGISTRO!B49="","",REGISTRO!A49)</f>
        <v/>
      </c>
      <c r="B49" s="71">
        <f>IF(REGISTRO!B49="","",REGISTRO!B49)</f>
        <v/>
      </c>
      <c r="C49" s="71">
        <f>IF(REGISTRO!B49="","",REGISTRO!C49)</f>
        <v/>
      </c>
      <c r="D49" s="71">
        <f>IF(REGISTRO!B49="","",REGISTRO!D49)</f>
        <v/>
      </c>
      <c r="E49" s="71">
        <f>IF(REGISTRO!B49="","",REGISTRO!E49)</f>
        <v/>
      </c>
      <c r="F49" s="71">
        <f>IF(REGISTRO!B49="","",REGISTRO!F49)</f>
        <v/>
      </c>
      <c r="G49" s="71">
        <f>IF(REGISTRO!B49="","",REGISTRO!G49)</f>
        <v/>
      </c>
      <c r="H49" s="71">
        <f>IF(REGISTRO!B49="","",REGISTRO!I49)</f>
        <v/>
      </c>
      <c r="I49" s="71">
        <f>IF(REGISTRO!B49="","",REGISTRO!J49)</f>
        <v/>
      </c>
      <c r="J49" s="71">
        <f>IF(REGISTRO!B49="","",REGISTRO!K49)</f>
        <v/>
      </c>
      <c r="K49" s="72">
        <f>IF(REGISTRO!B49="","",REGISTRO!N49)</f>
        <v/>
      </c>
      <c r="L49" s="73">
        <f>IF(REGISTRO!B49="","",REGISTRO!R49)</f>
        <v/>
      </c>
      <c r="M49" s="71">
        <f>IF(REGISTRO!B49="","",REGISTRO!S49)</f>
        <v/>
      </c>
    </row>
    <row r="50" ht="15" customHeight="1">
      <c r="A50" s="68">
        <f>IF(REGISTRO!B50="","",REGISTRO!A50)</f>
        <v/>
      </c>
      <c r="B50" s="68">
        <f>IF(REGISTRO!B50="","",REGISTRO!B50)</f>
        <v/>
      </c>
      <c r="C50" s="68">
        <f>IF(REGISTRO!B50="","",REGISTRO!C50)</f>
        <v/>
      </c>
      <c r="D50" s="68">
        <f>IF(REGISTRO!B50="","",REGISTRO!D50)</f>
        <v/>
      </c>
      <c r="E50" s="68">
        <f>IF(REGISTRO!B50="","",REGISTRO!E50)</f>
        <v/>
      </c>
      <c r="F50" s="68">
        <f>IF(REGISTRO!B50="","",REGISTRO!F50)</f>
        <v/>
      </c>
      <c r="G50" s="68">
        <f>IF(REGISTRO!B50="","",REGISTRO!G50)</f>
        <v/>
      </c>
      <c r="H50" s="68">
        <f>IF(REGISTRO!B50="","",REGISTRO!I50)</f>
        <v/>
      </c>
      <c r="I50" s="68">
        <f>IF(REGISTRO!B50="","",REGISTRO!J50)</f>
        <v/>
      </c>
      <c r="J50" s="68">
        <f>IF(REGISTRO!B50="","",REGISTRO!K50)</f>
        <v/>
      </c>
      <c r="K50" s="69">
        <f>IF(REGISTRO!B50="","",REGISTRO!N50)</f>
        <v/>
      </c>
      <c r="L50" s="70">
        <f>IF(REGISTRO!B50="","",REGISTRO!R50)</f>
        <v/>
      </c>
      <c r="M50" s="68">
        <f>IF(REGISTRO!B50="","",REGISTRO!S50)</f>
        <v/>
      </c>
    </row>
    <row r="51" ht="15" customHeight="1">
      <c r="A51" s="71">
        <f>IF(REGISTRO!B51="","",REGISTRO!A51)</f>
        <v/>
      </c>
      <c r="B51" s="71">
        <f>IF(REGISTRO!B51="","",REGISTRO!B51)</f>
        <v/>
      </c>
      <c r="C51" s="71">
        <f>IF(REGISTRO!B51="","",REGISTRO!C51)</f>
        <v/>
      </c>
      <c r="D51" s="71">
        <f>IF(REGISTRO!B51="","",REGISTRO!D51)</f>
        <v/>
      </c>
      <c r="E51" s="71">
        <f>IF(REGISTRO!B51="","",REGISTRO!E51)</f>
        <v/>
      </c>
      <c r="F51" s="71">
        <f>IF(REGISTRO!B51="","",REGISTRO!F51)</f>
        <v/>
      </c>
      <c r="G51" s="71">
        <f>IF(REGISTRO!B51="","",REGISTRO!G51)</f>
        <v/>
      </c>
      <c r="H51" s="71">
        <f>IF(REGISTRO!B51="","",REGISTRO!I51)</f>
        <v/>
      </c>
      <c r="I51" s="71">
        <f>IF(REGISTRO!B51="","",REGISTRO!J51)</f>
        <v/>
      </c>
      <c r="J51" s="71">
        <f>IF(REGISTRO!B51="","",REGISTRO!K51)</f>
        <v/>
      </c>
      <c r="K51" s="72">
        <f>IF(REGISTRO!B51="","",REGISTRO!N51)</f>
        <v/>
      </c>
      <c r="L51" s="73">
        <f>IF(REGISTRO!B51="","",REGISTRO!R51)</f>
        <v/>
      </c>
      <c r="M51" s="71">
        <f>IF(REGISTRO!B51="","",REGISTRO!S51)</f>
        <v/>
      </c>
    </row>
    <row r="52" ht="15" customHeight="1">
      <c r="A52" s="68">
        <f>IF(REGISTRO!B52="","",REGISTRO!A52)</f>
        <v/>
      </c>
      <c r="B52" s="68">
        <f>IF(REGISTRO!B52="","",REGISTRO!B52)</f>
        <v/>
      </c>
      <c r="C52" s="68">
        <f>IF(REGISTRO!B52="","",REGISTRO!C52)</f>
        <v/>
      </c>
      <c r="D52" s="68">
        <f>IF(REGISTRO!B52="","",REGISTRO!D52)</f>
        <v/>
      </c>
      <c r="E52" s="68">
        <f>IF(REGISTRO!B52="","",REGISTRO!E52)</f>
        <v/>
      </c>
      <c r="F52" s="68">
        <f>IF(REGISTRO!B52="","",REGISTRO!F52)</f>
        <v/>
      </c>
      <c r="G52" s="68">
        <f>IF(REGISTRO!B52="","",REGISTRO!G52)</f>
        <v/>
      </c>
      <c r="H52" s="68">
        <f>IF(REGISTRO!B52="","",REGISTRO!I52)</f>
        <v/>
      </c>
      <c r="I52" s="68">
        <f>IF(REGISTRO!B52="","",REGISTRO!J52)</f>
        <v/>
      </c>
      <c r="J52" s="68">
        <f>IF(REGISTRO!B52="","",REGISTRO!K52)</f>
        <v/>
      </c>
      <c r="K52" s="69">
        <f>IF(REGISTRO!B52="","",REGISTRO!N52)</f>
        <v/>
      </c>
      <c r="L52" s="70">
        <f>IF(REGISTRO!B52="","",REGISTRO!R52)</f>
        <v/>
      </c>
      <c r="M52" s="68">
        <f>IF(REGISTRO!B52="","",REGISTRO!S52)</f>
        <v/>
      </c>
    </row>
    <row r="53">
      <c r="A53" s="74">
        <f>IF(REGISTRO!B53="","",REGISTRO!A53)</f>
        <v/>
      </c>
      <c r="B53" s="74">
        <f>IF(REGISTRO!B53="","",REGISTRO!B53)</f>
        <v/>
      </c>
      <c r="C53" s="74">
        <f>IF(REGISTRO!B53="","",REGISTRO!C53)</f>
        <v/>
      </c>
      <c r="D53" s="74">
        <f>IF(REGISTRO!B53="","",REGISTRO!D53)</f>
        <v/>
      </c>
      <c r="E53" s="74">
        <f>IF(REGISTRO!B53="","",REGISTRO!E53)</f>
        <v/>
      </c>
      <c r="F53" s="74">
        <f>IF(REGISTRO!B53="","",REGISTRO!F53)</f>
        <v/>
      </c>
      <c r="G53" s="74">
        <f>IF(REGISTRO!B53="","",REGISTRO!G53)</f>
        <v/>
      </c>
      <c r="H53" s="74">
        <f>IF(REGISTRO!B53="","",REGISTRO!I53)</f>
        <v/>
      </c>
      <c r="I53" s="74">
        <f>IF(REGISTRO!B53="","",REGISTRO!J53)</f>
        <v/>
      </c>
      <c r="J53" s="74">
        <f>IF(REGISTRO!B53="","",REGISTRO!K53)</f>
        <v/>
      </c>
      <c r="K53" s="74">
        <f>IF(REGISTRO!B53="","",REGISTRO!N53)</f>
        <v/>
      </c>
      <c r="L53" s="75">
        <f>IF(REGISTRO!B53="","",REGISTRO!R53)</f>
        <v/>
      </c>
      <c r="M53" s="74">
        <f>IF(REGISTRO!B53="","",REGISTRO!S53)</f>
        <v/>
      </c>
    </row>
    <row r="54">
      <c r="A54" s="74">
        <f>IF(REGISTRO!B54="","",REGISTRO!A54)</f>
        <v/>
      </c>
      <c r="B54" s="74">
        <f>IF(REGISTRO!B54="","",REGISTRO!B54)</f>
        <v/>
      </c>
      <c r="C54" s="74">
        <f>IF(REGISTRO!B54="","",REGISTRO!C54)</f>
        <v/>
      </c>
      <c r="D54" s="74">
        <f>IF(REGISTRO!B54="","",REGISTRO!D54)</f>
        <v/>
      </c>
      <c r="E54" s="74">
        <f>IF(REGISTRO!B54="","",REGISTRO!E54)</f>
        <v/>
      </c>
      <c r="F54" s="74">
        <f>IF(REGISTRO!B54="","",REGISTRO!F54)</f>
        <v/>
      </c>
      <c r="G54" s="74">
        <f>IF(REGISTRO!B54="","",REGISTRO!G54)</f>
        <v/>
      </c>
      <c r="H54" s="74">
        <f>IF(REGISTRO!B54="","",REGISTRO!I54)</f>
        <v/>
      </c>
      <c r="I54" s="74">
        <f>IF(REGISTRO!B54="","",REGISTRO!J54)</f>
        <v/>
      </c>
      <c r="J54" s="74">
        <f>IF(REGISTRO!B54="","",REGISTRO!K54)</f>
        <v/>
      </c>
      <c r="K54" s="74">
        <f>IF(REGISTRO!B54="","",REGISTRO!N54)</f>
        <v/>
      </c>
      <c r="L54" s="75">
        <f>IF(REGISTRO!B54="","",REGISTRO!R54)</f>
        <v/>
      </c>
      <c r="M54" s="74">
        <f>IF(REGISTRO!B54="","",REGISTRO!S54)</f>
        <v/>
      </c>
    </row>
    <row r="55" ht="15" customHeight="1">
      <c r="A55" s="76">
        <f>IF(REGISTRO!B55="","",REGISTRO!A55)</f>
        <v/>
      </c>
      <c r="B55" s="74">
        <f>IF(REGISTRO!B55="","",REGISTRO!B55)</f>
        <v/>
      </c>
      <c r="C55" s="74">
        <f>IF(REGISTRO!B55="","",REGISTRO!C55)</f>
        <v/>
      </c>
      <c r="D55" s="74">
        <f>IF(REGISTRO!B55="","",REGISTRO!D55)</f>
        <v/>
      </c>
      <c r="E55" s="74">
        <f>IF(REGISTRO!B55="","",REGISTRO!E55)</f>
        <v/>
      </c>
      <c r="F55" s="74">
        <f>IF(REGISTRO!B55="","",REGISTRO!F55)</f>
        <v/>
      </c>
      <c r="G55" s="74">
        <f>IF(REGISTRO!B55="","",REGISTRO!G55)</f>
        <v/>
      </c>
      <c r="H55" s="74">
        <f>IF(REGISTRO!B55="","",REGISTRO!I55)</f>
        <v/>
      </c>
      <c r="I55" s="74">
        <f>IF(REGISTRO!B55="","",REGISTRO!J55)</f>
        <v/>
      </c>
      <c r="J55" s="74">
        <f>IF(REGISTRO!B55="","",REGISTRO!K55)</f>
        <v/>
      </c>
      <c r="K55" s="74">
        <f>IF(REGISTRO!B55="","",REGISTRO!N55)</f>
        <v/>
      </c>
      <c r="L55" s="75">
        <f>IF(REGISTRO!B55="","",REGISTRO!R55)</f>
        <v/>
      </c>
      <c r="M55" s="74">
        <f>IF(REGISTRO!B55="","",REGISTRO!S55)</f>
        <v/>
      </c>
    </row>
    <row r="56">
      <c r="A56" s="74">
        <f>IF(REGISTRO!B56="","",REGISTRO!A56)</f>
        <v/>
      </c>
      <c r="B56" s="74">
        <f>IF(REGISTRO!B56="","",REGISTRO!B56)</f>
        <v/>
      </c>
      <c r="C56" s="74">
        <f>IF(REGISTRO!B56="","",REGISTRO!C56)</f>
        <v/>
      </c>
      <c r="D56" s="74">
        <f>IF(REGISTRO!B56="","",REGISTRO!D56)</f>
        <v/>
      </c>
      <c r="E56" s="74">
        <f>IF(REGISTRO!B56="","",REGISTRO!E56)</f>
        <v/>
      </c>
      <c r="F56" s="74">
        <f>IF(REGISTRO!B56="","",REGISTRO!F56)</f>
        <v/>
      </c>
      <c r="G56" s="74">
        <f>IF(REGISTRO!B56="","",REGISTRO!G56)</f>
        <v/>
      </c>
      <c r="H56" s="74">
        <f>IF(REGISTRO!B56="","",REGISTRO!I56)</f>
        <v/>
      </c>
      <c r="I56" s="74">
        <f>IF(REGISTRO!B56="","",REGISTRO!J56)</f>
        <v/>
      </c>
      <c r="J56" s="74">
        <f>IF(REGISTRO!B56="","",REGISTRO!K56)</f>
        <v/>
      </c>
      <c r="K56" s="74">
        <f>IF(REGISTRO!B56="","",REGISTRO!N56)</f>
        <v/>
      </c>
      <c r="L56" s="75">
        <f>IF(REGISTRO!B56="","",REGISTRO!R56)</f>
        <v/>
      </c>
      <c r="M56" s="74">
        <f>IF(REGISTRO!B56="","",REGISTRO!S56)</f>
        <v/>
      </c>
    </row>
    <row r="57">
      <c r="A57" s="74">
        <f>IF(REGISTRO!B57="","",REGISTRO!A57)</f>
        <v/>
      </c>
      <c r="B57" s="74">
        <f>IF(REGISTRO!B57="","",REGISTRO!B57)</f>
        <v/>
      </c>
      <c r="C57" s="74">
        <f>IF(REGISTRO!B57="","",REGISTRO!C57)</f>
        <v/>
      </c>
      <c r="D57" s="74">
        <f>IF(REGISTRO!B57="","",REGISTRO!D57)</f>
        <v/>
      </c>
      <c r="E57" s="74">
        <f>IF(REGISTRO!B57="","",REGISTRO!E57)</f>
        <v/>
      </c>
      <c r="F57" s="74">
        <f>IF(REGISTRO!B57="","",REGISTRO!F57)</f>
        <v/>
      </c>
      <c r="G57" s="74">
        <f>IF(REGISTRO!B57="","",REGISTRO!G57)</f>
        <v/>
      </c>
      <c r="H57" s="74">
        <f>IF(REGISTRO!B57="","",REGISTRO!I57)</f>
        <v/>
      </c>
      <c r="I57" s="74">
        <f>IF(REGISTRO!B57="","",REGISTRO!J57)</f>
        <v/>
      </c>
      <c r="J57" s="74">
        <f>IF(REGISTRO!B57="","",REGISTRO!K57)</f>
        <v/>
      </c>
      <c r="K57" s="74">
        <f>IF(REGISTRO!B57="","",REGISTRO!N57)</f>
        <v/>
      </c>
      <c r="L57" s="75">
        <f>IF(REGISTRO!B57="","",REGISTRO!R57)</f>
        <v/>
      </c>
      <c r="M57" s="74">
        <f>IF(REGISTRO!B57="","",REGISTRO!S57)</f>
        <v/>
      </c>
    </row>
    <row r="58">
      <c r="A58" s="74">
        <f>IF(REGISTRO!B58="","",REGISTRO!A58)</f>
        <v/>
      </c>
      <c r="B58" s="74">
        <f>IF(REGISTRO!B58="","",REGISTRO!B58)</f>
        <v/>
      </c>
      <c r="C58" s="74">
        <f>IF(REGISTRO!B58="","",REGISTRO!C58)</f>
        <v/>
      </c>
      <c r="D58" s="74">
        <f>IF(REGISTRO!B58="","",REGISTRO!D58)</f>
        <v/>
      </c>
      <c r="E58" s="74">
        <f>IF(REGISTRO!B58="","",REGISTRO!E58)</f>
        <v/>
      </c>
      <c r="F58" s="74">
        <f>IF(REGISTRO!B58="","",REGISTRO!F58)</f>
        <v/>
      </c>
      <c r="G58" s="74">
        <f>IF(REGISTRO!B58="","",REGISTRO!G58)</f>
        <v/>
      </c>
      <c r="H58" s="74">
        <f>IF(REGISTRO!B58="","",REGISTRO!I58)</f>
        <v/>
      </c>
      <c r="I58" s="74">
        <f>IF(REGISTRO!B58="","",REGISTRO!J58)</f>
        <v/>
      </c>
      <c r="J58" s="74">
        <f>IF(REGISTRO!B58="","",REGISTRO!K58)</f>
        <v/>
      </c>
      <c r="K58" s="74">
        <f>IF(REGISTRO!B58="","",REGISTRO!N58)</f>
        <v/>
      </c>
      <c r="L58" s="75">
        <f>IF(REGISTRO!B58="","",REGISTRO!R58)</f>
        <v/>
      </c>
      <c r="M58" s="74">
        <f>IF(REGISTRO!B58="","",REGISTRO!S58)</f>
        <v/>
      </c>
    </row>
    <row r="59">
      <c r="A59" s="74">
        <f>IF(REGISTRO!B59="","",REGISTRO!A59)</f>
        <v/>
      </c>
      <c r="B59" s="74">
        <f>IF(REGISTRO!B59="","",REGISTRO!B59)</f>
        <v/>
      </c>
      <c r="C59" s="74">
        <f>IF(REGISTRO!B59="","",REGISTRO!C59)</f>
        <v/>
      </c>
      <c r="D59" s="74">
        <f>IF(REGISTRO!B59="","",REGISTRO!D59)</f>
        <v/>
      </c>
      <c r="E59" s="74">
        <f>IF(REGISTRO!B59="","",REGISTRO!E59)</f>
        <v/>
      </c>
      <c r="F59" s="74">
        <f>IF(REGISTRO!B59="","",REGISTRO!F59)</f>
        <v/>
      </c>
      <c r="G59" s="74">
        <f>IF(REGISTRO!B59="","",REGISTRO!G59)</f>
        <v/>
      </c>
      <c r="H59" s="74">
        <f>IF(REGISTRO!B59="","",REGISTRO!I59)</f>
        <v/>
      </c>
      <c r="I59" s="74">
        <f>IF(REGISTRO!B59="","",REGISTRO!J59)</f>
        <v/>
      </c>
      <c r="J59" s="74">
        <f>IF(REGISTRO!B59="","",REGISTRO!K59)</f>
        <v/>
      </c>
      <c r="K59" s="74">
        <f>IF(REGISTRO!B59="","",REGISTRO!N59)</f>
        <v/>
      </c>
      <c r="L59" s="75">
        <f>IF(REGISTRO!B59="","",REGISTRO!R59)</f>
        <v/>
      </c>
      <c r="M59" s="74">
        <f>IF(REGISTRO!B59="","",REGISTRO!S59)</f>
        <v/>
      </c>
    </row>
    <row r="60">
      <c r="A60" s="74">
        <f>IF(REGISTRO!B60="","",REGISTRO!A60)</f>
        <v/>
      </c>
      <c r="B60" s="74">
        <f>IF(REGISTRO!B60="","",REGISTRO!B60)</f>
        <v/>
      </c>
      <c r="C60" s="74">
        <f>IF(REGISTRO!B60="","",REGISTRO!C60)</f>
        <v/>
      </c>
      <c r="D60" s="74">
        <f>IF(REGISTRO!B60="","",REGISTRO!D60)</f>
        <v/>
      </c>
      <c r="E60" s="74">
        <f>IF(REGISTRO!B60="","",REGISTRO!E60)</f>
        <v/>
      </c>
      <c r="F60" s="74">
        <f>IF(REGISTRO!B60="","",REGISTRO!F60)</f>
        <v/>
      </c>
      <c r="G60" s="74">
        <f>IF(REGISTRO!B60="","",REGISTRO!G60)</f>
        <v/>
      </c>
      <c r="H60" s="74">
        <f>IF(REGISTRO!B60="","",REGISTRO!I60)</f>
        <v/>
      </c>
      <c r="I60" s="74">
        <f>IF(REGISTRO!B60="","",REGISTRO!J60)</f>
        <v/>
      </c>
      <c r="J60" s="74">
        <f>IF(REGISTRO!B60="","",REGISTRO!K60)</f>
        <v/>
      </c>
      <c r="K60" s="74">
        <f>IF(REGISTRO!B60="","",REGISTRO!N60)</f>
        <v/>
      </c>
      <c r="L60" s="75">
        <f>IF(REGISTRO!B60="","",REGISTRO!R60)</f>
        <v/>
      </c>
      <c r="M60" s="74">
        <f>IF(REGISTRO!B60="","",REGISTRO!S60)</f>
        <v/>
      </c>
    </row>
    <row r="61">
      <c r="A61" s="74">
        <f>IF(REGISTRO!B61="","",REGISTRO!A61)</f>
        <v/>
      </c>
      <c r="B61" s="74">
        <f>IF(REGISTRO!B61="","",REGISTRO!B61)</f>
        <v/>
      </c>
      <c r="C61" s="74">
        <f>IF(REGISTRO!B61="","",REGISTRO!C61)</f>
        <v/>
      </c>
      <c r="D61" s="74">
        <f>IF(REGISTRO!B61="","",REGISTRO!D61)</f>
        <v/>
      </c>
      <c r="E61" s="74">
        <f>IF(REGISTRO!B61="","",REGISTRO!E61)</f>
        <v/>
      </c>
      <c r="F61" s="74">
        <f>IF(REGISTRO!B61="","",REGISTRO!F61)</f>
        <v/>
      </c>
      <c r="G61" s="74">
        <f>IF(REGISTRO!B61="","",REGISTRO!G61)</f>
        <v/>
      </c>
      <c r="H61" s="74">
        <f>IF(REGISTRO!B61="","",REGISTRO!I61)</f>
        <v/>
      </c>
      <c r="I61" s="74">
        <f>IF(REGISTRO!B61="","",REGISTRO!J61)</f>
        <v/>
      </c>
      <c r="J61" s="74">
        <f>IF(REGISTRO!B61="","",REGISTRO!K61)</f>
        <v/>
      </c>
      <c r="K61" s="74">
        <f>IF(REGISTRO!B61="","",REGISTRO!N61)</f>
        <v/>
      </c>
      <c r="L61" s="75">
        <f>IF(REGISTRO!B61="","",REGISTRO!R61)</f>
        <v/>
      </c>
      <c r="M61" s="74">
        <f>IF(REGISTRO!B61="","",REGISTRO!S61)</f>
        <v/>
      </c>
    </row>
    <row r="62">
      <c r="A62" s="74">
        <f>IF(REGISTRO!B62="","",REGISTRO!A62)</f>
        <v/>
      </c>
      <c r="B62" s="74">
        <f>IF(REGISTRO!B62="","",REGISTRO!B62)</f>
        <v/>
      </c>
      <c r="C62" s="74">
        <f>IF(REGISTRO!B62="","",REGISTRO!C62)</f>
        <v/>
      </c>
      <c r="D62" s="74">
        <f>IF(REGISTRO!B62="","",REGISTRO!D62)</f>
        <v/>
      </c>
      <c r="E62" s="74">
        <f>IF(REGISTRO!B62="","",REGISTRO!E62)</f>
        <v/>
      </c>
      <c r="F62" s="74">
        <f>IF(REGISTRO!B62="","",REGISTRO!F62)</f>
        <v/>
      </c>
      <c r="G62" s="74">
        <f>IF(REGISTRO!B62="","",REGISTRO!G62)</f>
        <v/>
      </c>
      <c r="H62" s="74">
        <f>IF(REGISTRO!B62="","",REGISTRO!I62)</f>
        <v/>
      </c>
      <c r="I62" s="74">
        <f>IF(REGISTRO!B62="","",REGISTRO!J62)</f>
        <v/>
      </c>
      <c r="J62" s="74">
        <f>IF(REGISTRO!B62="","",REGISTRO!K62)</f>
        <v/>
      </c>
      <c r="K62" s="74">
        <f>IF(REGISTRO!B62="","",REGISTRO!N62)</f>
        <v/>
      </c>
      <c r="L62" s="75">
        <f>IF(REGISTRO!B62="","",REGISTRO!R62)</f>
        <v/>
      </c>
      <c r="M62" s="74">
        <f>IF(REGISTRO!B62="","",REGISTRO!S62)</f>
        <v/>
      </c>
    </row>
    <row r="63">
      <c r="A63" s="74">
        <f>IF(REGISTRO!B63="","",REGISTRO!A63)</f>
        <v/>
      </c>
      <c r="B63" s="74">
        <f>IF(REGISTRO!B63="","",REGISTRO!B63)</f>
        <v/>
      </c>
      <c r="C63" s="74">
        <f>IF(REGISTRO!B63="","",REGISTRO!C63)</f>
        <v/>
      </c>
      <c r="D63" s="74">
        <f>IF(REGISTRO!B63="","",REGISTRO!D63)</f>
        <v/>
      </c>
      <c r="E63" s="74">
        <f>IF(REGISTRO!B63="","",REGISTRO!E63)</f>
        <v/>
      </c>
      <c r="F63" s="74">
        <f>IF(REGISTRO!B63="","",REGISTRO!F63)</f>
        <v/>
      </c>
      <c r="G63" s="74">
        <f>IF(REGISTRO!B63="","",REGISTRO!G63)</f>
        <v/>
      </c>
      <c r="H63" s="74">
        <f>IF(REGISTRO!B63="","",REGISTRO!I63)</f>
        <v/>
      </c>
      <c r="I63" s="74">
        <f>IF(REGISTRO!B63="","",REGISTRO!J63)</f>
        <v/>
      </c>
      <c r="J63" s="74">
        <f>IF(REGISTRO!B63="","",REGISTRO!K63)</f>
        <v/>
      </c>
      <c r="K63" s="74">
        <f>IF(REGISTRO!B63="","",REGISTRO!N63)</f>
        <v/>
      </c>
      <c r="L63" s="75">
        <f>IF(REGISTRO!B63="","",REGISTRO!R63)</f>
        <v/>
      </c>
      <c r="M63" s="74">
        <f>IF(REGISTRO!B63="","",REGISTRO!S63)</f>
        <v/>
      </c>
    </row>
    <row r="64">
      <c r="A64" s="74">
        <f>IF(REGISTRO!B64="","",REGISTRO!A64)</f>
        <v/>
      </c>
      <c r="B64" s="74">
        <f>IF(REGISTRO!B64="","",REGISTRO!B64)</f>
        <v/>
      </c>
      <c r="C64" s="74">
        <f>IF(REGISTRO!B64="","",REGISTRO!C64)</f>
        <v/>
      </c>
      <c r="D64" s="74">
        <f>IF(REGISTRO!B64="","",REGISTRO!D64)</f>
        <v/>
      </c>
      <c r="E64" s="74">
        <f>IF(REGISTRO!B64="","",REGISTRO!E64)</f>
        <v/>
      </c>
      <c r="F64" s="74">
        <f>IF(REGISTRO!B64="","",REGISTRO!F64)</f>
        <v/>
      </c>
      <c r="G64" s="74">
        <f>IF(REGISTRO!B64="","",REGISTRO!G64)</f>
        <v/>
      </c>
      <c r="H64" s="74">
        <f>IF(REGISTRO!B64="","",REGISTRO!I64)</f>
        <v/>
      </c>
      <c r="I64" s="74">
        <f>IF(REGISTRO!B64="","",REGISTRO!J64)</f>
        <v/>
      </c>
      <c r="J64" s="74">
        <f>IF(REGISTRO!B64="","",REGISTRO!K64)</f>
        <v/>
      </c>
      <c r="K64" s="74">
        <f>IF(REGISTRO!B64="","",REGISTRO!N64)</f>
        <v/>
      </c>
      <c r="L64" s="75">
        <f>IF(REGISTRO!B64="","",REGISTRO!R64)</f>
        <v/>
      </c>
      <c r="M64" s="74">
        <f>IF(REGISTRO!B64="","",REGISTRO!S64)</f>
        <v/>
      </c>
    </row>
    <row r="65">
      <c r="A65" s="74">
        <f>IF(REGISTRO!B65="","",REGISTRO!A65)</f>
        <v/>
      </c>
      <c r="B65" s="74">
        <f>IF(REGISTRO!B65="","",REGISTRO!B65)</f>
        <v/>
      </c>
      <c r="C65" s="74">
        <f>IF(REGISTRO!B65="","",REGISTRO!C65)</f>
        <v/>
      </c>
      <c r="D65" s="74">
        <f>IF(REGISTRO!B65="","",REGISTRO!D65)</f>
        <v/>
      </c>
      <c r="E65" s="74">
        <f>IF(REGISTRO!B65="","",REGISTRO!E65)</f>
        <v/>
      </c>
      <c r="F65" s="74">
        <f>IF(REGISTRO!B65="","",REGISTRO!F65)</f>
        <v/>
      </c>
      <c r="G65" s="74">
        <f>IF(REGISTRO!B65="","",REGISTRO!G65)</f>
        <v/>
      </c>
      <c r="H65" s="74">
        <f>IF(REGISTRO!B65="","",REGISTRO!I65)</f>
        <v/>
      </c>
      <c r="I65" s="74">
        <f>IF(REGISTRO!B65="","",REGISTRO!J65)</f>
        <v/>
      </c>
      <c r="J65" s="74">
        <f>IF(REGISTRO!B65="","",REGISTRO!K65)</f>
        <v/>
      </c>
      <c r="K65" s="74">
        <f>IF(REGISTRO!B65="","",REGISTRO!N65)</f>
        <v/>
      </c>
      <c r="L65" s="75">
        <f>IF(REGISTRO!B65="","",REGISTRO!R65)</f>
        <v/>
      </c>
      <c r="M65" s="74">
        <f>IF(REGISTRO!B65="","",REGISTRO!S65)</f>
        <v/>
      </c>
    </row>
    <row r="66">
      <c r="A66" s="74">
        <f>IF(REGISTRO!B66="","",REGISTRO!A66)</f>
        <v/>
      </c>
      <c r="B66" s="74">
        <f>IF(REGISTRO!B66="","",REGISTRO!B66)</f>
        <v/>
      </c>
      <c r="C66" s="74">
        <f>IF(REGISTRO!B66="","",REGISTRO!C66)</f>
        <v/>
      </c>
      <c r="D66" s="74">
        <f>IF(REGISTRO!B66="","",REGISTRO!D66)</f>
        <v/>
      </c>
      <c r="E66" s="74">
        <f>IF(REGISTRO!B66="","",REGISTRO!E66)</f>
        <v/>
      </c>
      <c r="F66" s="74">
        <f>IF(REGISTRO!B66="","",REGISTRO!F66)</f>
        <v/>
      </c>
      <c r="G66" s="74">
        <f>IF(REGISTRO!B66="","",REGISTRO!G66)</f>
        <v/>
      </c>
      <c r="H66" s="74">
        <f>IF(REGISTRO!B66="","",REGISTRO!I66)</f>
        <v/>
      </c>
      <c r="I66" s="74">
        <f>IF(REGISTRO!B66="","",REGISTRO!J66)</f>
        <v/>
      </c>
      <c r="J66" s="74">
        <f>IF(REGISTRO!B66="","",REGISTRO!K66)</f>
        <v/>
      </c>
      <c r="K66" s="74">
        <f>IF(REGISTRO!B66="","",REGISTRO!N66)</f>
        <v/>
      </c>
      <c r="L66" s="75">
        <f>IF(REGISTRO!B66="","",REGISTRO!R66)</f>
        <v/>
      </c>
      <c r="M66" s="74">
        <f>IF(REGISTRO!B66="","",REGISTRO!S66)</f>
        <v/>
      </c>
    </row>
    <row r="67">
      <c r="A67" s="74">
        <f>IF(REGISTRO!B67="","",REGISTRO!A67)</f>
        <v/>
      </c>
      <c r="B67" s="74">
        <f>IF(REGISTRO!B67="","",REGISTRO!B67)</f>
        <v/>
      </c>
      <c r="C67" s="74">
        <f>IF(REGISTRO!B67="","",REGISTRO!C67)</f>
        <v/>
      </c>
      <c r="D67" s="74">
        <f>IF(REGISTRO!B67="","",REGISTRO!D67)</f>
        <v/>
      </c>
      <c r="E67" s="74">
        <f>IF(REGISTRO!B67="","",REGISTRO!E67)</f>
        <v/>
      </c>
      <c r="F67" s="74">
        <f>IF(REGISTRO!B67="","",REGISTRO!F67)</f>
        <v/>
      </c>
      <c r="G67" s="74">
        <f>IF(REGISTRO!B67="","",REGISTRO!G67)</f>
        <v/>
      </c>
      <c r="H67" s="74">
        <f>IF(REGISTRO!B67="","",REGISTRO!I67)</f>
        <v/>
      </c>
      <c r="I67" s="74">
        <f>IF(REGISTRO!B67="","",REGISTRO!J67)</f>
        <v/>
      </c>
      <c r="J67" s="74">
        <f>IF(REGISTRO!B67="","",REGISTRO!K67)</f>
        <v/>
      </c>
      <c r="K67" s="74">
        <f>IF(REGISTRO!B67="","",REGISTRO!N67)</f>
        <v/>
      </c>
      <c r="L67" s="75">
        <f>IF(REGISTRO!B67="","",REGISTRO!R67)</f>
        <v/>
      </c>
      <c r="M67" s="74">
        <f>IF(REGISTRO!B67="","",REGISTRO!S67)</f>
        <v/>
      </c>
    </row>
    <row r="68">
      <c r="A68" s="74">
        <f>IF(REGISTRO!B68="","",REGISTRO!A68)</f>
        <v/>
      </c>
      <c r="B68" s="74">
        <f>IF(REGISTRO!B68="","",REGISTRO!B68)</f>
        <v/>
      </c>
      <c r="C68" s="74">
        <f>IF(REGISTRO!B68="","",REGISTRO!C68)</f>
        <v/>
      </c>
      <c r="D68" s="74">
        <f>IF(REGISTRO!B68="","",REGISTRO!D68)</f>
        <v/>
      </c>
      <c r="E68" s="74">
        <f>IF(REGISTRO!B68="","",REGISTRO!E68)</f>
        <v/>
      </c>
      <c r="F68" s="74">
        <f>IF(REGISTRO!B68="","",REGISTRO!F68)</f>
        <v/>
      </c>
      <c r="G68" s="74">
        <f>IF(REGISTRO!B68="","",REGISTRO!G68)</f>
        <v/>
      </c>
      <c r="H68" s="74">
        <f>IF(REGISTRO!B68="","",REGISTRO!I68)</f>
        <v/>
      </c>
      <c r="I68" s="74">
        <f>IF(REGISTRO!B68="","",REGISTRO!J68)</f>
        <v/>
      </c>
      <c r="J68" s="74">
        <f>IF(REGISTRO!B68="","",REGISTRO!K68)</f>
        <v/>
      </c>
      <c r="K68" s="74">
        <f>IF(REGISTRO!B68="","",REGISTRO!N68)</f>
        <v/>
      </c>
      <c r="L68" s="75">
        <f>IF(REGISTRO!B68="","",REGISTRO!R68)</f>
        <v/>
      </c>
      <c r="M68" s="74">
        <f>IF(REGISTRO!B68="","",REGISTRO!S68)</f>
        <v/>
      </c>
    </row>
    <row r="69">
      <c r="A69" s="74">
        <f>IF(REGISTRO!B69="","",REGISTRO!A69)</f>
        <v/>
      </c>
      <c r="B69" s="74">
        <f>IF(REGISTRO!B69="","",REGISTRO!B69)</f>
        <v/>
      </c>
      <c r="C69" s="74">
        <f>IF(REGISTRO!B69="","",REGISTRO!C69)</f>
        <v/>
      </c>
      <c r="D69" s="74">
        <f>IF(REGISTRO!B69="","",REGISTRO!D69)</f>
        <v/>
      </c>
      <c r="E69" s="74">
        <f>IF(REGISTRO!B69="","",REGISTRO!E69)</f>
        <v/>
      </c>
      <c r="F69" s="74">
        <f>IF(REGISTRO!B69="","",REGISTRO!F69)</f>
        <v/>
      </c>
      <c r="G69" s="74">
        <f>IF(REGISTRO!B69="","",REGISTRO!G69)</f>
        <v/>
      </c>
      <c r="H69" s="74">
        <f>IF(REGISTRO!B69="","",REGISTRO!I69)</f>
        <v/>
      </c>
      <c r="I69" s="74">
        <f>IF(REGISTRO!B69="","",REGISTRO!J69)</f>
        <v/>
      </c>
      <c r="J69" s="74">
        <f>IF(REGISTRO!B69="","",REGISTRO!K69)</f>
        <v/>
      </c>
      <c r="K69" s="74">
        <f>IF(REGISTRO!B69="","",REGISTRO!N69)</f>
        <v/>
      </c>
      <c r="L69" s="75">
        <f>IF(REGISTRO!B69="","",REGISTRO!R69)</f>
        <v/>
      </c>
      <c r="M69" s="74">
        <f>IF(REGISTRO!B69="","",REGISTRO!S69)</f>
        <v/>
      </c>
    </row>
    <row r="70">
      <c r="A70" s="74">
        <f>IF(REGISTRO!B70="","",REGISTRO!A70)</f>
        <v/>
      </c>
      <c r="B70" s="74">
        <f>IF(REGISTRO!B70="","",REGISTRO!B70)</f>
        <v/>
      </c>
      <c r="C70" s="74">
        <f>IF(REGISTRO!B70="","",REGISTRO!C70)</f>
        <v/>
      </c>
      <c r="D70" s="74">
        <f>IF(REGISTRO!B70="","",REGISTRO!D70)</f>
        <v/>
      </c>
      <c r="E70" s="74">
        <f>IF(REGISTRO!B70="","",REGISTRO!E70)</f>
        <v/>
      </c>
      <c r="F70" s="74">
        <f>IF(REGISTRO!B70="","",REGISTRO!F70)</f>
        <v/>
      </c>
      <c r="G70" s="74">
        <f>IF(REGISTRO!B70="","",REGISTRO!G70)</f>
        <v/>
      </c>
      <c r="H70" s="74">
        <f>IF(REGISTRO!B70="","",REGISTRO!I70)</f>
        <v/>
      </c>
      <c r="I70" s="74">
        <f>IF(REGISTRO!B70="","",REGISTRO!J70)</f>
        <v/>
      </c>
      <c r="J70" s="74">
        <f>IF(REGISTRO!B70="","",REGISTRO!K70)</f>
        <v/>
      </c>
      <c r="K70" s="74">
        <f>IF(REGISTRO!B70="","",REGISTRO!N70)</f>
        <v/>
      </c>
      <c r="L70" s="75">
        <f>IF(REGISTRO!B70="","",REGISTRO!R70)</f>
        <v/>
      </c>
      <c r="M70" s="74">
        <f>IF(REGISTRO!B70="","",REGISTRO!S70)</f>
        <v/>
      </c>
    </row>
    <row r="71">
      <c r="A71" s="74">
        <f>IF(REGISTRO!B71="","",REGISTRO!A71)</f>
        <v/>
      </c>
      <c r="B71" s="74">
        <f>IF(REGISTRO!B71="","",REGISTRO!B71)</f>
        <v/>
      </c>
      <c r="C71" s="74">
        <f>IF(REGISTRO!B71="","",REGISTRO!C71)</f>
        <v/>
      </c>
      <c r="D71" s="74">
        <f>IF(REGISTRO!B71="","",REGISTRO!D71)</f>
        <v/>
      </c>
      <c r="E71" s="74">
        <f>IF(REGISTRO!B71="","",REGISTRO!E71)</f>
        <v/>
      </c>
      <c r="F71" s="74">
        <f>IF(REGISTRO!B71="","",REGISTRO!F71)</f>
        <v/>
      </c>
      <c r="G71" s="74">
        <f>IF(REGISTRO!B71="","",REGISTRO!G71)</f>
        <v/>
      </c>
      <c r="H71" s="74">
        <f>IF(REGISTRO!B71="","",REGISTRO!I71)</f>
        <v/>
      </c>
      <c r="I71" s="74">
        <f>IF(REGISTRO!B71="","",REGISTRO!J71)</f>
        <v/>
      </c>
      <c r="J71" s="74">
        <f>IF(REGISTRO!B71="","",REGISTRO!K71)</f>
        <v/>
      </c>
      <c r="K71" s="74">
        <f>IF(REGISTRO!B71="","",REGISTRO!N71)</f>
        <v/>
      </c>
      <c r="L71" s="75">
        <f>IF(REGISTRO!B71="","",REGISTRO!R71)</f>
        <v/>
      </c>
      <c r="M71" s="74">
        <f>IF(REGISTRO!B71="","",REGISTRO!S71)</f>
        <v/>
      </c>
    </row>
    <row r="72">
      <c r="A72" s="74">
        <f>IF(REGISTRO!B72="","",REGISTRO!A72)</f>
        <v/>
      </c>
      <c r="B72" s="74">
        <f>IF(REGISTRO!B72="","",REGISTRO!B72)</f>
        <v/>
      </c>
      <c r="C72" s="74">
        <f>IF(REGISTRO!B72="","",REGISTRO!C72)</f>
        <v/>
      </c>
      <c r="D72" s="74">
        <f>IF(REGISTRO!B72="","",REGISTRO!D72)</f>
        <v/>
      </c>
      <c r="E72" s="74">
        <f>IF(REGISTRO!B72="","",REGISTRO!E72)</f>
        <v/>
      </c>
      <c r="F72" s="74">
        <f>IF(REGISTRO!B72="","",REGISTRO!F72)</f>
        <v/>
      </c>
      <c r="G72" s="74">
        <f>IF(REGISTRO!B72="","",REGISTRO!G72)</f>
        <v/>
      </c>
      <c r="H72" s="74">
        <f>IF(REGISTRO!B72="","",REGISTRO!I72)</f>
        <v/>
      </c>
      <c r="I72" s="74">
        <f>IF(REGISTRO!B72="","",REGISTRO!J72)</f>
        <v/>
      </c>
      <c r="J72" s="74">
        <f>IF(REGISTRO!B72="","",REGISTRO!K72)</f>
        <v/>
      </c>
      <c r="K72" s="74">
        <f>IF(REGISTRO!B72="","",REGISTRO!N72)</f>
        <v/>
      </c>
      <c r="L72" s="75">
        <f>IF(REGISTRO!B72="","",REGISTRO!R72)</f>
        <v/>
      </c>
      <c r="M72" s="74">
        <f>IF(REGISTRO!B72="","",REGISTRO!S72)</f>
        <v/>
      </c>
    </row>
    <row r="73">
      <c r="A73" s="74">
        <f>IF(REGISTRO!B73="","",REGISTRO!A73)</f>
        <v/>
      </c>
      <c r="B73" s="74">
        <f>IF(REGISTRO!B73="","",REGISTRO!B73)</f>
        <v/>
      </c>
      <c r="C73" s="74">
        <f>IF(REGISTRO!B73="","",REGISTRO!C73)</f>
        <v/>
      </c>
      <c r="D73" s="74">
        <f>IF(REGISTRO!B73="","",REGISTRO!D73)</f>
        <v/>
      </c>
      <c r="E73" s="74">
        <f>IF(REGISTRO!B73="","",REGISTRO!E73)</f>
        <v/>
      </c>
      <c r="F73" s="74">
        <f>IF(REGISTRO!B73="","",REGISTRO!F73)</f>
        <v/>
      </c>
      <c r="G73" s="74">
        <f>IF(REGISTRO!B73="","",REGISTRO!G73)</f>
        <v/>
      </c>
      <c r="H73" s="74">
        <f>IF(REGISTRO!B73="","",REGISTRO!I73)</f>
        <v/>
      </c>
      <c r="I73" s="74">
        <f>IF(REGISTRO!B73="","",REGISTRO!J73)</f>
        <v/>
      </c>
      <c r="J73" s="74">
        <f>IF(REGISTRO!B73="","",REGISTRO!K73)</f>
        <v/>
      </c>
      <c r="K73" s="74">
        <f>IF(REGISTRO!B73="","",REGISTRO!N73)</f>
        <v/>
      </c>
      <c r="L73" s="75">
        <f>IF(REGISTRO!B73="","",REGISTRO!R73)</f>
        <v/>
      </c>
      <c r="M73" s="74">
        <f>IF(REGISTRO!B73="","",REGISTRO!S73)</f>
        <v/>
      </c>
    </row>
    <row r="74">
      <c r="A74" s="74">
        <f>IF(REGISTRO!B74="","",REGISTRO!A74)</f>
        <v/>
      </c>
      <c r="B74" s="74">
        <f>IF(REGISTRO!B74="","",REGISTRO!B74)</f>
        <v/>
      </c>
      <c r="C74" s="74">
        <f>IF(REGISTRO!B74="","",REGISTRO!C74)</f>
        <v/>
      </c>
      <c r="D74" s="74">
        <f>IF(REGISTRO!B74="","",REGISTRO!D74)</f>
        <v/>
      </c>
      <c r="E74" s="74">
        <f>IF(REGISTRO!B74="","",REGISTRO!E74)</f>
        <v/>
      </c>
      <c r="F74" s="74">
        <f>IF(REGISTRO!B74="","",REGISTRO!F74)</f>
        <v/>
      </c>
      <c r="G74" s="74">
        <f>IF(REGISTRO!B74="","",REGISTRO!G74)</f>
        <v/>
      </c>
      <c r="H74" s="74">
        <f>IF(REGISTRO!B74="","",REGISTRO!I74)</f>
        <v/>
      </c>
      <c r="I74" s="74">
        <f>IF(REGISTRO!B74="","",REGISTRO!J74)</f>
        <v/>
      </c>
      <c r="J74" s="74">
        <f>IF(REGISTRO!B74="","",REGISTRO!K74)</f>
        <v/>
      </c>
      <c r="K74" s="74">
        <f>IF(REGISTRO!B74="","",REGISTRO!N74)</f>
        <v/>
      </c>
      <c r="L74" s="75">
        <f>IF(REGISTRO!B74="","",REGISTRO!R74)</f>
        <v/>
      </c>
      <c r="M74" s="74">
        <f>IF(REGISTRO!B74="","",REGISTRO!S74)</f>
        <v/>
      </c>
    </row>
    <row r="75">
      <c r="A75" s="74">
        <f>IF(REGISTRO!B75="","",REGISTRO!A75)</f>
        <v/>
      </c>
      <c r="B75" s="74">
        <f>IF(REGISTRO!B75="","",REGISTRO!B75)</f>
        <v/>
      </c>
      <c r="C75" s="74">
        <f>IF(REGISTRO!B75="","",REGISTRO!C75)</f>
        <v/>
      </c>
      <c r="D75" s="74">
        <f>IF(REGISTRO!B75="","",REGISTRO!D75)</f>
        <v/>
      </c>
      <c r="E75" s="74">
        <f>IF(REGISTRO!B75="","",REGISTRO!E75)</f>
        <v/>
      </c>
      <c r="F75" s="74">
        <f>IF(REGISTRO!B75="","",REGISTRO!F75)</f>
        <v/>
      </c>
      <c r="G75" s="74">
        <f>IF(REGISTRO!B75="","",REGISTRO!G75)</f>
        <v/>
      </c>
      <c r="H75" s="74">
        <f>IF(REGISTRO!B75="","",REGISTRO!I75)</f>
        <v/>
      </c>
      <c r="I75" s="74">
        <f>IF(REGISTRO!B75="","",REGISTRO!J75)</f>
        <v/>
      </c>
      <c r="J75" s="74">
        <f>IF(REGISTRO!B75="","",REGISTRO!K75)</f>
        <v/>
      </c>
      <c r="K75" s="74">
        <f>IF(REGISTRO!B75="","",REGISTRO!N75)</f>
        <v/>
      </c>
      <c r="L75" s="75">
        <f>IF(REGISTRO!B75="","",REGISTRO!R75)</f>
        <v/>
      </c>
      <c r="M75" s="74">
        <f>IF(REGISTRO!B75="","",REGISTRO!S75)</f>
        <v/>
      </c>
    </row>
    <row r="76">
      <c r="A76" s="74">
        <f>IF(REGISTRO!B76="","",REGISTRO!A76)</f>
        <v/>
      </c>
      <c r="B76" s="74">
        <f>IF(REGISTRO!B76="","",REGISTRO!B76)</f>
        <v/>
      </c>
      <c r="C76" s="74">
        <f>IF(REGISTRO!B76="","",REGISTRO!C76)</f>
        <v/>
      </c>
      <c r="D76" s="74">
        <f>IF(REGISTRO!B76="","",REGISTRO!D76)</f>
        <v/>
      </c>
      <c r="E76" s="74">
        <f>IF(REGISTRO!B76="","",REGISTRO!E76)</f>
        <v/>
      </c>
      <c r="F76" s="74">
        <f>IF(REGISTRO!B76="","",REGISTRO!F76)</f>
        <v/>
      </c>
      <c r="G76" s="74">
        <f>IF(REGISTRO!B76="","",REGISTRO!G76)</f>
        <v/>
      </c>
      <c r="H76" s="74">
        <f>IF(REGISTRO!B76="","",REGISTRO!I76)</f>
        <v/>
      </c>
      <c r="I76" s="74">
        <f>IF(REGISTRO!B76="","",REGISTRO!J76)</f>
        <v/>
      </c>
      <c r="J76" s="74">
        <f>IF(REGISTRO!B76="","",REGISTRO!K76)</f>
        <v/>
      </c>
      <c r="K76" s="74">
        <f>IF(REGISTRO!B76="","",REGISTRO!N76)</f>
        <v/>
      </c>
      <c r="L76" s="75">
        <f>IF(REGISTRO!B76="","",REGISTRO!R76)</f>
        <v/>
      </c>
      <c r="M76" s="74">
        <f>IF(REGISTRO!B76="","",REGISTRO!S76)</f>
        <v/>
      </c>
    </row>
    <row r="77">
      <c r="A77" s="74">
        <f>IF(REGISTRO!B77="","",REGISTRO!A77)</f>
        <v/>
      </c>
      <c r="B77" s="74">
        <f>IF(REGISTRO!B77="","",REGISTRO!B77)</f>
        <v/>
      </c>
      <c r="C77" s="74">
        <f>IF(REGISTRO!B77="","",REGISTRO!C77)</f>
        <v/>
      </c>
      <c r="D77" s="74">
        <f>IF(REGISTRO!B77="","",REGISTRO!D77)</f>
        <v/>
      </c>
      <c r="E77" s="74">
        <f>IF(REGISTRO!B77="","",REGISTRO!E77)</f>
        <v/>
      </c>
      <c r="F77" s="74">
        <f>IF(REGISTRO!B77="","",REGISTRO!F77)</f>
        <v/>
      </c>
      <c r="G77" s="74">
        <f>IF(REGISTRO!B77="","",REGISTRO!G77)</f>
        <v/>
      </c>
      <c r="H77" s="74">
        <f>IF(REGISTRO!B77="","",REGISTRO!I77)</f>
        <v/>
      </c>
      <c r="I77" s="74">
        <f>IF(REGISTRO!B77="","",REGISTRO!J77)</f>
        <v/>
      </c>
      <c r="J77" s="74">
        <f>IF(REGISTRO!B77="","",REGISTRO!K77)</f>
        <v/>
      </c>
      <c r="K77" s="74">
        <f>IF(REGISTRO!B77="","",REGISTRO!N77)</f>
        <v/>
      </c>
      <c r="L77" s="75">
        <f>IF(REGISTRO!B77="","",REGISTRO!R77)</f>
        <v/>
      </c>
      <c r="M77" s="74">
        <f>IF(REGISTRO!B77="","",REGISTRO!S77)</f>
        <v/>
      </c>
    </row>
    <row r="78">
      <c r="A78" s="74">
        <f>IF(REGISTRO!B78="","",REGISTRO!A78)</f>
        <v/>
      </c>
      <c r="B78" s="74">
        <f>IF(REGISTRO!B78="","",REGISTRO!B78)</f>
        <v/>
      </c>
      <c r="C78" s="74">
        <f>IF(REGISTRO!B78="","",REGISTRO!C78)</f>
        <v/>
      </c>
      <c r="D78" s="74">
        <f>IF(REGISTRO!B78="","",REGISTRO!D78)</f>
        <v/>
      </c>
      <c r="E78" s="74">
        <f>IF(REGISTRO!B78="","",REGISTRO!E78)</f>
        <v/>
      </c>
      <c r="F78" s="74">
        <f>IF(REGISTRO!B78="","",REGISTRO!F78)</f>
        <v/>
      </c>
      <c r="G78" s="74">
        <f>IF(REGISTRO!B78="","",REGISTRO!G78)</f>
        <v/>
      </c>
      <c r="H78" s="74">
        <f>IF(REGISTRO!B78="","",REGISTRO!I78)</f>
        <v/>
      </c>
      <c r="I78" s="74">
        <f>IF(REGISTRO!B78="","",REGISTRO!J78)</f>
        <v/>
      </c>
      <c r="J78" s="74">
        <f>IF(REGISTRO!B78="","",REGISTRO!K78)</f>
        <v/>
      </c>
      <c r="K78" s="74">
        <f>IF(REGISTRO!B78="","",REGISTRO!N78)</f>
        <v/>
      </c>
      <c r="L78" s="75">
        <f>IF(REGISTRO!B78="","",REGISTRO!R78)</f>
        <v/>
      </c>
      <c r="M78" s="74">
        <f>IF(REGISTRO!B78="","",REGISTRO!S78)</f>
        <v/>
      </c>
    </row>
    <row r="79">
      <c r="A79" s="74">
        <f>IF(REGISTRO!B79="","",REGISTRO!A79)</f>
        <v/>
      </c>
      <c r="B79" s="74">
        <f>IF(REGISTRO!B79="","",REGISTRO!B79)</f>
        <v/>
      </c>
      <c r="C79" s="74">
        <f>IF(REGISTRO!B79="","",REGISTRO!C79)</f>
        <v/>
      </c>
      <c r="D79" s="74">
        <f>IF(REGISTRO!B79="","",REGISTRO!D79)</f>
        <v/>
      </c>
      <c r="E79" s="74">
        <f>IF(REGISTRO!B79="","",REGISTRO!E79)</f>
        <v/>
      </c>
      <c r="F79" s="74">
        <f>IF(REGISTRO!B79="","",REGISTRO!F79)</f>
        <v/>
      </c>
      <c r="G79" s="74">
        <f>IF(REGISTRO!B79="","",REGISTRO!G79)</f>
        <v/>
      </c>
      <c r="H79" s="74">
        <f>IF(REGISTRO!B79="","",REGISTRO!I79)</f>
        <v/>
      </c>
      <c r="I79" s="74">
        <f>IF(REGISTRO!B79="","",REGISTRO!J79)</f>
        <v/>
      </c>
      <c r="J79" s="74">
        <f>IF(REGISTRO!B79="","",REGISTRO!K79)</f>
        <v/>
      </c>
      <c r="K79" s="74">
        <f>IF(REGISTRO!B79="","",REGISTRO!N79)</f>
        <v/>
      </c>
      <c r="L79" s="75">
        <f>IF(REGISTRO!B79="","",REGISTRO!R79)</f>
        <v/>
      </c>
      <c r="M79" s="74">
        <f>IF(REGISTRO!B79="","",REGISTRO!S79)</f>
        <v/>
      </c>
    </row>
    <row r="80">
      <c r="A80" s="74">
        <f>IF(REGISTRO!B80="","",REGISTRO!A80)</f>
        <v/>
      </c>
      <c r="B80" s="74">
        <f>IF(REGISTRO!B80="","",REGISTRO!B80)</f>
        <v/>
      </c>
      <c r="C80" s="74">
        <f>IF(REGISTRO!B80="","",REGISTRO!C80)</f>
        <v/>
      </c>
      <c r="D80" s="74">
        <f>IF(REGISTRO!B80="","",REGISTRO!D80)</f>
        <v/>
      </c>
      <c r="E80" s="74">
        <f>IF(REGISTRO!B80="","",REGISTRO!E80)</f>
        <v/>
      </c>
      <c r="F80" s="74">
        <f>IF(REGISTRO!B80="","",REGISTRO!F80)</f>
        <v/>
      </c>
      <c r="G80" s="74">
        <f>IF(REGISTRO!B80="","",REGISTRO!G80)</f>
        <v/>
      </c>
      <c r="H80" s="74">
        <f>IF(REGISTRO!B80="","",REGISTRO!I80)</f>
        <v/>
      </c>
      <c r="I80" s="74">
        <f>IF(REGISTRO!B80="","",REGISTRO!J80)</f>
        <v/>
      </c>
      <c r="J80" s="74">
        <f>IF(REGISTRO!B80="","",REGISTRO!K80)</f>
        <v/>
      </c>
      <c r="K80" s="74">
        <f>IF(REGISTRO!B80="","",REGISTRO!N80)</f>
        <v/>
      </c>
      <c r="L80" s="75">
        <f>IF(REGISTRO!B80="","",REGISTRO!R80)</f>
        <v/>
      </c>
      <c r="M80" s="74">
        <f>IF(REGISTRO!B80="","",REGISTRO!S80)</f>
        <v/>
      </c>
    </row>
    <row r="81">
      <c r="A81" s="74">
        <f>IF(REGISTRO!B81="","",REGISTRO!A81)</f>
        <v/>
      </c>
      <c r="B81" s="74">
        <f>IF(REGISTRO!B81="","",REGISTRO!B81)</f>
        <v/>
      </c>
      <c r="C81" s="74">
        <f>IF(REGISTRO!B81="","",REGISTRO!C81)</f>
        <v/>
      </c>
      <c r="D81" s="74">
        <f>IF(REGISTRO!B81="","",REGISTRO!D81)</f>
        <v/>
      </c>
      <c r="E81" s="74">
        <f>IF(REGISTRO!B81="","",REGISTRO!E81)</f>
        <v/>
      </c>
      <c r="F81" s="74">
        <f>IF(REGISTRO!B81="","",REGISTRO!F81)</f>
        <v/>
      </c>
      <c r="G81" s="74">
        <f>IF(REGISTRO!B81="","",REGISTRO!G81)</f>
        <v/>
      </c>
      <c r="H81" s="74">
        <f>IF(REGISTRO!B81="","",REGISTRO!I81)</f>
        <v/>
      </c>
      <c r="I81" s="74">
        <f>IF(REGISTRO!B81="","",REGISTRO!J81)</f>
        <v/>
      </c>
      <c r="J81" s="74">
        <f>IF(REGISTRO!B81="","",REGISTRO!K81)</f>
        <v/>
      </c>
      <c r="K81" s="74">
        <f>IF(REGISTRO!B81="","",REGISTRO!N81)</f>
        <v/>
      </c>
      <c r="L81" s="75">
        <f>IF(REGISTRO!B81="","",REGISTRO!R81)</f>
        <v/>
      </c>
      <c r="M81" s="74">
        <f>IF(REGISTRO!B81="","",REGISTRO!S81)</f>
        <v/>
      </c>
    </row>
    <row r="82">
      <c r="A82" s="74">
        <f>IF(REGISTRO!B82="","",REGISTRO!A82)</f>
        <v/>
      </c>
      <c r="B82" s="74">
        <f>IF(REGISTRO!B82="","",REGISTRO!B82)</f>
        <v/>
      </c>
      <c r="C82" s="74">
        <f>IF(REGISTRO!B82="","",REGISTRO!C82)</f>
        <v/>
      </c>
      <c r="D82" s="74">
        <f>IF(REGISTRO!B82="","",REGISTRO!D82)</f>
        <v/>
      </c>
      <c r="E82" s="74">
        <f>IF(REGISTRO!B82="","",REGISTRO!E82)</f>
        <v/>
      </c>
      <c r="F82" s="74">
        <f>IF(REGISTRO!B82="","",REGISTRO!F82)</f>
        <v/>
      </c>
      <c r="G82" s="74">
        <f>IF(REGISTRO!B82="","",REGISTRO!G82)</f>
        <v/>
      </c>
      <c r="H82" s="74">
        <f>IF(REGISTRO!B82="","",REGISTRO!I82)</f>
        <v/>
      </c>
      <c r="I82" s="74">
        <f>IF(REGISTRO!B82="","",REGISTRO!J82)</f>
        <v/>
      </c>
      <c r="J82" s="74">
        <f>IF(REGISTRO!B82="","",REGISTRO!K82)</f>
        <v/>
      </c>
      <c r="K82" s="74">
        <f>IF(REGISTRO!B82="","",REGISTRO!N82)</f>
        <v/>
      </c>
      <c r="L82" s="75">
        <f>IF(REGISTRO!B82="","",REGISTRO!R82)</f>
        <v/>
      </c>
      <c r="M82" s="74">
        <f>IF(REGISTRO!B82="","",REGISTRO!S82)</f>
        <v/>
      </c>
    </row>
    <row r="83">
      <c r="A83" s="74">
        <f>IF(REGISTRO!B83="","",REGISTRO!A83)</f>
        <v/>
      </c>
      <c r="B83" s="74">
        <f>IF(REGISTRO!B83="","",REGISTRO!B83)</f>
        <v/>
      </c>
      <c r="C83" s="74">
        <f>IF(REGISTRO!B83="","",REGISTRO!C83)</f>
        <v/>
      </c>
      <c r="D83" s="74">
        <f>IF(REGISTRO!B83="","",REGISTRO!D83)</f>
        <v/>
      </c>
      <c r="E83" s="74">
        <f>IF(REGISTRO!B83="","",REGISTRO!E83)</f>
        <v/>
      </c>
      <c r="F83" s="74">
        <f>IF(REGISTRO!B83="","",REGISTRO!F83)</f>
        <v/>
      </c>
      <c r="G83" s="74">
        <f>IF(REGISTRO!B83="","",REGISTRO!G83)</f>
        <v/>
      </c>
      <c r="H83" s="74">
        <f>IF(REGISTRO!B83="","",REGISTRO!I83)</f>
        <v/>
      </c>
      <c r="I83" s="74">
        <f>IF(REGISTRO!B83="","",REGISTRO!J83)</f>
        <v/>
      </c>
      <c r="J83" s="74">
        <f>IF(REGISTRO!B83="","",REGISTRO!K83)</f>
        <v/>
      </c>
      <c r="K83" s="74">
        <f>IF(REGISTRO!B83="","",REGISTRO!N83)</f>
        <v/>
      </c>
      <c r="L83" s="75">
        <f>IF(REGISTRO!B83="","",REGISTRO!R83)</f>
        <v/>
      </c>
      <c r="M83" s="74">
        <f>IF(REGISTRO!B83="","",REGISTRO!S83)</f>
        <v/>
      </c>
    </row>
    <row r="84">
      <c r="A84" s="74">
        <f>IF(REGISTRO!B84="","",REGISTRO!A84)</f>
        <v/>
      </c>
      <c r="B84" s="74">
        <f>IF(REGISTRO!B84="","",REGISTRO!B84)</f>
        <v/>
      </c>
      <c r="C84" s="74">
        <f>IF(REGISTRO!B84="","",REGISTRO!C84)</f>
        <v/>
      </c>
      <c r="D84" s="74">
        <f>IF(REGISTRO!B84="","",REGISTRO!D84)</f>
        <v/>
      </c>
      <c r="E84" s="74">
        <f>IF(REGISTRO!B84="","",REGISTRO!E84)</f>
        <v/>
      </c>
      <c r="F84" s="74">
        <f>IF(REGISTRO!B84="","",REGISTRO!F84)</f>
        <v/>
      </c>
      <c r="G84" s="74">
        <f>IF(REGISTRO!B84="","",REGISTRO!G84)</f>
        <v/>
      </c>
      <c r="H84" s="74">
        <f>IF(REGISTRO!B84="","",REGISTRO!I84)</f>
        <v/>
      </c>
      <c r="I84" s="74">
        <f>IF(REGISTRO!B84="","",REGISTRO!J84)</f>
        <v/>
      </c>
      <c r="J84" s="74">
        <f>IF(REGISTRO!B84="","",REGISTRO!K84)</f>
        <v/>
      </c>
      <c r="K84" s="74">
        <f>IF(REGISTRO!B84="","",REGISTRO!N84)</f>
        <v/>
      </c>
      <c r="L84" s="75">
        <f>IF(REGISTRO!B84="","",REGISTRO!R84)</f>
        <v/>
      </c>
      <c r="M84" s="74">
        <f>IF(REGISTRO!B84="","",REGISTRO!S84)</f>
        <v/>
      </c>
    </row>
    <row r="85">
      <c r="A85" s="74">
        <f>IF(REGISTRO!B85="","",REGISTRO!A85)</f>
        <v/>
      </c>
      <c r="B85" s="74">
        <f>IF(REGISTRO!B85="","",REGISTRO!B85)</f>
        <v/>
      </c>
      <c r="C85" s="74">
        <f>IF(REGISTRO!B85="","",REGISTRO!C85)</f>
        <v/>
      </c>
      <c r="D85" s="74">
        <f>IF(REGISTRO!B85="","",REGISTRO!D85)</f>
        <v/>
      </c>
      <c r="E85" s="74">
        <f>IF(REGISTRO!B85="","",REGISTRO!E85)</f>
        <v/>
      </c>
      <c r="F85" s="74">
        <f>IF(REGISTRO!B85="","",REGISTRO!F85)</f>
        <v/>
      </c>
      <c r="G85" s="74">
        <f>IF(REGISTRO!B85="","",REGISTRO!G85)</f>
        <v/>
      </c>
      <c r="H85" s="74">
        <f>IF(REGISTRO!B85="","",REGISTRO!I85)</f>
        <v/>
      </c>
      <c r="I85" s="74">
        <f>IF(REGISTRO!B85="","",REGISTRO!J85)</f>
        <v/>
      </c>
      <c r="J85" s="74">
        <f>IF(REGISTRO!B85="","",REGISTRO!K85)</f>
        <v/>
      </c>
      <c r="K85" s="74">
        <f>IF(REGISTRO!B85="","",REGISTRO!N85)</f>
        <v/>
      </c>
      <c r="L85" s="75">
        <f>IF(REGISTRO!B85="","",REGISTRO!R85)</f>
        <v/>
      </c>
      <c r="M85" s="74">
        <f>IF(REGISTRO!B85="","",REGISTRO!S85)</f>
        <v/>
      </c>
    </row>
    <row r="86">
      <c r="A86" s="74">
        <f>IF(REGISTRO!B86="","",REGISTRO!A86)</f>
        <v/>
      </c>
      <c r="B86" s="74">
        <f>IF(REGISTRO!B86="","",REGISTRO!B86)</f>
        <v/>
      </c>
      <c r="C86" s="74">
        <f>IF(REGISTRO!B86="","",REGISTRO!C86)</f>
        <v/>
      </c>
      <c r="D86" s="74">
        <f>IF(REGISTRO!B86="","",REGISTRO!D86)</f>
        <v/>
      </c>
      <c r="E86" s="74">
        <f>IF(REGISTRO!B86="","",REGISTRO!E86)</f>
        <v/>
      </c>
      <c r="F86" s="74">
        <f>IF(REGISTRO!B86="","",REGISTRO!F86)</f>
        <v/>
      </c>
      <c r="G86" s="74">
        <f>IF(REGISTRO!B86="","",REGISTRO!G86)</f>
        <v/>
      </c>
      <c r="H86" s="74">
        <f>IF(REGISTRO!B86="","",REGISTRO!I86)</f>
        <v/>
      </c>
      <c r="I86" s="74">
        <f>IF(REGISTRO!B86="","",REGISTRO!J86)</f>
        <v/>
      </c>
      <c r="J86" s="74">
        <f>IF(REGISTRO!B86="","",REGISTRO!K86)</f>
        <v/>
      </c>
      <c r="K86" s="74">
        <f>IF(REGISTRO!B86="","",REGISTRO!N86)</f>
        <v/>
      </c>
      <c r="L86" s="75">
        <f>IF(REGISTRO!B86="","",REGISTRO!R86)</f>
        <v/>
      </c>
      <c r="M86" s="74">
        <f>IF(REGISTRO!B86="","",REGISTRO!S86)</f>
        <v/>
      </c>
    </row>
    <row r="87">
      <c r="A87" s="74">
        <f>IF(REGISTRO!B87="","",REGISTRO!A87)</f>
        <v/>
      </c>
      <c r="B87" s="74">
        <f>IF(REGISTRO!B87="","",REGISTRO!B87)</f>
        <v/>
      </c>
      <c r="C87" s="74">
        <f>IF(REGISTRO!B87="","",REGISTRO!C87)</f>
        <v/>
      </c>
      <c r="D87" s="74">
        <f>IF(REGISTRO!B87="","",REGISTRO!D87)</f>
        <v/>
      </c>
      <c r="E87" s="74">
        <f>IF(REGISTRO!B87="","",REGISTRO!E87)</f>
        <v/>
      </c>
      <c r="F87" s="74">
        <f>IF(REGISTRO!B87="","",REGISTRO!F87)</f>
        <v/>
      </c>
      <c r="G87" s="74">
        <f>IF(REGISTRO!B87="","",REGISTRO!G87)</f>
        <v/>
      </c>
      <c r="H87" s="74">
        <f>IF(REGISTRO!B87="","",REGISTRO!I87)</f>
        <v/>
      </c>
      <c r="I87" s="74">
        <f>IF(REGISTRO!B87="","",REGISTRO!J87)</f>
        <v/>
      </c>
      <c r="J87" s="74">
        <f>IF(REGISTRO!B87="","",REGISTRO!K87)</f>
        <v/>
      </c>
      <c r="K87" s="74">
        <f>IF(REGISTRO!B87="","",REGISTRO!N87)</f>
        <v/>
      </c>
      <c r="L87" s="75">
        <f>IF(REGISTRO!B87="","",REGISTRO!R87)</f>
        <v/>
      </c>
      <c r="M87" s="74">
        <f>IF(REGISTRO!B87="","",REGISTRO!S87)</f>
        <v/>
      </c>
    </row>
    <row r="88">
      <c r="A88" s="74">
        <f>IF(REGISTRO!B88="","",REGISTRO!A88)</f>
        <v/>
      </c>
      <c r="B88" s="74">
        <f>IF(REGISTRO!B88="","",REGISTRO!B88)</f>
        <v/>
      </c>
      <c r="C88" s="74">
        <f>IF(REGISTRO!B88="","",REGISTRO!C88)</f>
        <v/>
      </c>
      <c r="D88" s="74">
        <f>IF(REGISTRO!B88="","",REGISTRO!D88)</f>
        <v/>
      </c>
      <c r="E88" s="74">
        <f>IF(REGISTRO!B88="","",REGISTRO!E88)</f>
        <v/>
      </c>
      <c r="F88" s="74">
        <f>IF(REGISTRO!B88="","",REGISTRO!F88)</f>
        <v/>
      </c>
      <c r="G88" s="74">
        <f>IF(REGISTRO!B88="","",REGISTRO!G88)</f>
        <v/>
      </c>
      <c r="H88" s="74">
        <f>IF(REGISTRO!B88="","",REGISTRO!I88)</f>
        <v/>
      </c>
      <c r="I88" s="74">
        <f>IF(REGISTRO!B88="","",REGISTRO!J88)</f>
        <v/>
      </c>
      <c r="J88" s="74">
        <f>IF(REGISTRO!B88="","",REGISTRO!K88)</f>
        <v/>
      </c>
      <c r="K88" s="74">
        <f>IF(REGISTRO!B88="","",REGISTRO!N88)</f>
        <v/>
      </c>
      <c r="L88" s="75">
        <f>IF(REGISTRO!B88="","",REGISTRO!R88)</f>
        <v/>
      </c>
      <c r="M88" s="74">
        <f>IF(REGISTRO!B88="","",REGISTRO!S88)</f>
        <v/>
      </c>
    </row>
    <row r="89">
      <c r="A89" s="74">
        <f>IF(REGISTRO!B89="","",REGISTRO!A89)</f>
        <v/>
      </c>
      <c r="B89" s="74">
        <f>IF(REGISTRO!B89="","",REGISTRO!B89)</f>
        <v/>
      </c>
      <c r="C89" s="74">
        <f>IF(REGISTRO!B89="","",REGISTRO!C89)</f>
        <v/>
      </c>
      <c r="D89" s="74">
        <f>IF(REGISTRO!B89="","",REGISTRO!D89)</f>
        <v/>
      </c>
      <c r="E89" s="74">
        <f>IF(REGISTRO!B89="","",REGISTRO!E89)</f>
        <v/>
      </c>
      <c r="F89" s="74">
        <f>IF(REGISTRO!B89="","",REGISTRO!F89)</f>
        <v/>
      </c>
      <c r="G89" s="74">
        <f>IF(REGISTRO!B89="","",REGISTRO!G89)</f>
        <v/>
      </c>
      <c r="H89" s="74">
        <f>IF(REGISTRO!B89="","",REGISTRO!I89)</f>
        <v/>
      </c>
      <c r="I89" s="74">
        <f>IF(REGISTRO!B89="","",REGISTRO!J89)</f>
        <v/>
      </c>
      <c r="J89" s="74">
        <f>IF(REGISTRO!B89="","",REGISTRO!K89)</f>
        <v/>
      </c>
      <c r="K89" s="74">
        <f>IF(REGISTRO!B89="","",REGISTRO!N89)</f>
        <v/>
      </c>
      <c r="L89" s="75">
        <f>IF(REGISTRO!B89="","",REGISTRO!R89)</f>
        <v/>
      </c>
      <c r="M89" s="74">
        <f>IF(REGISTRO!B89="","",REGISTRO!S89)</f>
        <v/>
      </c>
    </row>
    <row r="90">
      <c r="A90" s="74">
        <f>IF(REGISTRO!B90="","",REGISTRO!A90)</f>
        <v/>
      </c>
      <c r="B90" s="74">
        <f>IF(REGISTRO!B90="","",REGISTRO!B90)</f>
        <v/>
      </c>
      <c r="C90" s="74">
        <f>IF(REGISTRO!B90="","",REGISTRO!C90)</f>
        <v/>
      </c>
      <c r="D90" s="74">
        <f>IF(REGISTRO!B90="","",REGISTRO!D90)</f>
        <v/>
      </c>
      <c r="E90" s="74">
        <f>IF(REGISTRO!B90="","",REGISTRO!E90)</f>
        <v/>
      </c>
      <c r="F90" s="74">
        <f>IF(REGISTRO!B90="","",REGISTRO!F90)</f>
        <v/>
      </c>
      <c r="G90" s="74">
        <f>IF(REGISTRO!B90="","",REGISTRO!G90)</f>
        <v/>
      </c>
      <c r="H90" s="74">
        <f>IF(REGISTRO!B90="","",REGISTRO!I90)</f>
        <v/>
      </c>
      <c r="I90" s="74">
        <f>IF(REGISTRO!B90="","",REGISTRO!J90)</f>
        <v/>
      </c>
      <c r="J90" s="74">
        <f>IF(REGISTRO!B90="","",REGISTRO!K90)</f>
        <v/>
      </c>
      <c r="K90" s="74">
        <f>IF(REGISTRO!B90="","",REGISTRO!N90)</f>
        <v/>
      </c>
      <c r="L90" s="75">
        <f>IF(REGISTRO!B90="","",REGISTRO!R90)</f>
        <v/>
      </c>
      <c r="M90" s="74">
        <f>IF(REGISTRO!B90="","",REGISTRO!S90)</f>
        <v/>
      </c>
    </row>
    <row r="91">
      <c r="A91" s="74">
        <f>IF(REGISTRO!B91="","",REGISTRO!A91)</f>
        <v/>
      </c>
      <c r="B91" s="74">
        <f>IF(REGISTRO!B91="","",REGISTRO!B91)</f>
        <v/>
      </c>
      <c r="C91" s="74">
        <f>IF(REGISTRO!B91="","",REGISTRO!C91)</f>
        <v/>
      </c>
      <c r="D91" s="74">
        <f>IF(REGISTRO!B91="","",REGISTRO!D91)</f>
        <v/>
      </c>
      <c r="E91" s="74">
        <f>IF(REGISTRO!B91="","",REGISTRO!E91)</f>
        <v/>
      </c>
      <c r="F91" s="74">
        <f>IF(REGISTRO!B91="","",REGISTRO!F91)</f>
        <v/>
      </c>
      <c r="G91" s="74">
        <f>IF(REGISTRO!B91="","",REGISTRO!G91)</f>
        <v/>
      </c>
      <c r="H91" s="74">
        <f>IF(REGISTRO!B91="","",REGISTRO!I91)</f>
        <v/>
      </c>
      <c r="I91" s="74">
        <f>IF(REGISTRO!B91="","",REGISTRO!J91)</f>
        <v/>
      </c>
      <c r="J91" s="74">
        <f>IF(REGISTRO!B91="","",REGISTRO!K91)</f>
        <v/>
      </c>
      <c r="K91" s="74">
        <f>IF(REGISTRO!B91="","",REGISTRO!N91)</f>
        <v/>
      </c>
      <c r="L91" s="75">
        <f>IF(REGISTRO!B91="","",REGISTRO!R91)</f>
        <v/>
      </c>
      <c r="M91" s="74">
        <f>IF(REGISTRO!B91="","",REGISTRO!S91)</f>
        <v/>
      </c>
    </row>
    <row r="92">
      <c r="A92" s="74">
        <f>IF(REGISTRO!B92="","",REGISTRO!A92)</f>
        <v/>
      </c>
      <c r="B92" s="74">
        <f>IF(REGISTRO!B92="","",REGISTRO!B92)</f>
        <v/>
      </c>
      <c r="C92" s="74">
        <f>IF(REGISTRO!B92="","",REGISTRO!C92)</f>
        <v/>
      </c>
      <c r="D92" s="74">
        <f>IF(REGISTRO!B92="","",REGISTRO!D92)</f>
        <v/>
      </c>
      <c r="E92" s="74">
        <f>IF(REGISTRO!B92="","",REGISTRO!E92)</f>
        <v/>
      </c>
      <c r="F92" s="74">
        <f>IF(REGISTRO!B92="","",REGISTRO!F92)</f>
        <v/>
      </c>
      <c r="G92" s="74">
        <f>IF(REGISTRO!B92="","",REGISTRO!G92)</f>
        <v/>
      </c>
      <c r="H92" s="74">
        <f>IF(REGISTRO!B92="","",REGISTRO!I92)</f>
        <v/>
      </c>
      <c r="I92" s="74">
        <f>IF(REGISTRO!B92="","",REGISTRO!J92)</f>
        <v/>
      </c>
      <c r="J92" s="74">
        <f>IF(REGISTRO!B92="","",REGISTRO!K92)</f>
        <v/>
      </c>
      <c r="K92" s="74">
        <f>IF(REGISTRO!B92="","",REGISTRO!N92)</f>
        <v/>
      </c>
      <c r="L92" s="75">
        <f>IF(REGISTRO!B92="","",REGISTRO!R92)</f>
        <v/>
      </c>
      <c r="M92" s="74">
        <f>IF(REGISTRO!B92="","",REGISTRO!S92)</f>
        <v/>
      </c>
    </row>
    <row r="93">
      <c r="A93" s="74">
        <f>IF(REGISTRO!B93="","",REGISTRO!A93)</f>
        <v/>
      </c>
      <c r="B93" s="74">
        <f>IF(REGISTRO!B93="","",REGISTRO!B93)</f>
        <v/>
      </c>
      <c r="C93" s="74">
        <f>IF(REGISTRO!B93="","",REGISTRO!C93)</f>
        <v/>
      </c>
      <c r="D93" s="74">
        <f>IF(REGISTRO!B93="","",REGISTRO!D93)</f>
        <v/>
      </c>
      <c r="E93" s="74">
        <f>IF(REGISTRO!B93="","",REGISTRO!E93)</f>
        <v/>
      </c>
      <c r="F93" s="74">
        <f>IF(REGISTRO!B93="","",REGISTRO!F93)</f>
        <v/>
      </c>
      <c r="G93" s="74">
        <f>IF(REGISTRO!B93="","",REGISTRO!G93)</f>
        <v/>
      </c>
      <c r="H93" s="74">
        <f>IF(REGISTRO!B93="","",REGISTRO!I93)</f>
        <v/>
      </c>
      <c r="I93" s="74">
        <f>IF(REGISTRO!B93="","",REGISTRO!J93)</f>
        <v/>
      </c>
      <c r="J93" s="74">
        <f>IF(REGISTRO!B93="","",REGISTRO!K93)</f>
        <v/>
      </c>
      <c r="K93" s="74">
        <f>IF(REGISTRO!B93="","",REGISTRO!N93)</f>
        <v/>
      </c>
      <c r="L93" s="75">
        <f>IF(REGISTRO!B93="","",REGISTRO!R93)</f>
        <v/>
      </c>
      <c r="M93" s="74">
        <f>IF(REGISTRO!B93="","",REGISTRO!S93)</f>
        <v/>
      </c>
    </row>
    <row r="94">
      <c r="A94" s="74">
        <f>IF(REGISTRO!B94="","",REGISTRO!A94)</f>
        <v/>
      </c>
      <c r="B94" s="74">
        <f>IF(REGISTRO!B94="","",REGISTRO!B94)</f>
        <v/>
      </c>
      <c r="C94" s="74">
        <f>IF(REGISTRO!B94="","",REGISTRO!C94)</f>
        <v/>
      </c>
      <c r="D94" s="74">
        <f>IF(REGISTRO!B94="","",REGISTRO!D94)</f>
        <v/>
      </c>
      <c r="E94" s="74">
        <f>IF(REGISTRO!B94="","",REGISTRO!E94)</f>
        <v/>
      </c>
      <c r="F94" s="74">
        <f>IF(REGISTRO!B94="","",REGISTRO!F94)</f>
        <v/>
      </c>
      <c r="G94" s="74">
        <f>IF(REGISTRO!B94="","",REGISTRO!G94)</f>
        <v/>
      </c>
      <c r="H94" s="74">
        <f>IF(REGISTRO!B94="","",REGISTRO!I94)</f>
        <v/>
      </c>
      <c r="I94" s="74">
        <f>IF(REGISTRO!B94="","",REGISTRO!J94)</f>
        <v/>
      </c>
      <c r="J94" s="74">
        <f>IF(REGISTRO!B94="","",REGISTRO!K94)</f>
        <v/>
      </c>
      <c r="K94" s="74">
        <f>IF(REGISTRO!B94="","",REGISTRO!N94)</f>
        <v/>
      </c>
      <c r="L94" s="75">
        <f>IF(REGISTRO!B94="","",REGISTRO!R94)</f>
        <v/>
      </c>
      <c r="M94" s="74">
        <f>IF(REGISTRO!B94="","",REGISTRO!S94)</f>
        <v/>
      </c>
    </row>
    <row r="95">
      <c r="A95" s="74">
        <f>IF(REGISTRO!B95="","",REGISTRO!A95)</f>
        <v/>
      </c>
      <c r="B95" s="74">
        <f>IF(REGISTRO!B95="","",REGISTRO!B95)</f>
        <v/>
      </c>
      <c r="C95" s="74">
        <f>IF(REGISTRO!B95="","",REGISTRO!C95)</f>
        <v/>
      </c>
      <c r="D95" s="74">
        <f>IF(REGISTRO!B95="","",REGISTRO!D95)</f>
        <v/>
      </c>
      <c r="E95" s="74">
        <f>IF(REGISTRO!B95="","",REGISTRO!E95)</f>
        <v/>
      </c>
      <c r="F95" s="74">
        <f>IF(REGISTRO!B95="","",REGISTRO!F95)</f>
        <v/>
      </c>
      <c r="G95" s="74">
        <f>IF(REGISTRO!B95="","",REGISTRO!G95)</f>
        <v/>
      </c>
      <c r="H95" s="74">
        <f>IF(REGISTRO!B95="","",REGISTRO!I95)</f>
        <v/>
      </c>
      <c r="I95" s="74">
        <f>IF(REGISTRO!B95="","",REGISTRO!J95)</f>
        <v/>
      </c>
      <c r="J95" s="74">
        <f>IF(REGISTRO!B95="","",REGISTRO!K95)</f>
        <v/>
      </c>
      <c r="K95" s="74">
        <f>IF(REGISTRO!B95="","",REGISTRO!N95)</f>
        <v/>
      </c>
      <c r="L95" s="75">
        <f>IF(REGISTRO!B95="","",REGISTRO!R95)</f>
        <v/>
      </c>
      <c r="M95" s="74">
        <f>IF(REGISTRO!B95="","",REGISTRO!S95)</f>
        <v/>
      </c>
    </row>
    <row r="96">
      <c r="A96" s="74">
        <f>IF(REGISTRO!B96="","",REGISTRO!A96)</f>
        <v/>
      </c>
      <c r="B96" s="74">
        <f>IF(REGISTRO!B96="","",REGISTRO!B96)</f>
        <v/>
      </c>
      <c r="C96" s="74">
        <f>IF(REGISTRO!B96="","",REGISTRO!C96)</f>
        <v/>
      </c>
      <c r="D96" s="74">
        <f>IF(REGISTRO!B96="","",REGISTRO!D96)</f>
        <v/>
      </c>
      <c r="E96" s="74">
        <f>IF(REGISTRO!B96="","",REGISTRO!E96)</f>
        <v/>
      </c>
      <c r="F96" s="74">
        <f>IF(REGISTRO!B96="","",REGISTRO!F96)</f>
        <v/>
      </c>
      <c r="G96" s="74">
        <f>IF(REGISTRO!B96="","",REGISTRO!G96)</f>
        <v/>
      </c>
      <c r="H96" s="74">
        <f>IF(REGISTRO!B96="","",REGISTRO!I96)</f>
        <v/>
      </c>
      <c r="I96" s="74">
        <f>IF(REGISTRO!B96="","",REGISTRO!J96)</f>
        <v/>
      </c>
      <c r="J96" s="74">
        <f>IF(REGISTRO!B96="","",REGISTRO!K96)</f>
        <v/>
      </c>
      <c r="K96" s="74">
        <f>IF(REGISTRO!B96="","",REGISTRO!N96)</f>
        <v/>
      </c>
      <c r="L96" s="75">
        <f>IF(REGISTRO!B96="","",REGISTRO!R96)</f>
        <v/>
      </c>
      <c r="M96" s="74">
        <f>IF(REGISTRO!B96="","",REGISTRO!S96)</f>
        <v/>
      </c>
    </row>
    <row r="97">
      <c r="A97" s="74">
        <f>IF(REGISTRO!B97="","",REGISTRO!A97)</f>
        <v/>
      </c>
      <c r="B97" s="74">
        <f>IF(REGISTRO!B97="","",REGISTRO!B97)</f>
        <v/>
      </c>
      <c r="C97" s="74">
        <f>IF(REGISTRO!B97="","",REGISTRO!C97)</f>
        <v/>
      </c>
      <c r="D97" s="74">
        <f>IF(REGISTRO!B97="","",REGISTRO!D97)</f>
        <v/>
      </c>
      <c r="E97" s="74">
        <f>IF(REGISTRO!B97="","",REGISTRO!E97)</f>
        <v/>
      </c>
      <c r="F97" s="74">
        <f>IF(REGISTRO!B97="","",REGISTRO!F97)</f>
        <v/>
      </c>
      <c r="G97" s="74">
        <f>IF(REGISTRO!B97="","",REGISTRO!G97)</f>
        <v/>
      </c>
      <c r="H97" s="74">
        <f>IF(REGISTRO!B97="","",REGISTRO!I97)</f>
        <v/>
      </c>
      <c r="I97" s="74">
        <f>IF(REGISTRO!B97="","",REGISTRO!J97)</f>
        <v/>
      </c>
      <c r="J97" s="74">
        <f>IF(REGISTRO!B97="","",REGISTRO!K97)</f>
        <v/>
      </c>
      <c r="K97" s="74">
        <f>IF(REGISTRO!B97="","",REGISTRO!N97)</f>
        <v/>
      </c>
      <c r="L97" s="75">
        <f>IF(REGISTRO!B97="","",REGISTRO!R97)</f>
        <v/>
      </c>
      <c r="M97" s="74">
        <f>IF(REGISTRO!B97="","",REGISTRO!S97)</f>
        <v/>
      </c>
    </row>
    <row r="98">
      <c r="A98" s="74">
        <f>IF(REGISTRO!B98="","",REGISTRO!A98)</f>
        <v/>
      </c>
      <c r="B98" s="74">
        <f>IF(REGISTRO!B98="","",REGISTRO!B98)</f>
        <v/>
      </c>
      <c r="C98" s="74">
        <f>IF(REGISTRO!B98="","",REGISTRO!C98)</f>
        <v/>
      </c>
      <c r="D98" s="74">
        <f>IF(REGISTRO!B98="","",REGISTRO!D98)</f>
        <v/>
      </c>
      <c r="E98" s="74">
        <f>IF(REGISTRO!B98="","",REGISTRO!E98)</f>
        <v/>
      </c>
      <c r="F98" s="74">
        <f>IF(REGISTRO!B98="","",REGISTRO!F98)</f>
        <v/>
      </c>
      <c r="G98" s="74">
        <f>IF(REGISTRO!B98="","",REGISTRO!G98)</f>
        <v/>
      </c>
      <c r="H98" s="74">
        <f>IF(REGISTRO!B98="","",REGISTRO!I98)</f>
        <v/>
      </c>
      <c r="I98" s="74">
        <f>IF(REGISTRO!B98="","",REGISTRO!J98)</f>
        <v/>
      </c>
      <c r="J98" s="74">
        <f>IF(REGISTRO!B98="","",REGISTRO!K98)</f>
        <v/>
      </c>
      <c r="K98" s="74">
        <f>IF(REGISTRO!B98="","",REGISTRO!N98)</f>
        <v/>
      </c>
      <c r="L98" s="75">
        <f>IF(REGISTRO!B98="","",REGISTRO!R98)</f>
        <v/>
      </c>
      <c r="M98" s="74">
        <f>IF(REGISTRO!B98="","",REGISTRO!S98)</f>
        <v/>
      </c>
    </row>
    <row r="99">
      <c r="A99" s="74">
        <f>IF(REGISTRO!B99="","",REGISTRO!A99)</f>
        <v/>
      </c>
      <c r="B99" s="74">
        <f>IF(REGISTRO!B99="","",REGISTRO!B99)</f>
        <v/>
      </c>
      <c r="C99" s="74">
        <f>IF(REGISTRO!B99="","",REGISTRO!C99)</f>
        <v/>
      </c>
      <c r="D99" s="74">
        <f>IF(REGISTRO!B99="","",REGISTRO!D99)</f>
        <v/>
      </c>
      <c r="E99" s="74">
        <f>IF(REGISTRO!B99="","",REGISTRO!E99)</f>
        <v/>
      </c>
      <c r="F99" s="74">
        <f>IF(REGISTRO!B99="","",REGISTRO!F99)</f>
        <v/>
      </c>
      <c r="G99" s="74">
        <f>IF(REGISTRO!B99="","",REGISTRO!G99)</f>
        <v/>
      </c>
      <c r="H99" s="74">
        <f>IF(REGISTRO!B99="","",REGISTRO!I99)</f>
        <v/>
      </c>
      <c r="I99" s="74">
        <f>IF(REGISTRO!B99="","",REGISTRO!J99)</f>
        <v/>
      </c>
      <c r="J99" s="74">
        <f>IF(REGISTRO!B99="","",REGISTRO!K99)</f>
        <v/>
      </c>
      <c r="K99" s="74">
        <f>IF(REGISTRO!B99="","",REGISTRO!N99)</f>
        <v/>
      </c>
      <c r="L99" s="75">
        <f>IF(REGISTRO!B99="","",REGISTRO!R99)</f>
        <v/>
      </c>
      <c r="M99" s="74">
        <f>IF(REGISTRO!B99="","",REGISTRO!S99)</f>
        <v/>
      </c>
    </row>
    <row r="100">
      <c r="A100" s="74">
        <f>IF(REGISTRO!B100="","",REGISTRO!A100)</f>
        <v/>
      </c>
      <c r="B100" s="74">
        <f>IF(REGISTRO!B100="","",REGISTRO!B100)</f>
        <v/>
      </c>
      <c r="C100" s="74">
        <f>IF(REGISTRO!B100="","",REGISTRO!C100)</f>
        <v/>
      </c>
      <c r="D100" s="74">
        <f>IF(REGISTRO!B100="","",REGISTRO!D100)</f>
        <v/>
      </c>
      <c r="E100" s="74">
        <f>IF(REGISTRO!B100="","",REGISTRO!E100)</f>
        <v/>
      </c>
      <c r="F100" s="74">
        <f>IF(REGISTRO!B100="","",REGISTRO!F100)</f>
        <v/>
      </c>
      <c r="G100" s="74">
        <f>IF(REGISTRO!B100="","",REGISTRO!G100)</f>
        <v/>
      </c>
      <c r="H100" s="74">
        <f>IF(REGISTRO!B100="","",REGISTRO!I100)</f>
        <v/>
      </c>
      <c r="I100" s="74">
        <f>IF(REGISTRO!B100="","",REGISTRO!J100)</f>
        <v/>
      </c>
      <c r="J100" s="74">
        <f>IF(REGISTRO!B100="","",REGISTRO!K100)</f>
        <v/>
      </c>
      <c r="K100" s="74">
        <f>IF(REGISTRO!B100="","",REGISTRO!N100)</f>
        <v/>
      </c>
      <c r="L100" s="75">
        <f>IF(REGISTRO!B100="","",REGISTRO!R100)</f>
        <v/>
      </c>
      <c r="M100" s="74">
        <f>IF(REGISTRO!B100="","",REGISTRO!S100)</f>
        <v/>
      </c>
    </row>
    <row r="101">
      <c r="A101" s="74">
        <f>IF(REGISTRO!B101="","",REGISTRO!A101)</f>
        <v/>
      </c>
      <c r="B101" s="74">
        <f>IF(REGISTRO!B101="","",REGISTRO!B101)</f>
        <v/>
      </c>
      <c r="C101" s="74">
        <f>IF(REGISTRO!B101="","",REGISTRO!C101)</f>
        <v/>
      </c>
      <c r="D101" s="74">
        <f>IF(REGISTRO!B101="","",REGISTRO!D101)</f>
        <v/>
      </c>
      <c r="E101" s="74">
        <f>IF(REGISTRO!B101="","",REGISTRO!E101)</f>
        <v/>
      </c>
      <c r="F101" s="74">
        <f>IF(REGISTRO!B101="","",REGISTRO!F101)</f>
        <v/>
      </c>
      <c r="G101" s="74">
        <f>IF(REGISTRO!B101="","",REGISTRO!G101)</f>
        <v/>
      </c>
      <c r="H101" s="74">
        <f>IF(REGISTRO!B101="","",REGISTRO!I101)</f>
        <v/>
      </c>
      <c r="I101" s="74">
        <f>IF(REGISTRO!B101="","",REGISTRO!J101)</f>
        <v/>
      </c>
      <c r="J101" s="74">
        <f>IF(REGISTRO!B101="","",REGISTRO!K101)</f>
        <v/>
      </c>
      <c r="K101" s="74">
        <f>IF(REGISTRO!B101="","",REGISTRO!N101)</f>
        <v/>
      </c>
      <c r="L101" s="75">
        <f>IF(REGISTRO!B101="","",REGISTRO!R101)</f>
        <v/>
      </c>
      <c r="M101" s="74">
        <f>IF(REGISTRO!B101="","",REGISTRO!S101)</f>
        <v/>
      </c>
    </row>
    <row r="102">
      <c r="A102" s="74">
        <f>IF(REGISTRO!B102="","",REGISTRO!A102)</f>
        <v/>
      </c>
      <c r="B102" s="74">
        <f>IF(REGISTRO!B102="","",REGISTRO!B102)</f>
        <v/>
      </c>
      <c r="C102" s="74">
        <f>IF(REGISTRO!B102="","",REGISTRO!C102)</f>
        <v/>
      </c>
      <c r="D102" s="74">
        <f>IF(REGISTRO!B102="","",REGISTRO!D102)</f>
        <v/>
      </c>
      <c r="E102" s="74">
        <f>IF(REGISTRO!B102="","",REGISTRO!E102)</f>
        <v/>
      </c>
      <c r="F102" s="74">
        <f>IF(REGISTRO!B102="","",REGISTRO!F102)</f>
        <v/>
      </c>
      <c r="G102" s="74">
        <f>IF(REGISTRO!B102="","",REGISTRO!G102)</f>
        <v/>
      </c>
      <c r="H102" s="74">
        <f>IF(REGISTRO!B102="","",REGISTRO!I102)</f>
        <v/>
      </c>
      <c r="I102" s="74">
        <f>IF(REGISTRO!B102="","",REGISTRO!J102)</f>
        <v/>
      </c>
      <c r="J102" s="74">
        <f>IF(REGISTRO!B102="","",REGISTRO!K102)</f>
        <v/>
      </c>
      <c r="K102" s="74">
        <f>IF(REGISTRO!B102="","",REGISTRO!N102)</f>
        <v/>
      </c>
      <c r="L102" s="75">
        <f>IF(REGISTRO!B102="","",REGISTRO!R102)</f>
        <v/>
      </c>
      <c r="M102" s="74">
        <f>IF(REGISTRO!B102="","",REGISTRO!S102)</f>
        <v/>
      </c>
    </row>
    <row r="103">
      <c r="A103" s="74">
        <f>IF(REGISTRO!B103="","",REGISTRO!A103)</f>
        <v/>
      </c>
      <c r="B103" s="74">
        <f>IF(REGISTRO!B103="","",REGISTRO!B103)</f>
        <v/>
      </c>
      <c r="C103" s="74">
        <f>IF(REGISTRO!B103="","",REGISTRO!C103)</f>
        <v/>
      </c>
      <c r="D103" s="74">
        <f>IF(REGISTRO!B103="","",REGISTRO!D103)</f>
        <v/>
      </c>
      <c r="E103" s="74">
        <f>IF(REGISTRO!B103="","",REGISTRO!E103)</f>
        <v/>
      </c>
      <c r="F103" s="74">
        <f>IF(REGISTRO!B103="","",REGISTRO!F103)</f>
        <v/>
      </c>
      <c r="G103" s="74">
        <f>IF(REGISTRO!B103="","",REGISTRO!G103)</f>
        <v/>
      </c>
      <c r="H103" s="74">
        <f>IF(REGISTRO!B103="","",REGISTRO!I103)</f>
        <v/>
      </c>
      <c r="I103" s="74">
        <f>IF(REGISTRO!B103="","",REGISTRO!J103)</f>
        <v/>
      </c>
      <c r="J103" s="74">
        <f>IF(REGISTRO!B103="","",REGISTRO!K103)</f>
        <v/>
      </c>
      <c r="K103" s="74">
        <f>IF(REGISTRO!B103="","",REGISTRO!N103)</f>
        <v/>
      </c>
      <c r="L103" s="75">
        <f>IF(REGISTRO!B103="","",REGISTRO!R103)</f>
        <v/>
      </c>
      <c r="M103" s="74">
        <f>IF(REGISTRO!B103="","",REGISTRO!S103)</f>
        <v/>
      </c>
    </row>
    <row r="104">
      <c r="A104" s="74">
        <f>IF(REGISTRO!B104="","",REGISTRO!A104)</f>
        <v/>
      </c>
      <c r="B104" s="74">
        <f>IF(REGISTRO!B104="","",REGISTRO!B104)</f>
        <v/>
      </c>
      <c r="C104" s="74">
        <f>IF(REGISTRO!B104="","",REGISTRO!C104)</f>
        <v/>
      </c>
      <c r="D104" s="74">
        <f>IF(REGISTRO!B104="","",REGISTRO!D104)</f>
        <v/>
      </c>
      <c r="E104" s="74">
        <f>IF(REGISTRO!B104="","",REGISTRO!E104)</f>
        <v/>
      </c>
      <c r="F104" s="74">
        <f>IF(REGISTRO!B104="","",REGISTRO!F104)</f>
        <v/>
      </c>
      <c r="G104" s="74">
        <f>IF(REGISTRO!B104="","",REGISTRO!G104)</f>
        <v/>
      </c>
      <c r="H104" s="74">
        <f>IF(REGISTRO!B104="","",REGISTRO!I104)</f>
        <v/>
      </c>
      <c r="I104" s="74">
        <f>IF(REGISTRO!B104="","",REGISTRO!J104)</f>
        <v/>
      </c>
      <c r="J104" s="74">
        <f>IF(REGISTRO!B104="","",REGISTRO!K104)</f>
        <v/>
      </c>
      <c r="K104" s="74">
        <f>IF(REGISTRO!B104="","",REGISTRO!N104)</f>
        <v/>
      </c>
      <c r="L104" s="75">
        <f>IF(REGISTRO!B104="","",REGISTRO!R104)</f>
        <v/>
      </c>
      <c r="M104" s="74">
        <f>IF(REGISTRO!B104="","",REGISTRO!S104)</f>
        <v/>
      </c>
    </row>
    <row r="105">
      <c r="A105" s="74">
        <f>IF(REGISTRO!B105="","",REGISTRO!A105)</f>
        <v/>
      </c>
      <c r="B105" s="74">
        <f>IF(REGISTRO!B105="","",REGISTRO!B105)</f>
        <v/>
      </c>
      <c r="C105" s="74">
        <f>IF(REGISTRO!B105="","",REGISTRO!C105)</f>
        <v/>
      </c>
      <c r="D105" s="74">
        <f>IF(REGISTRO!B105="","",REGISTRO!D105)</f>
        <v/>
      </c>
      <c r="E105" s="74">
        <f>IF(REGISTRO!B105="","",REGISTRO!E105)</f>
        <v/>
      </c>
      <c r="F105" s="74">
        <f>IF(REGISTRO!B105="","",REGISTRO!F105)</f>
        <v/>
      </c>
      <c r="G105" s="74">
        <f>IF(REGISTRO!B105="","",REGISTRO!G105)</f>
        <v/>
      </c>
      <c r="H105" s="74">
        <f>IF(REGISTRO!B105="","",REGISTRO!I105)</f>
        <v/>
      </c>
      <c r="I105" s="74">
        <f>IF(REGISTRO!B105="","",REGISTRO!J105)</f>
        <v/>
      </c>
      <c r="J105" s="74">
        <f>IF(REGISTRO!B105="","",REGISTRO!K105)</f>
        <v/>
      </c>
      <c r="K105" s="74">
        <f>IF(REGISTRO!B105="","",REGISTRO!N105)</f>
        <v/>
      </c>
      <c r="L105" s="75">
        <f>IF(REGISTRO!B105="","",REGISTRO!R105)</f>
        <v/>
      </c>
      <c r="M105" s="74">
        <f>IF(REGISTRO!B105="","",REGISTRO!S105)</f>
        <v/>
      </c>
    </row>
    <row r="106">
      <c r="A106" s="74">
        <f>IF(REGISTRO!B106="","",REGISTRO!A106)</f>
        <v/>
      </c>
      <c r="B106" s="74">
        <f>IF(REGISTRO!B106="","",REGISTRO!B106)</f>
        <v/>
      </c>
      <c r="C106" s="74">
        <f>IF(REGISTRO!B106="","",REGISTRO!C106)</f>
        <v/>
      </c>
      <c r="D106" s="74">
        <f>IF(REGISTRO!B106="","",REGISTRO!D106)</f>
        <v/>
      </c>
      <c r="E106" s="74">
        <f>IF(REGISTRO!B106="","",REGISTRO!E106)</f>
        <v/>
      </c>
      <c r="F106" s="74">
        <f>IF(REGISTRO!B106="","",REGISTRO!F106)</f>
        <v/>
      </c>
      <c r="G106" s="74">
        <f>IF(REGISTRO!B106="","",REGISTRO!G106)</f>
        <v/>
      </c>
      <c r="H106" s="74">
        <f>IF(REGISTRO!B106="","",REGISTRO!I106)</f>
        <v/>
      </c>
      <c r="I106" s="74">
        <f>IF(REGISTRO!B106="","",REGISTRO!J106)</f>
        <v/>
      </c>
      <c r="J106" s="74">
        <f>IF(REGISTRO!B106="","",REGISTRO!K106)</f>
        <v/>
      </c>
      <c r="K106" s="74">
        <f>IF(REGISTRO!B106="","",REGISTRO!N106)</f>
        <v/>
      </c>
      <c r="L106" s="75">
        <f>IF(REGISTRO!B106="","",REGISTRO!R106)</f>
        <v/>
      </c>
      <c r="M106" s="74">
        <f>IF(REGISTRO!B106="","",REGISTRO!S106)</f>
        <v/>
      </c>
    </row>
    <row r="107">
      <c r="A107" s="74">
        <f>IF(REGISTRO!B107="","",REGISTRO!A107)</f>
        <v/>
      </c>
      <c r="B107" s="74">
        <f>IF(REGISTRO!B107="","",REGISTRO!B107)</f>
        <v/>
      </c>
      <c r="C107" s="74">
        <f>IF(REGISTRO!B107="","",REGISTRO!C107)</f>
        <v/>
      </c>
      <c r="D107" s="74">
        <f>IF(REGISTRO!B107="","",REGISTRO!D107)</f>
        <v/>
      </c>
      <c r="E107" s="74">
        <f>IF(REGISTRO!B107="","",REGISTRO!E107)</f>
        <v/>
      </c>
      <c r="F107" s="74">
        <f>IF(REGISTRO!B107="","",REGISTRO!F107)</f>
        <v/>
      </c>
      <c r="G107" s="74">
        <f>IF(REGISTRO!B107="","",REGISTRO!G107)</f>
        <v/>
      </c>
      <c r="H107" s="74">
        <f>IF(REGISTRO!B107="","",REGISTRO!I107)</f>
        <v/>
      </c>
      <c r="I107" s="74">
        <f>IF(REGISTRO!B107="","",REGISTRO!J107)</f>
        <v/>
      </c>
      <c r="J107" s="74">
        <f>IF(REGISTRO!B107="","",REGISTRO!K107)</f>
        <v/>
      </c>
      <c r="K107" s="74">
        <f>IF(REGISTRO!B107="","",REGISTRO!N107)</f>
        <v/>
      </c>
      <c r="L107" s="75">
        <f>IF(REGISTRO!B107="","",REGISTRO!R107)</f>
        <v/>
      </c>
      <c r="M107" s="74">
        <f>IF(REGISTRO!B107="","",REGISTRO!S107)</f>
        <v/>
      </c>
    </row>
    <row r="108">
      <c r="A108" s="74">
        <f>IF(REGISTRO!B108="","",REGISTRO!A108)</f>
        <v/>
      </c>
      <c r="B108" s="74">
        <f>IF(REGISTRO!B108="","",REGISTRO!B108)</f>
        <v/>
      </c>
      <c r="C108" s="74">
        <f>IF(REGISTRO!B108="","",REGISTRO!C108)</f>
        <v/>
      </c>
      <c r="D108" s="74">
        <f>IF(REGISTRO!B108="","",REGISTRO!D108)</f>
        <v/>
      </c>
      <c r="E108" s="74">
        <f>IF(REGISTRO!B108="","",REGISTRO!E108)</f>
        <v/>
      </c>
      <c r="F108" s="74">
        <f>IF(REGISTRO!B108="","",REGISTRO!F108)</f>
        <v/>
      </c>
      <c r="G108" s="74">
        <f>IF(REGISTRO!B108="","",REGISTRO!G108)</f>
        <v/>
      </c>
      <c r="H108" s="74">
        <f>IF(REGISTRO!B108="","",REGISTRO!I108)</f>
        <v/>
      </c>
      <c r="I108" s="74">
        <f>IF(REGISTRO!B108="","",REGISTRO!J108)</f>
        <v/>
      </c>
      <c r="J108" s="74">
        <f>IF(REGISTRO!B108="","",REGISTRO!K108)</f>
        <v/>
      </c>
      <c r="K108" s="74">
        <f>IF(REGISTRO!B108="","",REGISTRO!N108)</f>
        <v/>
      </c>
      <c r="L108" s="75">
        <f>IF(REGISTRO!B108="","",REGISTRO!R108)</f>
        <v/>
      </c>
      <c r="M108" s="74">
        <f>IF(REGISTRO!B108="","",REGISTRO!S108)</f>
        <v/>
      </c>
    </row>
    <row r="109">
      <c r="A109" s="74">
        <f>IF(REGISTRO!B109="","",REGISTRO!A109)</f>
        <v/>
      </c>
      <c r="B109" s="74">
        <f>IF(REGISTRO!B109="","",REGISTRO!B109)</f>
        <v/>
      </c>
      <c r="C109" s="74">
        <f>IF(REGISTRO!B109="","",REGISTRO!C109)</f>
        <v/>
      </c>
      <c r="D109" s="74">
        <f>IF(REGISTRO!B109="","",REGISTRO!D109)</f>
        <v/>
      </c>
      <c r="E109" s="74">
        <f>IF(REGISTRO!B109="","",REGISTRO!E109)</f>
        <v/>
      </c>
      <c r="F109" s="74">
        <f>IF(REGISTRO!B109="","",REGISTRO!F109)</f>
        <v/>
      </c>
      <c r="G109" s="74">
        <f>IF(REGISTRO!B109="","",REGISTRO!G109)</f>
        <v/>
      </c>
      <c r="H109" s="74">
        <f>IF(REGISTRO!B109="","",REGISTRO!I109)</f>
        <v/>
      </c>
      <c r="I109" s="74">
        <f>IF(REGISTRO!B109="","",REGISTRO!J109)</f>
        <v/>
      </c>
      <c r="J109" s="74">
        <f>IF(REGISTRO!B109="","",REGISTRO!K109)</f>
        <v/>
      </c>
      <c r="K109" s="74">
        <f>IF(REGISTRO!B109="","",REGISTRO!N109)</f>
        <v/>
      </c>
      <c r="L109" s="75">
        <f>IF(REGISTRO!B109="","",REGISTRO!R109)</f>
        <v/>
      </c>
      <c r="M109" s="74">
        <f>IF(REGISTRO!B109="","",REGISTRO!S109)</f>
        <v/>
      </c>
    </row>
    <row r="110">
      <c r="A110" s="74">
        <f>IF(REGISTRO!B110="","",REGISTRO!A110)</f>
        <v/>
      </c>
      <c r="B110" s="74">
        <f>IF(REGISTRO!B110="","",REGISTRO!B110)</f>
        <v/>
      </c>
      <c r="C110" s="74">
        <f>IF(REGISTRO!B110="","",REGISTRO!C110)</f>
        <v/>
      </c>
      <c r="D110" s="74">
        <f>IF(REGISTRO!B110="","",REGISTRO!D110)</f>
        <v/>
      </c>
      <c r="E110" s="74">
        <f>IF(REGISTRO!B110="","",REGISTRO!E110)</f>
        <v/>
      </c>
      <c r="F110" s="74">
        <f>IF(REGISTRO!B110="","",REGISTRO!F110)</f>
        <v/>
      </c>
      <c r="G110" s="74">
        <f>IF(REGISTRO!B110="","",REGISTRO!G110)</f>
        <v/>
      </c>
      <c r="H110" s="74">
        <f>IF(REGISTRO!B110="","",REGISTRO!I110)</f>
        <v/>
      </c>
      <c r="I110" s="74">
        <f>IF(REGISTRO!B110="","",REGISTRO!J110)</f>
        <v/>
      </c>
      <c r="J110" s="74">
        <f>IF(REGISTRO!B110="","",REGISTRO!K110)</f>
        <v/>
      </c>
      <c r="K110" s="74">
        <f>IF(REGISTRO!B110="","",REGISTRO!N110)</f>
        <v/>
      </c>
      <c r="L110" s="75">
        <f>IF(REGISTRO!B110="","",REGISTRO!R110)</f>
        <v/>
      </c>
      <c r="M110" s="74">
        <f>IF(REGISTRO!B110="","",REGISTRO!S110)</f>
        <v/>
      </c>
    </row>
    <row r="111">
      <c r="A111" s="74">
        <f>IF(REGISTRO!B111="","",REGISTRO!A111)</f>
        <v/>
      </c>
      <c r="B111" s="74">
        <f>IF(REGISTRO!B111="","",REGISTRO!B111)</f>
        <v/>
      </c>
      <c r="C111" s="74">
        <f>IF(REGISTRO!B111="","",REGISTRO!C111)</f>
        <v/>
      </c>
      <c r="D111" s="74">
        <f>IF(REGISTRO!B111="","",REGISTRO!D111)</f>
        <v/>
      </c>
      <c r="E111" s="74">
        <f>IF(REGISTRO!B111="","",REGISTRO!E111)</f>
        <v/>
      </c>
      <c r="F111" s="74">
        <f>IF(REGISTRO!B111="","",REGISTRO!F111)</f>
        <v/>
      </c>
      <c r="G111" s="74">
        <f>IF(REGISTRO!B111="","",REGISTRO!G111)</f>
        <v/>
      </c>
      <c r="H111" s="74">
        <f>IF(REGISTRO!B111="","",REGISTRO!I111)</f>
        <v/>
      </c>
      <c r="I111" s="74">
        <f>IF(REGISTRO!B111="","",REGISTRO!J111)</f>
        <v/>
      </c>
      <c r="J111" s="74">
        <f>IF(REGISTRO!B111="","",REGISTRO!K111)</f>
        <v/>
      </c>
      <c r="K111" s="74">
        <f>IF(REGISTRO!B111="","",REGISTRO!N111)</f>
        <v/>
      </c>
      <c r="L111" s="75">
        <f>IF(REGISTRO!B111="","",REGISTRO!R111)</f>
        <v/>
      </c>
      <c r="M111" s="74">
        <f>IF(REGISTRO!B111="","",REGISTRO!S111)</f>
        <v/>
      </c>
    </row>
    <row r="112">
      <c r="A112" s="74">
        <f>IF(REGISTRO!B112="","",REGISTRO!A112)</f>
        <v/>
      </c>
      <c r="B112" s="74">
        <f>IF(REGISTRO!B112="","",REGISTRO!B112)</f>
        <v/>
      </c>
      <c r="C112" s="74">
        <f>IF(REGISTRO!B112="","",REGISTRO!C112)</f>
        <v/>
      </c>
      <c r="D112" s="74">
        <f>IF(REGISTRO!B112="","",REGISTRO!D112)</f>
        <v/>
      </c>
      <c r="E112" s="74">
        <f>IF(REGISTRO!B112="","",REGISTRO!E112)</f>
        <v/>
      </c>
      <c r="F112" s="74">
        <f>IF(REGISTRO!B112="","",REGISTRO!F112)</f>
        <v/>
      </c>
      <c r="G112" s="74">
        <f>IF(REGISTRO!B112="","",REGISTRO!G112)</f>
        <v/>
      </c>
      <c r="H112" s="74">
        <f>IF(REGISTRO!B112="","",REGISTRO!I112)</f>
        <v/>
      </c>
      <c r="I112" s="74">
        <f>IF(REGISTRO!B112="","",REGISTRO!J112)</f>
        <v/>
      </c>
      <c r="J112" s="74">
        <f>IF(REGISTRO!B112="","",REGISTRO!K112)</f>
        <v/>
      </c>
      <c r="K112" s="74">
        <f>IF(REGISTRO!B112="","",REGISTRO!N112)</f>
        <v/>
      </c>
      <c r="L112" s="75">
        <f>IF(REGISTRO!B112="","",REGISTRO!R112)</f>
        <v/>
      </c>
      <c r="M112" s="74">
        <f>IF(REGISTRO!B112="","",REGISTRO!S112)</f>
        <v/>
      </c>
    </row>
    <row r="113">
      <c r="A113" s="74">
        <f>IF(REGISTRO!B113="","",REGISTRO!A113)</f>
        <v/>
      </c>
      <c r="B113" s="74">
        <f>IF(REGISTRO!B113="","",REGISTRO!B113)</f>
        <v/>
      </c>
      <c r="C113" s="74">
        <f>IF(REGISTRO!B113="","",REGISTRO!C113)</f>
        <v/>
      </c>
      <c r="D113" s="74">
        <f>IF(REGISTRO!B113="","",REGISTRO!D113)</f>
        <v/>
      </c>
      <c r="E113" s="74">
        <f>IF(REGISTRO!B113="","",REGISTRO!E113)</f>
        <v/>
      </c>
      <c r="F113" s="74">
        <f>IF(REGISTRO!B113="","",REGISTRO!F113)</f>
        <v/>
      </c>
      <c r="G113" s="74">
        <f>IF(REGISTRO!B113="","",REGISTRO!G113)</f>
        <v/>
      </c>
      <c r="H113" s="74">
        <f>IF(REGISTRO!B113="","",REGISTRO!I113)</f>
        <v/>
      </c>
      <c r="I113" s="74">
        <f>IF(REGISTRO!B113="","",REGISTRO!J113)</f>
        <v/>
      </c>
      <c r="J113" s="74">
        <f>IF(REGISTRO!B113="","",REGISTRO!K113)</f>
        <v/>
      </c>
      <c r="K113" s="74">
        <f>IF(REGISTRO!B113="","",REGISTRO!N113)</f>
        <v/>
      </c>
      <c r="L113" s="75">
        <f>IF(REGISTRO!B113="","",REGISTRO!R113)</f>
        <v/>
      </c>
      <c r="M113" s="74">
        <f>IF(REGISTRO!B113="","",REGISTRO!S113)</f>
        <v/>
      </c>
    </row>
    <row r="114">
      <c r="A114" s="74">
        <f>IF(REGISTRO!B114="","",REGISTRO!A114)</f>
        <v/>
      </c>
      <c r="B114" s="74">
        <f>IF(REGISTRO!B114="","",REGISTRO!B114)</f>
        <v/>
      </c>
      <c r="C114" s="74">
        <f>IF(REGISTRO!B114="","",REGISTRO!C114)</f>
        <v/>
      </c>
      <c r="D114" s="74">
        <f>IF(REGISTRO!B114="","",REGISTRO!D114)</f>
        <v/>
      </c>
      <c r="E114" s="74">
        <f>IF(REGISTRO!B114="","",REGISTRO!E114)</f>
        <v/>
      </c>
      <c r="F114" s="74">
        <f>IF(REGISTRO!B114="","",REGISTRO!F114)</f>
        <v/>
      </c>
      <c r="G114" s="74">
        <f>IF(REGISTRO!B114="","",REGISTRO!G114)</f>
        <v/>
      </c>
      <c r="H114" s="74">
        <f>IF(REGISTRO!B114="","",REGISTRO!I114)</f>
        <v/>
      </c>
      <c r="I114" s="74">
        <f>IF(REGISTRO!B114="","",REGISTRO!J114)</f>
        <v/>
      </c>
      <c r="J114" s="74">
        <f>IF(REGISTRO!B114="","",REGISTRO!K114)</f>
        <v/>
      </c>
      <c r="K114" s="74">
        <f>IF(REGISTRO!B114="","",REGISTRO!N114)</f>
        <v/>
      </c>
      <c r="L114" s="75">
        <f>IF(REGISTRO!B114="","",REGISTRO!R114)</f>
        <v/>
      </c>
      <c r="M114" s="74">
        <f>IF(REGISTRO!B114="","",REGISTRO!S114)</f>
        <v/>
      </c>
    </row>
    <row r="115">
      <c r="A115" s="74">
        <f>IF(REGISTRO!B115="","",REGISTRO!A115)</f>
        <v/>
      </c>
      <c r="B115" s="74">
        <f>IF(REGISTRO!B115="","",REGISTRO!B115)</f>
        <v/>
      </c>
      <c r="C115" s="74">
        <f>IF(REGISTRO!B115="","",REGISTRO!C115)</f>
        <v/>
      </c>
      <c r="D115" s="74">
        <f>IF(REGISTRO!B115="","",REGISTRO!D115)</f>
        <v/>
      </c>
      <c r="E115" s="74">
        <f>IF(REGISTRO!B115="","",REGISTRO!E115)</f>
        <v/>
      </c>
      <c r="F115" s="74">
        <f>IF(REGISTRO!B115="","",REGISTRO!F115)</f>
        <v/>
      </c>
      <c r="G115" s="74">
        <f>IF(REGISTRO!B115="","",REGISTRO!G115)</f>
        <v/>
      </c>
      <c r="H115" s="74">
        <f>IF(REGISTRO!B115="","",REGISTRO!I115)</f>
        <v/>
      </c>
      <c r="I115" s="74">
        <f>IF(REGISTRO!B115="","",REGISTRO!J115)</f>
        <v/>
      </c>
      <c r="J115" s="74">
        <f>IF(REGISTRO!B115="","",REGISTRO!K115)</f>
        <v/>
      </c>
      <c r="K115" s="74">
        <f>IF(REGISTRO!B115="","",REGISTRO!N115)</f>
        <v/>
      </c>
      <c r="L115" s="75">
        <f>IF(REGISTRO!B115="","",REGISTRO!R115)</f>
        <v/>
      </c>
      <c r="M115" s="74">
        <f>IF(REGISTRO!B115="","",REGISTRO!S115)</f>
        <v/>
      </c>
    </row>
    <row r="116">
      <c r="A116" s="74">
        <f>IF(REGISTRO!B116="","",REGISTRO!A116)</f>
        <v/>
      </c>
      <c r="B116" s="74">
        <f>IF(REGISTRO!B116="","",REGISTRO!B116)</f>
        <v/>
      </c>
      <c r="C116" s="74">
        <f>IF(REGISTRO!B116="","",REGISTRO!C116)</f>
        <v/>
      </c>
      <c r="D116" s="74">
        <f>IF(REGISTRO!B116="","",REGISTRO!D116)</f>
        <v/>
      </c>
      <c r="E116" s="74">
        <f>IF(REGISTRO!B116="","",REGISTRO!E116)</f>
        <v/>
      </c>
      <c r="F116" s="74">
        <f>IF(REGISTRO!B116="","",REGISTRO!F116)</f>
        <v/>
      </c>
      <c r="G116" s="74">
        <f>IF(REGISTRO!B116="","",REGISTRO!G116)</f>
        <v/>
      </c>
      <c r="H116" s="74">
        <f>IF(REGISTRO!B116="","",REGISTRO!I116)</f>
        <v/>
      </c>
      <c r="I116" s="74">
        <f>IF(REGISTRO!B116="","",REGISTRO!J116)</f>
        <v/>
      </c>
      <c r="J116" s="74">
        <f>IF(REGISTRO!B116="","",REGISTRO!K116)</f>
        <v/>
      </c>
      <c r="K116" s="74">
        <f>IF(REGISTRO!B116="","",REGISTRO!N116)</f>
        <v/>
      </c>
      <c r="L116" s="75">
        <f>IF(REGISTRO!B116="","",REGISTRO!R116)</f>
        <v/>
      </c>
      <c r="M116" s="74">
        <f>IF(REGISTRO!B116="","",REGISTRO!S116)</f>
        <v/>
      </c>
    </row>
    <row r="117">
      <c r="A117" s="74">
        <f>IF(REGISTRO!B117="","",REGISTRO!A117)</f>
        <v/>
      </c>
      <c r="B117" s="74">
        <f>IF(REGISTRO!B117="","",REGISTRO!B117)</f>
        <v/>
      </c>
      <c r="C117" s="74">
        <f>IF(REGISTRO!B117="","",REGISTRO!C117)</f>
        <v/>
      </c>
      <c r="D117" s="74">
        <f>IF(REGISTRO!B117="","",REGISTRO!D117)</f>
        <v/>
      </c>
      <c r="E117" s="74">
        <f>IF(REGISTRO!B117="","",REGISTRO!E117)</f>
        <v/>
      </c>
      <c r="F117" s="74">
        <f>IF(REGISTRO!B117="","",REGISTRO!F117)</f>
        <v/>
      </c>
      <c r="G117" s="74">
        <f>IF(REGISTRO!B117="","",REGISTRO!G117)</f>
        <v/>
      </c>
      <c r="H117" s="74">
        <f>IF(REGISTRO!B117="","",REGISTRO!I117)</f>
        <v/>
      </c>
      <c r="I117" s="74">
        <f>IF(REGISTRO!B117="","",REGISTRO!J117)</f>
        <v/>
      </c>
      <c r="J117" s="74">
        <f>IF(REGISTRO!B117="","",REGISTRO!K117)</f>
        <v/>
      </c>
      <c r="K117" s="74">
        <f>IF(REGISTRO!B117="","",REGISTRO!N117)</f>
        <v/>
      </c>
      <c r="L117" s="75">
        <f>IF(REGISTRO!B117="","",REGISTRO!R117)</f>
        <v/>
      </c>
      <c r="M117" s="74">
        <f>IF(REGISTRO!B117="","",REGISTRO!S117)</f>
        <v/>
      </c>
    </row>
    <row r="118">
      <c r="A118" s="74">
        <f>IF(REGISTRO!B118="","",REGISTRO!A118)</f>
        <v/>
      </c>
      <c r="B118" s="74">
        <f>IF(REGISTRO!B118="","",REGISTRO!B118)</f>
        <v/>
      </c>
      <c r="C118" s="74">
        <f>IF(REGISTRO!B118="","",REGISTRO!C118)</f>
        <v/>
      </c>
      <c r="D118" s="74">
        <f>IF(REGISTRO!B118="","",REGISTRO!D118)</f>
        <v/>
      </c>
      <c r="E118" s="74">
        <f>IF(REGISTRO!B118="","",REGISTRO!E118)</f>
        <v/>
      </c>
      <c r="F118" s="74">
        <f>IF(REGISTRO!B118="","",REGISTRO!F118)</f>
        <v/>
      </c>
      <c r="G118" s="74">
        <f>IF(REGISTRO!B118="","",REGISTRO!G118)</f>
        <v/>
      </c>
      <c r="H118" s="74">
        <f>IF(REGISTRO!B118="","",REGISTRO!I118)</f>
        <v/>
      </c>
      <c r="I118" s="74">
        <f>IF(REGISTRO!B118="","",REGISTRO!J118)</f>
        <v/>
      </c>
      <c r="J118" s="74">
        <f>IF(REGISTRO!B118="","",REGISTRO!K118)</f>
        <v/>
      </c>
      <c r="K118" s="74">
        <f>IF(REGISTRO!B118="","",REGISTRO!N118)</f>
        <v/>
      </c>
      <c r="L118" s="75">
        <f>IF(REGISTRO!B118="","",REGISTRO!R118)</f>
        <v/>
      </c>
      <c r="M118" s="74">
        <f>IF(REGISTRO!B118="","",REGISTRO!S118)</f>
        <v/>
      </c>
    </row>
    <row r="119">
      <c r="A119" s="74">
        <f>IF(REGISTRO!B119="","",REGISTRO!A119)</f>
        <v/>
      </c>
      <c r="B119" s="74">
        <f>IF(REGISTRO!B119="","",REGISTRO!B119)</f>
        <v/>
      </c>
      <c r="C119" s="74">
        <f>IF(REGISTRO!B119="","",REGISTRO!C119)</f>
        <v/>
      </c>
      <c r="D119" s="74">
        <f>IF(REGISTRO!B119="","",REGISTRO!D119)</f>
        <v/>
      </c>
      <c r="E119" s="74">
        <f>IF(REGISTRO!B119="","",REGISTRO!E119)</f>
        <v/>
      </c>
      <c r="F119" s="74">
        <f>IF(REGISTRO!B119="","",REGISTRO!F119)</f>
        <v/>
      </c>
      <c r="G119" s="74">
        <f>IF(REGISTRO!B119="","",REGISTRO!G119)</f>
        <v/>
      </c>
      <c r="H119" s="74">
        <f>IF(REGISTRO!B119="","",REGISTRO!I119)</f>
        <v/>
      </c>
      <c r="I119" s="74">
        <f>IF(REGISTRO!B119="","",REGISTRO!J119)</f>
        <v/>
      </c>
      <c r="J119" s="74">
        <f>IF(REGISTRO!B119="","",REGISTRO!K119)</f>
        <v/>
      </c>
      <c r="K119" s="74">
        <f>IF(REGISTRO!B119="","",REGISTRO!N119)</f>
        <v/>
      </c>
      <c r="L119" s="75">
        <f>IF(REGISTRO!B119="","",REGISTRO!R119)</f>
        <v/>
      </c>
      <c r="M119" s="74">
        <f>IF(REGISTRO!B119="","",REGISTRO!S119)</f>
        <v/>
      </c>
    </row>
    <row r="120">
      <c r="A120" s="74">
        <f>IF(REGISTRO!B120="","",REGISTRO!A120)</f>
        <v/>
      </c>
      <c r="B120" s="74">
        <f>IF(REGISTRO!B120="","",REGISTRO!B120)</f>
        <v/>
      </c>
      <c r="C120" s="74">
        <f>IF(REGISTRO!B120="","",REGISTRO!C120)</f>
        <v/>
      </c>
      <c r="D120" s="74">
        <f>IF(REGISTRO!B120="","",REGISTRO!D120)</f>
        <v/>
      </c>
      <c r="E120" s="74">
        <f>IF(REGISTRO!B120="","",REGISTRO!E120)</f>
        <v/>
      </c>
      <c r="F120" s="74">
        <f>IF(REGISTRO!B120="","",REGISTRO!F120)</f>
        <v/>
      </c>
      <c r="G120" s="74">
        <f>IF(REGISTRO!B120="","",REGISTRO!G120)</f>
        <v/>
      </c>
      <c r="H120" s="74">
        <f>IF(REGISTRO!B120="","",REGISTRO!I120)</f>
        <v/>
      </c>
      <c r="I120" s="74">
        <f>IF(REGISTRO!B120="","",REGISTRO!J120)</f>
        <v/>
      </c>
      <c r="J120" s="74">
        <f>IF(REGISTRO!B120="","",REGISTRO!K120)</f>
        <v/>
      </c>
      <c r="K120" s="74">
        <f>IF(REGISTRO!B120="","",REGISTRO!N120)</f>
        <v/>
      </c>
      <c r="L120" s="75">
        <f>IF(REGISTRO!B120="","",REGISTRO!R120)</f>
        <v/>
      </c>
      <c r="M120" s="74">
        <f>IF(REGISTRO!B120="","",REGISTRO!S120)</f>
        <v/>
      </c>
    </row>
    <row r="121">
      <c r="A121" s="74">
        <f>IF(REGISTRO!B121="","",REGISTRO!A121)</f>
        <v/>
      </c>
      <c r="B121" s="74">
        <f>IF(REGISTRO!B121="","",REGISTRO!B121)</f>
        <v/>
      </c>
      <c r="C121" s="74">
        <f>IF(REGISTRO!B121="","",REGISTRO!C121)</f>
        <v/>
      </c>
      <c r="D121" s="74">
        <f>IF(REGISTRO!B121="","",REGISTRO!D121)</f>
        <v/>
      </c>
      <c r="E121" s="74">
        <f>IF(REGISTRO!B121="","",REGISTRO!E121)</f>
        <v/>
      </c>
      <c r="F121" s="74">
        <f>IF(REGISTRO!B121="","",REGISTRO!F121)</f>
        <v/>
      </c>
      <c r="G121" s="74">
        <f>IF(REGISTRO!B121="","",REGISTRO!G121)</f>
        <v/>
      </c>
      <c r="H121" s="74">
        <f>IF(REGISTRO!B121="","",REGISTRO!I121)</f>
        <v/>
      </c>
      <c r="I121" s="74">
        <f>IF(REGISTRO!B121="","",REGISTRO!J121)</f>
        <v/>
      </c>
      <c r="J121" s="74">
        <f>IF(REGISTRO!B121="","",REGISTRO!K121)</f>
        <v/>
      </c>
      <c r="K121" s="74">
        <f>IF(REGISTRO!B121="","",REGISTRO!N121)</f>
        <v/>
      </c>
      <c r="L121" s="75">
        <f>IF(REGISTRO!B121="","",REGISTRO!R121)</f>
        <v/>
      </c>
      <c r="M121" s="74">
        <f>IF(REGISTRO!B121="","",REGISTRO!S121)</f>
        <v/>
      </c>
    </row>
    <row r="122">
      <c r="A122" s="74">
        <f>IF(REGISTRO!B122="","",REGISTRO!A122)</f>
        <v/>
      </c>
      <c r="B122" s="74">
        <f>IF(REGISTRO!B122="","",REGISTRO!B122)</f>
        <v/>
      </c>
      <c r="C122" s="74">
        <f>IF(REGISTRO!B122="","",REGISTRO!C122)</f>
        <v/>
      </c>
      <c r="D122" s="74">
        <f>IF(REGISTRO!B122="","",REGISTRO!D122)</f>
        <v/>
      </c>
      <c r="E122" s="74">
        <f>IF(REGISTRO!B122="","",REGISTRO!E122)</f>
        <v/>
      </c>
      <c r="F122" s="74">
        <f>IF(REGISTRO!B122="","",REGISTRO!F122)</f>
        <v/>
      </c>
      <c r="G122" s="74">
        <f>IF(REGISTRO!B122="","",REGISTRO!G122)</f>
        <v/>
      </c>
      <c r="H122" s="74">
        <f>IF(REGISTRO!B122="","",REGISTRO!I122)</f>
        <v/>
      </c>
      <c r="I122" s="74">
        <f>IF(REGISTRO!B122="","",REGISTRO!J122)</f>
        <v/>
      </c>
      <c r="J122" s="74">
        <f>IF(REGISTRO!B122="","",REGISTRO!K122)</f>
        <v/>
      </c>
      <c r="K122" s="74">
        <f>IF(REGISTRO!B122="","",REGISTRO!N122)</f>
        <v/>
      </c>
      <c r="L122" s="75">
        <f>IF(REGISTRO!B122="","",REGISTRO!R122)</f>
        <v/>
      </c>
      <c r="M122" s="74">
        <f>IF(REGISTRO!B122="","",REGISTRO!S122)</f>
        <v/>
      </c>
    </row>
    <row r="123">
      <c r="A123" s="74">
        <f>IF(REGISTRO!B123="","",REGISTRO!A123)</f>
        <v/>
      </c>
      <c r="B123" s="74">
        <f>IF(REGISTRO!B123="","",REGISTRO!B123)</f>
        <v/>
      </c>
      <c r="C123" s="74">
        <f>IF(REGISTRO!B123="","",REGISTRO!C123)</f>
        <v/>
      </c>
      <c r="D123" s="74">
        <f>IF(REGISTRO!B123="","",REGISTRO!D123)</f>
        <v/>
      </c>
      <c r="E123" s="74">
        <f>IF(REGISTRO!B123="","",REGISTRO!E123)</f>
        <v/>
      </c>
      <c r="F123" s="74">
        <f>IF(REGISTRO!B123="","",REGISTRO!F123)</f>
        <v/>
      </c>
      <c r="G123" s="74">
        <f>IF(REGISTRO!B123="","",REGISTRO!G123)</f>
        <v/>
      </c>
      <c r="H123" s="74">
        <f>IF(REGISTRO!B123="","",REGISTRO!I123)</f>
        <v/>
      </c>
      <c r="I123" s="74">
        <f>IF(REGISTRO!B123="","",REGISTRO!J123)</f>
        <v/>
      </c>
      <c r="J123" s="74">
        <f>IF(REGISTRO!B123="","",REGISTRO!K123)</f>
        <v/>
      </c>
      <c r="K123" s="74">
        <f>IF(REGISTRO!B123="","",REGISTRO!N123)</f>
        <v/>
      </c>
      <c r="L123" s="75">
        <f>IF(REGISTRO!B123="","",REGISTRO!R123)</f>
        <v/>
      </c>
      <c r="M123" s="74">
        <f>IF(REGISTRO!B123="","",REGISTRO!S123)</f>
        <v/>
      </c>
    </row>
    <row r="124">
      <c r="A124" s="74">
        <f>IF(REGISTRO!B124="","",REGISTRO!A124)</f>
        <v/>
      </c>
      <c r="B124" s="74">
        <f>IF(REGISTRO!B124="","",REGISTRO!B124)</f>
        <v/>
      </c>
      <c r="C124" s="74">
        <f>IF(REGISTRO!B124="","",REGISTRO!C124)</f>
        <v/>
      </c>
      <c r="D124" s="74">
        <f>IF(REGISTRO!B124="","",REGISTRO!D124)</f>
        <v/>
      </c>
      <c r="E124" s="74">
        <f>IF(REGISTRO!B124="","",REGISTRO!E124)</f>
        <v/>
      </c>
      <c r="F124" s="74">
        <f>IF(REGISTRO!B124="","",REGISTRO!F124)</f>
        <v/>
      </c>
      <c r="G124" s="74">
        <f>IF(REGISTRO!B124="","",REGISTRO!G124)</f>
        <v/>
      </c>
      <c r="H124" s="74">
        <f>IF(REGISTRO!B124="","",REGISTRO!I124)</f>
        <v/>
      </c>
      <c r="I124" s="74">
        <f>IF(REGISTRO!B124="","",REGISTRO!J124)</f>
        <v/>
      </c>
      <c r="J124" s="74">
        <f>IF(REGISTRO!B124="","",REGISTRO!K124)</f>
        <v/>
      </c>
      <c r="K124" s="74">
        <f>IF(REGISTRO!B124="","",REGISTRO!N124)</f>
        <v/>
      </c>
      <c r="L124" s="75">
        <f>IF(REGISTRO!B124="","",REGISTRO!R124)</f>
        <v/>
      </c>
      <c r="M124" s="74">
        <f>IF(REGISTRO!B124="","",REGISTRO!S124)</f>
        <v/>
      </c>
    </row>
    <row r="125">
      <c r="A125" s="74">
        <f>IF(REGISTRO!B125="","",REGISTRO!A125)</f>
        <v/>
      </c>
      <c r="B125" s="74">
        <f>IF(REGISTRO!B125="","",REGISTRO!B125)</f>
        <v/>
      </c>
      <c r="C125" s="74">
        <f>IF(REGISTRO!B125="","",REGISTRO!C125)</f>
        <v/>
      </c>
      <c r="D125" s="74">
        <f>IF(REGISTRO!B125="","",REGISTRO!D125)</f>
        <v/>
      </c>
      <c r="E125" s="74">
        <f>IF(REGISTRO!B125="","",REGISTRO!E125)</f>
        <v/>
      </c>
      <c r="F125" s="74">
        <f>IF(REGISTRO!B125="","",REGISTRO!F125)</f>
        <v/>
      </c>
      <c r="G125" s="74">
        <f>IF(REGISTRO!B125="","",REGISTRO!G125)</f>
        <v/>
      </c>
      <c r="H125" s="74">
        <f>IF(REGISTRO!B125="","",REGISTRO!I125)</f>
        <v/>
      </c>
      <c r="I125" s="74">
        <f>IF(REGISTRO!B125="","",REGISTRO!J125)</f>
        <v/>
      </c>
      <c r="J125" s="74">
        <f>IF(REGISTRO!B125="","",REGISTRO!K125)</f>
        <v/>
      </c>
      <c r="K125" s="74">
        <f>IF(REGISTRO!B125="","",REGISTRO!N125)</f>
        <v/>
      </c>
      <c r="L125" s="75">
        <f>IF(REGISTRO!B125="","",REGISTRO!R125)</f>
        <v/>
      </c>
      <c r="M125" s="74">
        <f>IF(REGISTRO!B125="","",REGISTRO!S125)</f>
        <v/>
      </c>
    </row>
    <row r="126">
      <c r="A126" s="74">
        <f>IF(REGISTRO!B126="","",REGISTRO!A126)</f>
        <v/>
      </c>
      <c r="B126" s="74">
        <f>IF(REGISTRO!B126="","",REGISTRO!B126)</f>
        <v/>
      </c>
      <c r="C126" s="74">
        <f>IF(REGISTRO!B126="","",REGISTRO!C126)</f>
        <v/>
      </c>
      <c r="D126" s="74">
        <f>IF(REGISTRO!B126="","",REGISTRO!D126)</f>
        <v/>
      </c>
      <c r="E126" s="74">
        <f>IF(REGISTRO!B126="","",REGISTRO!E126)</f>
        <v/>
      </c>
      <c r="F126" s="74">
        <f>IF(REGISTRO!B126="","",REGISTRO!F126)</f>
        <v/>
      </c>
      <c r="G126" s="74">
        <f>IF(REGISTRO!B126="","",REGISTRO!G126)</f>
        <v/>
      </c>
      <c r="H126" s="74">
        <f>IF(REGISTRO!B126="","",REGISTRO!I126)</f>
        <v/>
      </c>
      <c r="I126" s="74">
        <f>IF(REGISTRO!B126="","",REGISTRO!J126)</f>
        <v/>
      </c>
      <c r="J126" s="74">
        <f>IF(REGISTRO!B126="","",REGISTRO!K126)</f>
        <v/>
      </c>
      <c r="K126" s="74">
        <f>IF(REGISTRO!B126="","",REGISTRO!N126)</f>
        <v/>
      </c>
      <c r="L126" s="75">
        <f>IF(REGISTRO!B126="","",REGISTRO!R126)</f>
        <v/>
      </c>
      <c r="M126" s="74">
        <f>IF(REGISTRO!B126="","",REGISTRO!S126)</f>
        <v/>
      </c>
    </row>
    <row r="127">
      <c r="A127" s="74">
        <f>IF(REGISTRO!B127="","",REGISTRO!A127)</f>
        <v/>
      </c>
      <c r="B127" s="74">
        <f>IF(REGISTRO!B127="","",REGISTRO!B127)</f>
        <v/>
      </c>
      <c r="C127" s="74">
        <f>IF(REGISTRO!B127="","",REGISTRO!C127)</f>
        <v/>
      </c>
      <c r="D127" s="74">
        <f>IF(REGISTRO!B127="","",REGISTRO!D127)</f>
        <v/>
      </c>
      <c r="E127" s="74">
        <f>IF(REGISTRO!B127="","",REGISTRO!E127)</f>
        <v/>
      </c>
      <c r="F127" s="74">
        <f>IF(REGISTRO!B127="","",REGISTRO!F127)</f>
        <v/>
      </c>
      <c r="G127" s="74">
        <f>IF(REGISTRO!B127="","",REGISTRO!G127)</f>
        <v/>
      </c>
      <c r="H127" s="74">
        <f>IF(REGISTRO!B127="","",REGISTRO!I127)</f>
        <v/>
      </c>
      <c r="I127" s="74">
        <f>IF(REGISTRO!B127="","",REGISTRO!J127)</f>
        <v/>
      </c>
      <c r="J127" s="74">
        <f>IF(REGISTRO!B127="","",REGISTRO!K127)</f>
        <v/>
      </c>
      <c r="K127" s="74">
        <f>IF(REGISTRO!B127="","",REGISTRO!N127)</f>
        <v/>
      </c>
      <c r="L127" s="75">
        <f>IF(REGISTRO!B127="","",REGISTRO!R127)</f>
        <v/>
      </c>
      <c r="M127" s="74">
        <f>IF(REGISTRO!B127="","",REGISTRO!S127)</f>
        <v/>
      </c>
    </row>
    <row r="128">
      <c r="A128" s="74">
        <f>IF(REGISTRO!B128="","",REGISTRO!A128)</f>
        <v/>
      </c>
      <c r="B128" s="74">
        <f>IF(REGISTRO!B128="","",REGISTRO!B128)</f>
        <v/>
      </c>
      <c r="C128" s="74">
        <f>IF(REGISTRO!B128="","",REGISTRO!C128)</f>
        <v/>
      </c>
      <c r="D128" s="74">
        <f>IF(REGISTRO!B128="","",REGISTRO!D128)</f>
        <v/>
      </c>
      <c r="E128" s="74">
        <f>IF(REGISTRO!B128="","",REGISTRO!E128)</f>
        <v/>
      </c>
      <c r="F128" s="74">
        <f>IF(REGISTRO!B128="","",REGISTRO!F128)</f>
        <v/>
      </c>
      <c r="G128" s="74">
        <f>IF(REGISTRO!B128="","",REGISTRO!G128)</f>
        <v/>
      </c>
      <c r="H128" s="74">
        <f>IF(REGISTRO!B128="","",REGISTRO!I128)</f>
        <v/>
      </c>
      <c r="I128" s="74">
        <f>IF(REGISTRO!B128="","",REGISTRO!J128)</f>
        <v/>
      </c>
      <c r="J128" s="74">
        <f>IF(REGISTRO!B128="","",REGISTRO!K128)</f>
        <v/>
      </c>
      <c r="K128" s="74">
        <f>IF(REGISTRO!B128="","",REGISTRO!N128)</f>
        <v/>
      </c>
      <c r="L128" s="75">
        <f>IF(REGISTRO!B128="","",REGISTRO!R128)</f>
        <v/>
      </c>
      <c r="M128" s="74">
        <f>IF(REGISTRO!B128="","",REGISTRO!S128)</f>
        <v/>
      </c>
    </row>
    <row r="129">
      <c r="A129" s="74">
        <f>IF(REGISTRO!B129="","",REGISTRO!A129)</f>
        <v/>
      </c>
      <c r="B129" s="74">
        <f>IF(REGISTRO!B129="","",REGISTRO!B129)</f>
        <v/>
      </c>
      <c r="C129" s="74">
        <f>IF(REGISTRO!B129="","",REGISTRO!C129)</f>
        <v/>
      </c>
      <c r="D129" s="74">
        <f>IF(REGISTRO!B129="","",REGISTRO!D129)</f>
        <v/>
      </c>
      <c r="E129" s="74">
        <f>IF(REGISTRO!B129="","",REGISTRO!E129)</f>
        <v/>
      </c>
      <c r="F129" s="74">
        <f>IF(REGISTRO!B129="","",REGISTRO!F129)</f>
        <v/>
      </c>
      <c r="G129" s="74">
        <f>IF(REGISTRO!B129="","",REGISTRO!G129)</f>
        <v/>
      </c>
      <c r="H129" s="74">
        <f>IF(REGISTRO!B129="","",REGISTRO!I129)</f>
        <v/>
      </c>
      <c r="I129" s="74">
        <f>IF(REGISTRO!B129="","",REGISTRO!J129)</f>
        <v/>
      </c>
      <c r="J129" s="74">
        <f>IF(REGISTRO!B129="","",REGISTRO!K129)</f>
        <v/>
      </c>
      <c r="K129" s="74">
        <f>IF(REGISTRO!B129="","",REGISTRO!N129)</f>
        <v/>
      </c>
      <c r="L129" s="75">
        <f>IF(REGISTRO!B129="","",REGISTRO!R129)</f>
        <v/>
      </c>
      <c r="M129" s="74">
        <f>IF(REGISTRO!B129="","",REGISTRO!S129)</f>
        <v/>
      </c>
    </row>
    <row r="130">
      <c r="A130" s="74">
        <f>IF(REGISTRO!B130="","",REGISTRO!A130)</f>
        <v/>
      </c>
      <c r="B130" s="74">
        <f>IF(REGISTRO!B130="","",REGISTRO!B130)</f>
        <v/>
      </c>
      <c r="C130" s="74">
        <f>IF(REGISTRO!B130="","",REGISTRO!C130)</f>
        <v/>
      </c>
      <c r="D130" s="74">
        <f>IF(REGISTRO!B130="","",REGISTRO!D130)</f>
        <v/>
      </c>
      <c r="E130" s="74">
        <f>IF(REGISTRO!B130="","",REGISTRO!E130)</f>
        <v/>
      </c>
      <c r="F130" s="74">
        <f>IF(REGISTRO!B130="","",REGISTRO!F130)</f>
        <v/>
      </c>
      <c r="G130" s="74">
        <f>IF(REGISTRO!B130="","",REGISTRO!G130)</f>
        <v/>
      </c>
      <c r="H130" s="74">
        <f>IF(REGISTRO!B130="","",REGISTRO!I130)</f>
        <v/>
      </c>
      <c r="I130" s="74">
        <f>IF(REGISTRO!B130="","",REGISTRO!J130)</f>
        <v/>
      </c>
      <c r="J130" s="74">
        <f>IF(REGISTRO!B130="","",REGISTRO!K130)</f>
        <v/>
      </c>
      <c r="K130" s="74">
        <f>IF(REGISTRO!B130="","",REGISTRO!N130)</f>
        <v/>
      </c>
      <c r="L130" s="75">
        <f>IF(REGISTRO!B130="","",REGISTRO!R130)</f>
        <v/>
      </c>
      <c r="M130" s="74">
        <f>IF(REGISTRO!B130="","",REGISTRO!S130)</f>
        <v/>
      </c>
    </row>
    <row r="131">
      <c r="A131" s="74">
        <f>IF(REGISTRO!B131="","",REGISTRO!A131)</f>
        <v/>
      </c>
      <c r="B131" s="74">
        <f>IF(REGISTRO!B131="","",REGISTRO!B131)</f>
        <v/>
      </c>
      <c r="C131" s="74">
        <f>IF(REGISTRO!B131="","",REGISTRO!C131)</f>
        <v/>
      </c>
      <c r="D131" s="74">
        <f>IF(REGISTRO!B131="","",REGISTRO!D131)</f>
        <v/>
      </c>
      <c r="E131" s="74">
        <f>IF(REGISTRO!B131="","",REGISTRO!E131)</f>
        <v/>
      </c>
      <c r="F131" s="74">
        <f>IF(REGISTRO!B131="","",REGISTRO!F131)</f>
        <v/>
      </c>
      <c r="G131" s="74">
        <f>IF(REGISTRO!B131="","",REGISTRO!G131)</f>
        <v/>
      </c>
      <c r="H131" s="74">
        <f>IF(REGISTRO!B131="","",REGISTRO!I131)</f>
        <v/>
      </c>
      <c r="I131" s="74">
        <f>IF(REGISTRO!B131="","",REGISTRO!J131)</f>
        <v/>
      </c>
      <c r="J131" s="74">
        <f>IF(REGISTRO!B131="","",REGISTRO!K131)</f>
        <v/>
      </c>
      <c r="K131" s="74">
        <f>IF(REGISTRO!B131="","",REGISTRO!N131)</f>
        <v/>
      </c>
      <c r="L131" s="75">
        <f>IF(REGISTRO!B131="","",REGISTRO!R131)</f>
        <v/>
      </c>
      <c r="M131" s="74">
        <f>IF(REGISTRO!B131="","",REGISTRO!S131)</f>
        <v/>
      </c>
    </row>
    <row r="132">
      <c r="A132" s="74">
        <f>IF(REGISTRO!B132="","",REGISTRO!A132)</f>
        <v/>
      </c>
      <c r="B132" s="74">
        <f>IF(REGISTRO!B132="","",REGISTRO!B132)</f>
        <v/>
      </c>
      <c r="C132" s="74">
        <f>IF(REGISTRO!B132="","",REGISTRO!C132)</f>
        <v/>
      </c>
      <c r="D132" s="74">
        <f>IF(REGISTRO!B132="","",REGISTRO!D132)</f>
        <v/>
      </c>
      <c r="E132" s="74">
        <f>IF(REGISTRO!B132="","",REGISTRO!E132)</f>
        <v/>
      </c>
      <c r="F132" s="74">
        <f>IF(REGISTRO!B132="","",REGISTRO!F132)</f>
        <v/>
      </c>
      <c r="G132" s="74">
        <f>IF(REGISTRO!B132="","",REGISTRO!G132)</f>
        <v/>
      </c>
      <c r="H132" s="74">
        <f>IF(REGISTRO!B132="","",REGISTRO!I132)</f>
        <v/>
      </c>
      <c r="I132" s="74">
        <f>IF(REGISTRO!B132="","",REGISTRO!J132)</f>
        <v/>
      </c>
      <c r="J132" s="74">
        <f>IF(REGISTRO!B132="","",REGISTRO!K132)</f>
        <v/>
      </c>
      <c r="K132" s="74">
        <f>IF(REGISTRO!B132="","",REGISTRO!N132)</f>
        <v/>
      </c>
      <c r="L132" s="75">
        <f>IF(REGISTRO!B132="","",REGISTRO!R132)</f>
        <v/>
      </c>
      <c r="M132" s="74">
        <f>IF(REGISTRO!B132="","",REGISTRO!S132)</f>
        <v/>
      </c>
    </row>
    <row r="133">
      <c r="A133" s="74">
        <f>IF(REGISTRO!B133="","",REGISTRO!A133)</f>
        <v/>
      </c>
      <c r="B133" s="74">
        <f>IF(REGISTRO!B133="","",REGISTRO!B133)</f>
        <v/>
      </c>
      <c r="C133" s="74">
        <f>IF(REGISTRO!B133="","",REGISTRO!C133)</f>
        <v/>
      </c>
      <c r="D133" s="74">
        <f>IF(REGISTRO!B133="","",REGISTRO!D133)</f>
        <v/>
      </c>
      <c r="E133" s="74">
        <f>IF(REGISTRO!B133="","",REGISTRO!E133)</f>
        <v/>
      </c>
      <c r="F133" s="74">
        <f>IF(REGISTRO!B133="","",REGISTRO!F133)</f>
        <v/>
      </c>
      <c r="G133" s="74">
        <f>IF(REGISTRO!B133="","",REGISTRO!G133)</f>
        <v/>
      </c>
      <c r="H133" s="74">
        <f>IF(REGISTRO!B133="","",REGISTRO!I133)</f>
        <v/>
      </c>
      <c r="I133" s="74">
        <f>IF(REGISTRO!B133="","",REGISTRO!J133)</f>
        <v/>
      </c>
      <c r="J133" s="74">
        <f>IF(REGISTRO!B133="","",REGISTRO!K133)</f>
        <v/>
      </c>
      <c r="K133" s="74">
        <f>IF(REGISTRO!B133="","",REGISTRO!N133)</f>
        <v/>
      </c>
      <c r="L133" s="75">
        <f>IF(REGISTRO!B133="","",REGISTRO!R133)</f>
        <v/>
      </c>
      <c r="M133" s="74">
        <f>IF(REGISTRO!B133="","",REGISTRO!S133)</f>
        <v/>
      </c>
    </row>
    <row r="134">
      <c r="A134" s="74">
        <f>IF(REGISTRO!B134="","",REGISTRO!A134)</f>
        <v/>
      </c>
      <c r="B134" s="74">
        <f>IF(REGISTRO!B134="","",REGISTRO!B134)</f>
        <v/>
      </c>
      <c r="C134" s="74">
        <f>IF(REGISTRO!B134="","",REGISTRO!C134)</f>
        <v/>
      </c>
      <c r="D134" s="74">
        <f>IF(REGISTRO!B134="","",REGISTRO!D134)</f>
        <v/>
      </c>
      <c r="E134" s="74">
        <f>IF(REGISTRO!B134="","",REGISTRO!E134)</f>
        <v/>
      </c>
      <c r="F134" s="74">
        <f>IF(REGISTRO!B134="","",REGISTRO!F134)</f>
        <v/>
      </c>
      <c r="G134" s="74">
        <f>IF(REGISTRO!B134="","",REGISTRO!G134)</f>
        <v/>
      </c>
      <c r="H134" s="74">
        <f>IF(REGISTRO!B134="","",REGISTRO!I134)</f>
        <v/>
      </c>
      <c r="I134" s="74">
        <f>IF(REGISTRO!B134="","",REGISTRO!J134)</f>
        <v/>
      </c>
      <c r="J134" s="74">
        <f>IF(REGISTRO!B134="","",REGISTRO!K134)</f>
        <v/>
      </c>
      <c r="K134" s="74">
        <f>IF(REGISTRO!B134="","",REGISTRO!N134)</f>
        <v/>
      </c>
      <c r="L134" s="75">
        <f>IF(REGISTRO!B134="","",REGISTRO!R134)</f>
        <v/>
      </c>
      <c r="M134" s="74">
        <f>IF(REGISTRO!B134="","",REGISTRO!S134)</f>
        <v/>
      </c>
    </row>
    <row r="135">
      <c r="A135" s="74">
        <f>IF(REGISTRO!B135="","",REGISTRO!A135)</f>
        <v/>
      </c>
      <c r="B135" s="74">
        <f>IF(REGISTRO!B135="","",REGISTRO!B135)</f>
        <v/>
      </c>
      <c r="C135" s="74">
        <f>IF(REGISTRO!B135="","",REGISTRO!C135)</f>
        <v/>
      </c>
      <c r="D135" s="74">
        <f>IF(REGISTRO!B135="","",REGISTRO!D135)</f>
        <v/>
      </c>
      <c r="E135" s="74">
        <f>IF(REGISTRO!B135="","",REGISTRO!E135)</f>
        <v/>
      </c>
      <c r="F135" s="74">
        <f>IF(REGISTRO!B135="","",REGISTRO!F135)</f>
        <v/>
      </c>
      <c r="G135" s="74">
        <f>IF(REGISTRO!B135="","",REGISTRO!G135)</f>
        <v/>
      </c>
      <c r="H135" s="74">
        <f>IF(REGISTRO!B135="","",REGISTRO!I135)</f>
        <v/>
      </c>
      <c r="I135" s="74">
        <f>IF(REGISTRO!B135="","",REGISTRO!J135)</f>
        <v/>
      </c>
      <c r="J135" s="74">
        <f>IF(REGISTRO!B135="","",REGISTRO!K135)</f>
        <v/>
      </c>
      <c r="K135" s="74">
        <f>IF(REGISTRO!B135="","",REGISTRO!N135)</f>
        <v/>
      </c>
      <c r="L135" s="75">
        <f>IF(REGISTRO!B135="","",REGISTRO!R135)</f>
        <v/>
      </c>
      <c r="M135" s="74">
        <f>IF(REGISTRO!B135="","",REGISTRO!S135)</f>
        <v/>
      </c>
    </row>
    <row r="136">
      <c r="A136" s="74">
        <f>IF(REGISTRO!B136="","",REGISTRO!A136)</f>
        <v/>
      </c>
      <c r="B136" s="74">
        <f>IF(REGISTRO!B136="","",REGISTRO!B136)</f>
        <v/>
      </c>
      <c r="C136" s="74">
        <f>IF(REGISTRO!B136="","",REGISTRO!C136)</f>
        <v/>
      </c>
      <c r="D136" s="74">
        <f>IF(REGISTRO!B136="","",REGISTRO!D136)</f>
        <v/>
      </c>
      <c r="E136" s="74">
        <f>IF(REGISTRO!B136="","",REGISTRO!E136)</f>
        <v/>
      </c>
      <c r="F136" s="74">
        <f>IF(REGISTRO!B136="","",REGISTRO!F136)</f>
        <v/>
      </c>
      <c r="G136" s="74">
        <f>IF(REGISTRO!B136="","",REGISTRO!G136)</f>
        <v/>
      </c>
      <c r="H136" s="74">
        <f>IF(REGISTRO!B136="","",REGISTRO!I136)</f>
        <v/>
      </c>
      <c r="I136" s="74">
        <f>IF(REGISTRO!B136="","",REGISTRO!J136)</f>
        <v/>
      </c>
      <c r="J136" s="74">
        <f>IF(REGISTRO!B136="","",REGISTRO!K136)</f>
        <v/>
      </c>
      <c r="K136" s="74">
        <f>IF(REGISTRO!B136="","",REGISTRO!N136)</f>
        <v/>
      </c>
      <c r="L136" s="75">
        <f>IF(REGISTRO!B136="","",REGISTRO!R136)</f>
        <v/>
      </c>
      <c r="M136" s="74">
        <f>IF(REGISTRO!B136="","",REGISTRO!S136)</f>
        <v/>
      </c>
    </row>
    <row r="137">
      <c r="A137" s="74">
        <f>IF(REGISTRO!B137="","",REGISTRO!A137)</f>
        <v/>
      </c>
      <c r="B137" s="74">
        <f>IF(REGISTRO!B137="","",REGISTRO!B137)</f>
        <v/>
      </c>
      <c r="C137" s="74">
        <f>IF(REGISTRO!B137="","",REGISTRO!C137)</f>
        <v/>
      </c>
      <c r="D137" s="74">
        <f>IF(REGISTRO!B137="","",REGISTRO!D137)</f>
        <v/>
      </c>
      <c r="E137" s="74">
        <f>IF(REGISTRO!B137="","",REGISTRO!E137)</f>
        <v/>
      </c>
      <c r="F137" s="74">
        <f>IF(REGISTRO!B137="","",REGISTRO!F137)</f>
        <v/>
      </c>
      <c r="G137" s="74">
        <f>IF(REGISTRO!B137="","",REGISTRO!G137)</f>
        <v/>
      </c>
      <c r="H137" s="74">
        <f>IF(REGISTRO!B137="","",REGISTRO!I137)</f>
        <v/>
      </c>
      <c r="I137" s="74">
        <f>IF(REGISTRO!B137="","",REGISTRO!J137)</f>
        <v/>
      </c>
      <c r="J137" s="74">
        <f>IF(REGISTRO!B137="","",REGISTRO!K137)</f>
        <v/>
      </c>
      <c r="K137" s="74">
        <f>IF(REGISTRO!B137="","",REGISTRO!N137)</f>
        <v/>
      </c>
      <c r="L137" s="75">
        <f>IF(REGISTRO!B137="","",REGISTRO!R137)</f>
        <v/>
      </c>
      <c r="M137" s="74">
        <f>IF(REGISTRO!B137="","",REGISTRO!S137)</f>
        <v/>
      </c>
    </row>
    <row r="138">
      <c r="A138" s="74">
        <f>IF(REGISTRO!B138="","",REGISTRO!A138)</f>
        <v/>
      </c>
      <c r="B138" s="74">
        <f>IF(REGISTRO!B138="","",REGISTRO!B138)</f>
        <v/>
      </c>
      <c r="C138" s="74">
        <f>IF(REGISTRO!B138="","",REGISTRO!C138)</f>
        <v/>
      </c>
      <c r="D138" s="74">
        <f>IF(REGISTRO!B138="","",REGISTRO!D138)</f>
        <v/>
      </c>
      <c r="E138" s="74">
        <f>IF(REGISTRO!B138="","",REGISTRO!E138)</f>
        <v/>
      </c>
      <c r="F138" s="74">
        <f>IF(REGISTRO!B138="","",REGISTRO!F138)</f>
        <v/>
      </c>
      <c r="G138" s="74">
        <f>IF(REGISTRO!B138="","",REGISTRO!G138)</f>
        <v/>
      </c>
      <c r="H138" s="74">
        <f>IF(REGISTRO!B138="","",REGISTRO!I138)</f>
        <v/>
      </c>
      <c r="I138" s="74">
        <f>IF(REGISTRO!B138="","",REGISTRO!J138)</f>
        <v/>
      </c>
      <c r="J138" s="74">
        <f>IF(REGISTRO!B138="","",REGISTRO!K138)</f>
        <v/>
      </c>
      <c r="K138" s="74">
        <f>IF(REGISTRO!B138="","",REGISTRO!N138)</f>
        <v/>
      </c>
      <c r="L138" s="75">
        <f>IF(REGISTRO!B138="","",REGISTRO!R138)</f>
        <v/>
      </c>
      <c r="M138" s="74">
        <f>IF(REGISTRO!B138="","",REGISTRO!S138)</f>
        <v/>
      </c>
    </row>
    <row r="139">
      <c r="A139" s="74">
        <f>IF(REGISTRO!B139="","",REGISTRO!A139)</f>
        <v/>
      </c>
      <c r="B139" s="74">
        <f>IF(REGISTRO!B139="","",REGISTRO!B139)</f>
        <v/>
      </c>
      <c r="C139" s="74">
        <f>IF(REGISTRO!B139="","",REGISTRO!C139)</f>
        <v/>
      </c>
      <c r="D139" s="74">
        <f>IF(REGISTRO!B139="","",REGISTRO!D139)</f>
        <v/>
      </c>
      <c r="E139" s="74">
        <f>IF(REGISTRO!B139="","",REGISTRO!E139)</f>
        <v/>
      </c>
      <c r="F139" s="74">
        <f>IF(REGISTRO!B139="","",REGISTRO!F139)</f>
        <v/>
      </c>
      <c r="G139" s="74">
        <f>IF(REGISTRO!B139="","",REGISTRO!G139)</f>
        <v/>
      </c>
      <c r="H139" s="74">
        <f>IF(REGISTRO!B139="","",REGISTRO!I139)</f>
        <v/>
      </c>
      <c r="I139" s="74">
        <f>IF(REGISTRO!B139="","",REGISTRO!J139)</f>
        <v/>
      </c>
      <c r="J139" s="74">
        <f>IF(REGISTRO!B139="","",REGISTRO!K139)</f>
        <v/>
      </c>
      <c r="K139" s="74">
        <f>IF(REGISTRO!B139="","",REGISTRO!N139)</f>
        <v/>
      </c>
      <c r="L139" s="75">
        <f>IF(REGISTRO!B139="","",REGISTRO!R139)</f>
        <v/>
      </c>
      <c r="M139" s="74">
        <f>IF(REGISTRO!B139="","",REGISTRO!S139)</f>
        <v/>
      </c>
    </row>
    <row r="140">
      <c r="A140" s="74">
        <f>IF(REGISTRO!B140="","",REGISTRO!A140)</f>
        <v/>
      </c>
      <c r="B140" s="74">
        <f>IF(REGISTRO!B140="","",REGISTRO!B140)</f>
        <v/>
      </c>
      <c r="C140" s="74">
        <f>IF(REGISTRO!B140="","",REGISTRO!C140)</f>
        <v/>
      </c>
      <c r="D140" s="74">
        <f>IF(REGISTRO!B140="","",REGISTRO!D140)</f>
        <v/>
      </c>
      <c r="E140" s="74">
        <f>IF(REGISTRO!B140="","",REGISTRO!E140)</f>
        <v/>
      </c>
      <c r="F140" s="74">
        <f>IF(REGISTRO!B140="","",REGISTRO!F140)</f>
        <v/>
      </c>
      <c r="G140" s="74">
        <f>IF(REGISTRO!B140="","",REGISTRO!G140)</f>
        <v/>
      </c>
      <c r="H140" s="74">
        <f>IF(REGISTRO!B140="","",REGISTRO!I140)</f>
        <v/>
      </c>
      <c r="I140" s="74">
        <f>IF(REGISTRO!B140="","",REGISTRO!J140)</f>
        <v/>
      </c>
      <c r="J140" s="74">
        <f>IF(REGISTRO!B140="","",REGISTRO!K140)</f>
        <v/>
      </c>
      <c r="K140" s="74">
        <f>IF(REGISTRO!B140="","",REGISTRO!N140)</f>
        <v/>
      </c>
      <c r="L140" s="75">
        <f>IF(REGISTRO!B140="","",REGISTRO!R140)</f>
        <v/>
      </c>
      <c r="M140" s="74">
        <f>IF(REGISTRO!B140="","",REGISTRO!S140)</f>
        <v/>
      </c>
    </row>
    <row r="141">
      <c r="A141" s="74">
        <f>IF(REGISTRO!B141="","",REGISTRO!A141)</f>
        <v/>
      </c>
      <c r="B141" s="74">
        <f>IF(REGISTRO!B141="","",REGISTRO!B141)</f>
        <v/>
      </c>
      <c r="C141" s="74">
        <f>IF(REGISTRO!B141="","",REGISTRO!C141)</f>
        <v/>
      </c>
      <c r="D141" s="74">
        <f>IF(REGISTRO!B141="","",REGISTRO!D141)</f>
        <v/>
      </c>
      <c r="E141" s="74">
        <f>IF(REGISTRO!B141="","",REGISTRO!E141)</f>
        <v/>
      </c>
      <c r="F141" s="74">
        <f>IF(REGISTRO!B141="","",REGISTRO!F141)</f>
        <v/>
      </c>
      <c r="G141" s="74">
        <f>IF(REGISTRO!B141="","",REGISTRO!G141)</f>
        <v/>
      </c>
      <c r="H141" s="74">
        <f>IF(REGISTRO!B141="","",REGISTRO!I141)</f>
        <v/>
      </c>
      <c r="I141" s="74">
        <f>IF(REGISTRO!B141="","",REGISTRO!J141)</f>
        <v/>
      </c>
      <c r="J141" s="74">
        <f>IF(REGISTRO!B141="","",REGISTRO!K141)</f>
        <v/>
      </c>
      <c r="K141" s="74">
        <f>IF(REGISTRO!B141="","",REGISTRO!N141)</f>
        <v/>
      </c>
      <c r="L141" s="75">
        <f>IF(REGISTRO!B141="","",REGISTRO!R141)</f>
        <v/>
      </c>
      <c r="M141" s="74">
        <f>IF(REGISTRO!B141="","",REGISTRO!S141)</f>
        <v/>
      </c>
    </row>
    <row r="142">
      <c r="A142" s="74">
        <f>IF(REGISTRO!B142="","",REGISTRO!A142)</f>
        <v/>
      </c>
      <c r="B142" s="74">
        <f>IF(REGISTRO!B142="","",REGISTRO!B142)</f>
        <v/>
      </c>
      <c r="C142" s="74">
        <f>IF(REGISTRO!B142="","",REGISTRO!C142)</f>
        <v/>
      </c>
      <c r="D142" s="74">
        <f>IF(REGISTRO!B142="","",REGISTRO!D142)</f>
        <v/>
      </c>
      <c r="E142" s="74">
        <f>IF(REGISTRO!B142="","",REGISTRO!E142)</f>
        <v/>
      </c>
      <c r="F142" s="74">
        <f>IF(REGISTRO!B142="","",REGISTRO!F142)</f>
        <v/>
      </c>
      <c r="G142" s="74">
        <f>IF(REGISTRO!B142="","",REGISTRO!G142)</f>
        <v/>
      </c>
      <c r="H142" s="74">
        <f>IF(REGISTRO!B142="","",REGISTRO!I142)</f>
        <v/>
      </c>
      <c r="I142" s="74">
        <f>IF(REGISTRO!B142="","",REGISTRO!J142)</f>
        <v/>
      </c>
      <c r="J142" s="74">
        <f>IF(REGISTRO!B142="","",REGISTRO!K142)</f>
        <v/>
      </c>
      <c r="K142" s="74">
        <f>IF(REGISTRO!B142="","",REGISTRO!N142)</f>
        <v/>
      </c>
      <c r="L142" s="75">
        <f>IF(REGISTRO!B142="","",REGISTRO!R142)</f>
        <v/>
      </c>
      <c r="M142" s="74">
        <f>IF(REGISTRO!B142="","",REGISTRO!S142)</f>
        <v/>
      </c>
    </row>
    <row r="143">
      <c r="A143" s="74">
        <f>IF(REGISTRO!B143="","",REGISTRO!A143)</f>
        <v/>
      </c>
      <c r="B143" s="74">
        <f>IF(REGISTRO!B143="","",REGISTRO!B143)</f>
        <v/>
      </c>
      <c r="C143" s="74">
        <f>IF(REGISTRO!B143="","",REGISTRO!C143)</f>
        <v/>
      </c>
      <c r="D143" s="74">
        <f>IF(REGISTRO!B143="","",REGISTRO!D143)</f>
        <v/>
      </c>
      <c r="E143" s="74">
        <f>IF(REGISTRO!B143="","",REGISTRO!E143)</f>
        <v/>
      </c>
      <c r="F143" s="74">
        <f>IF(REGISTRO!B143="","",REGISTRO!F143)</f>
        <v/>
      </c>
      <c r="G143" s="74">
        <f>IF(REGISTRO!B143="","",REGISTRO!G143)</f>
        <v/>
      </c>
      <c r="H143" s="74">
        <f>IF(REGISTRO!B143="","",REGISTRO!I143)</f>
        <v/>
      </c>
      <c r="I143" s="74">
        <f>IF(REGISTRO!B143="","",REGISTRO!J143)</f>
        <v/>
      </c>
      <c r="J143" s="74">
        <f>IF(REGISTRO!B143="","",REGISTRO!K143)</f>
        <v/>
      </c>
      <c r="K143" s="74">
        <f>IF(REGISTRO!B143="","",REGISTRO!N143)</f>
        <v/>
      </c>
      <c r="L143" s="75">
        <f>IF(REGISTRO!B143="","",REGISTRO!R143)</f>
        <v/>
      </c>
      <c r="M143" s="74">
        <f>IF(REGISTRO!B143="","",REGISTRO!S143)</f>
        <v/>
      </c>
    </row>
    <row r="144">
      <c r="A144" s="74">
        <f>IF(REGISTRO!B144="","",REGISTRO!A144)</f>
        <v/>
      </c>
      <c r="B144" s="74">
        <f>IF(REGISTRO!B144="","",REGISTRO!B144)</f>
        <v/>
      </c>
      <c r="C144" s="74">
        <f>IF(REGISTRO!B144="","",REGISTRO!C144)</f>
        <v/>
      </c>
      <c r="D144" s="74">
        <f>IF(REGISTRO!B144="","",REGISTRO!D144)</f>
        <v/>
      </c>
      <c r="E144" s="74">
        <f>IF(REGISTRO!B144="","",REGISTRO!E144)</f>
        <v/>
      </c>
      <c r="F144" s="74">
        <f>IF(REGISTRO!B144="","",REGISTRO!F144)</f>
        <v/>
      </c>
      <c r="G144" s="74">
        <f>IF(REGISTRO!B144="","",REGISTRO!G144)</f>
        <v/>
      </c>
      <c r="H144" s="74">
        <f>IF(REGISTRO!B144="","",REGISTRO!I144)</f>
        <v/>
      </c>
      <c r="I144" s="74">
        <f>IF(REGISTRO!B144="","",REGISTRO!J144)</f>
        <v/>
      </c>
      <c r="J144" s="74">
        <f>IF(REGISTRO!B144="","",REGISTRO!K144)</f>
        <v/>
      </c>
      <c r="K144" s="74">
        <f>IF(REGISTRO!B144="","",REGISTRO!N144)</f>
        <v/>
      </c>
      <c r="L144" s="75">
        <f>IF(REGISTRO!B144="","",REGISTRO!R144)</f>
        <v/>
      </c>
      <c r="M144" s="74">
        <f>IF(REGISTRO!B144="","",REGISTRO!S144)</f>
        <v/>
      </c>
    </row>
    <row r="145">
      <c r="A145" s="74">
        <f>IF(REGISTRO!B145="","",REGISTRO!A145)</f>
        <v/>
      </c>
      <c r="B145" s="74">
        <f>IF(REGISTRO!B145="","",REGISTRO!B145)</f>
        <v/>
      </c>
      <c r="C145" s="74">
        <f>IF(REGISTRO!B145="","",REGISTRO!C145)</f>
        <v/>
      </c>
      <c r="D145" s="74">
        <f>IF(REGISTRO!B145="","",REGISTRO!D145)</f>
        <v/>
      </c>
      <c r="E145" s="74">
        <f>IF(REGISTRO!B145="","",REGISTRO!E145)</f>
        <v/>
      </c>
      <c r="F145" s="74">
        <f>IF(REGISTRO!B145="","",REGISTRO!F145)</f>
        <v/>
      </c>
      <c r="G145" s="74">
        <f>IF(REGISTRO!B145="","",REGISTRO!G145)</f>
        <v/>
      </c>
      <c r="H145" s="74">
        <f>IF(REGISTRO!B145="","",REGISTRO!I145)</f>
        <v/>
      </c>
      <c r="I145" s="74">
        <f>IF(REGISTRO!B145="","",REGISTRO!J145)</f>
        <v/>
      </c>
      <c r="J145" s="74">
        <f>IF(REGISTRO!B145="","",REGISTRO!K145)</f>
        <v/>
      </c>
      <c r="K145" s="74">
        <f>IF(REGISTRO!B145="","",REGISTRO!N145)</f>
        <v/>
      </c>
      <c r="L145" s="75">
        <f>IF(REGISTRO!B145="","",REGISTRO!R145)</f>
        <v/>
      </c>
      <c r="M145" s="74">
        <f>IF(REGISTRO!B145="","",REGISTRO!S145)</f>
        <v/>
      </c>
    </row>
    <row r="146">
      <c r="A146" s="74">
        <f>IF(REGISTRO!B146="","",REGISTRO!A146)</f>
        <v/>
      </c>
      <c r="B146" s="74">
        <f>IF(REGISTRO!B146="","",REGISTRO!B146)</f>
        <v/>
      </c>
      <c r="C146" s="74">
        <f>IF(REGISTRO!B146="","",REGISTRO!C146)</f>
        <v/>
      </c>
      <c r="D146" s="74">
        <f>IF(REGISTRO!B146="","",REGISTRO!D146)</f>
        <v/>
      </c>
      <c r="E146" s="74">
        <f>IF(REGISTRO!B146="","",REGISTRO!E146)</f>
        <v/>
      </c>
      <c r="F146" s="74">
        <f>IF(REGISTRO!B146="","",REGISTRO!F146)</f>
        <v/>
      </c>
      <c r="G146" s="74">
        <f>IF(REGISTRO!B146="","",REGISTRO!G146)</f>
        <v/>
      </c>
      <c r="H146" s="74">
        <f>IF(REGISTRO!B146="","",REGISTRO!I146)</f>
        <v/>
      </c>
      <c r="I146" s="74">
        <f>IF(REGISTRO!B146="","",REGISTRO!J146)</f>
        <v/>
      </c>
      <c r="J146" s="74">
        <f>IF(REGISTRO!B146="","",REGISTRO!K146)</f>
        <v/>
      </c>
      <c r="K146" s="74">
        <f>IF(REGISTRO!B146="","",REGISTRO!N146)</f>
        <v/>
      </c>
      <c r="L146" s="75">
        <f>IF(REGISTRO!B146="","",REGISTRO!R146)</f>
        <v/>
      </c>
      <c r="M146" s="74">
        <f>IF(REGISTRO!B146="","",REGISTRO!S146)</f>
        <v/>
      </c>
    </row>
    <row r="147">
      <c r="A147" s="74">
        <f>IF(REGISTRO!B147="","",REGISTRO!A147)</f>
        <v/>
      </c>
      <c r="B147" s="74">
        <f>IF(REGISTRO!B147="","",REGISTRO!B147)</f>
        <v/>
      </c>
      <c r="C147" s="74">
        <f>IF(REGISTRO!B147="","",REGISTRO!C147)</f>
        <v/>
      </c>
      <c r="D147" s="74">
        <f>IF(REGISTRO!B147="","",REGISTRO!D147)</f>
        <v/>
      </c>
      <c r="E147" s="74">
        <f>IF(REGISTRO!B147="","",REGISTRO!E147)</f>
        <v/>
      </c>
      <c r="F147" s="74">
        <f>IF(REGISTRO!B147="","",REGISTRO!F147)</f>
        <v/>
      </c>
      <c r="G147" s="74">
        <f>IF(REGISTRO!B147="","",REGISTRO!G147)</f>
        <v/>
      </c>
      <c r="H147" s="74">
        <f>IF(REGISTRO!B147="","",REGISTRO!I147)</f>
        <v/>
      </c>
      <c r="I147" s="74">
        <f>IF(REGISTRO!B147="","",REGISTRO!J147)</f>
        <v/>
      </c>
      <c r="J147" s="74">
        <f>IF(REGISTRO!B147="","",REGISTRO!K147)</f>
        <v/>
      </c>
      <c r="K147" s="74">
        <f>IF(REGISTRO!B147="","",REGISTRO!N147)</f>
        <v/>
      </c>
      <c r="L147" s="75">
        <f>IF(REGISTRO!B147="","",REGISTRO!R147)</f>
        <v/>
      </c>
      <c r="M147" s="74">
        <f>IF(REGISTRO!B147="","",REGISTRO!S147)</f>
        <v/>
      </c>
    </row>
    <row r="148">
      <c r="A148" s="74">
        <f>IF(REGISTRO!B148="","",REGISTRO!A148)</f>
        <v/>
      </c>
      <c r="B148" s="74">
        <f>IF(REGISTRO!B148="","",REGISTRO!B148)</f>
        <v/>
      </c>
      <c r="C148" s="74">
        <f>IF(REGISTRO!B148="","",REGISTRO!C148)</f>
        <v/>
      </c>
      <c r="D148" s="74">
        <f>IF(REGISTRO!B148="","",REGISTRO!D148)</f>
        <v/>
      </c>
      <c r="E148" s="74">
        <f>IF(REGISTRO!B148="","",REGISTRO!E148)</f>
        <v/>
      </c>
      <c r="F148" s="74">
        <f>IF(REGISTRO!B148="","",REGISTRO!F148)</f>
        <v/>
      </c>
      <c r="G148" s="74">
        <f>IF(REGISTRO!B148="","",REGISTRO!G148)</f>
        <v/>
      </c>
      <c r="H148" s="74">
        <f>IF(REGISTRO!B148="","",REGISTRO!I148)</f>
        <v/>
      </c>
      <c r="I148" s="74">
        <f>IF(REGISTRO!B148="","",REGISTRO!J148)</f>
        <v/>
      </c>
      <c r="J148" s="74">
        <f>IF(REGISTRO!B148="","",REGISTRO!K148)</f>
        <v/>
      </c>
      <c r="K148" s="74">
        <f>IF(REGISTRO!B148="","",REGISTRO!N148)</f>
        <v/>
      </c>
      <c r="L148" s="75">
        <f>IF(REGISTRO!B148="","",REGISTRO!R148)</f>
        <v/>
      </c>
      <c r="M148" s="74">
        <f>IF(REGISTRO!B148="","",REGISTRO!S148)</f>
        <v/>
      </c>
    </row>
    <row r="149">
      <c r="A149" s="74">
        <f>IF(REGISTRO!B149="","",REGISTRO!A149)</f>
        <v/>
      </c>
      <c r="B149" s="74">
        <f>IF(REGISTRO!B149="","",REGISTRO!B149)</f>
        <v/>
      </c>
      <c r="C149" s="74">
        <f>IF(REGISTRO!B149="","",REGISTRO!C149)</f>
        <v/>
      </c>
      <c r="D149" s="74">
        <f>IF(REGISTRO!B149="","",REGISTRO!D149)</f>
        <v/>
      </c>
      <c r="E149" s="74">
        <f>IF(REGISTRO!B149="","",REGISTRO!E149)</f>
        <v/>
      </c>
      <c r="F149" s="74">
        <f>IF(REGISTRO!B149="","",REGISTRO!F149)</f>
        <v/>
      </c>
      <c r="G149" s="74">
        <f>IF(REGISTRO!B149="","",REGISTRO!G149)</f>
        <v/>
      </c>
      <c r="H149" s="74">
        <f>IF(REGISTRO!B149="","",REGISTRO!I149)</f>
        <v/>
      </c>
      <c r="I149" s="74">
        <f>IF(REGISTRO!B149="","",REGISTRO!J149)</f>
        <v/>
      </c>
      <c r="J149" s="74">
        <f>IF(REGISTRO!B149="","",REGISTRO!K149)</f>
        <v/>
      </c>
      <c r="K149" s="74">
        <f>IF(REGISTRO!B149="","",REGISTRO!N149)</f>
        <v/>
      </c>
      <c r="L149" s="75">
        <f>IF(REGISTRO!B149="","",REGISTRO!R149)</f>
        <v/>
      </c>
      <c r="M149" s="74">
        <f>IF(REGISTRO!B149="","",REGISTRO!S149)</f>
        <v/>
      </c>
    </row>
    <row r="150">
      <c r="A150" s="74">
        <f>IF(REGISTRO!B150="","",REGISTRO!A150)</f>
        <v/>
      </c>
      <c r="B150" s="74">
        <f>IF(REGISTRO!B150="","",REGISTRO!B150)</f>
        <v/>
      </c>
      <c r="C150" s="74">
        <f>IF(REGISTRO!B150="","",REGISTRO!C150)</f>
        <v/>
      </c>
      <c r="D150" s="74">
        <f>IF(REGISTRO!B150="","",REGISTRO!D150)</f>
        <v/>
      </c>
      <c r="E150" s="74">
        <f>IF(REGISTRO!B150="","",REGISTRO!E150)</f>
        <v/>
      </c>
      <c r="F150" s="74">
        <f>IF(REGISTRO!B150="","",REGISTRO!F150)</f>
        <v/>
      </c>
      <c r="G150" s="74">
        <f>IF(REGISTRO!B150="","",REGISTRO!G150)</f>
        <v/>
      </c>
      <c r="H150" s="74">
        <f>IF(REGISTRO!B150="","",REGISTRO!I150)</f>
        <v/>
      </c>
      <c r="I150" s="74">
        <f>IF(REGISTRO!B150="","",REGISTRO!J150)</f>
        <v/>
      </c>
      <c r="J150" s="74">
        <f>IF(REGISTRO!B150="","",REGISTRO!K150)</f>
        <v/>
      </c>
      <c r="K150" s="74">
        <f>IF(REGISTRO!B150="","",REGISTRO!N150)</f>
        <v/>
      </c>
      <c r="L150" s="75">
        <f>IF(REGISTRO!B150="","",REGISTRO!R150)</f>
        <v/>
      </c>
      <c r="M150" s="74">
        <f>IF(REGISTRO!B150="","",REGISTRO!S150)</f>
        <v/>
      </c>
    </row>
    <row r="151">
      <c r="A151" s="74">
        <f>IF(REGISTRO!B151="","",REGISTRO!A151)</f>
        <v/>
      </c>
      <c r="B151" s="74">
        <f>IF(REGISTRO!B151="","",REGISTRO!B151)</f>
        <v/>
      </c>
      <c r="C151" s="74">
        <f>IF(REGISTRO!B151="","",REGISTRO!C151)</f>
        <v/>
      </c>
      <c r="D151" s="74">
        <f>IF(REGISTRO!B151="","",REGISTRO!D151)</f>
        <v/>
      </c>
      <c r="E151" s="74">
        <f>IF(REGISTRO!B151="","",REGISTRO!E151)</f>
        <v/>
      </c>
      <c r="F151" s="74">
        <f>IF(REGISTRO!B151="","",REGISTRO!F151)</f>
        <v/>
      </c>
      <c r="G151" s="74">
        <f>IF(REGISTRO!B151="","",REGISTRO!G151)</f>
        <v/>
      </c>
      <c r="H151" s="74">
        <f>IF(REGISTRO!B151="","",REGISTRO!I151)</f>
        <v/>
      </c>
      <c r="I151" s="74">
        <f>IF(REGISTRO!B151="","",REGISTRO!J151)</f>
        <v/>
      </c>
      <c r="J151" s="74">
        <f>IF(REGISTRO!B151="","",REGISTRO!K151)</f>
        <v/>
      </c>
      <c r="K151" s="74">
        <f>IF(REGISTRO!B151="","",REGISTRO!N151)</f>
        <v/>
      </c>
      <c r="L151" s="75">
        <f>IF(REGISTRO!B151="","",REGISTRO!R151)</f>
        <v/>
      </c>
      <c r="M151" s="74">
        <f>IF(REGISTRO!B151="","",REGISTRO!S151)</f>
        <v/>
      </c>
    </row>
    <row r="152">
      <c r="A152" s="74">
        <f>IF(REGISTRO!B152="","",REGISTRO!A152)</f>
        <v/>
      </c>
      <c r="B152" s="74">
        <f>IF(REGISTRO!B152="","",REGISTRO!B152)</f>
        <v/>
      </c>
      <c r="C152" s="74">
        <f>IF(REGISTRO!B152="","",REGISTRO!C152)</f>
        <v/>
      </c>
      <c r="D152" s="74">
        <f>IF(REGISTRO!B152="","",REGISTRO!D152)</f>
        <v/>
      </c>
      <c r="E152" s="74">
        <f>IF(REGISTRO!B152="","",REGISTRO!E152)</f>
        <v/>
      </c>
      <c r="F152" s="74">
        <f>IF(REGISTRO!B152="","",REGISTRO!F152)</f>
        <v/>
      </c>
      <c r="G152" s="74">
        <f>IF(REGISTRO!B152="","",REGISTRO!G152)</f>
        <v/>
      </c>
      <c r="H152" s="74">
        <f>IF(REGISTRO!B152="","",REGISTRO!I152)</f>
        <v/>
      </c>
      <c r="I152" s="74">
        <f>IF(REGISTRO!B152="","",REGISTRO!J152)</f>
        <v/>
      </c>
      <c r="J152" s="74">
        <f>IF(REGISTRO!B152="","",REGISTRO!K152)</f>
        <v/>
      </c>
      <c r="K152" s="74">
        <f>IF(REGISTRO!B152="","",REGISTRO!N152)</f>
        <v/>
      </c>
      <c r="L152" s="75">
        <f>IF(REGISTRO!B152="","",REGISTRO!R152)</f>
        <v/>
      </c>
      <c r="M152" s="74">
        <f>IF(REGISTRO!B152="","",REGISTRO!S152)</f>
        <v/>
      </c>
    </row>
    <row r="153">
      <c r="A153" s="74">
        <f>IF(REGISTRO!B153="","",REGISTRO!A153)</f>
        <v/>
      </c>
      <c r="B153" s="74">
        <f>IF(REGISTRO!B153="","",REGISTRO!B153)</f>
        <v/>
      </c>
      <c r="C153" s="74">
        <f>IF(REGISTRO!B153="","",REGISTRO!C153)</f>
        <v/>
      </c>
      <c r="D153" s="74">
        <f>IF(REGISTRO!B153="","",REGISTRO!D153)</f>
        <v/>
      </c>
      <c r="E153" s="74">
        <f>IF(REGISTRO!B153="","",REGISTRO!E153)</f>
        <v/>
      </c>
      <c r="F153" s="74">
        <f>IF(REGISTRO!B153="","",REGISTRO!F153)</f>
        <v/>
      </c>
      <c r="G153" s="74">
        <f>IF(REGISTRO!B153="","",REGISTRO!G153)</f>
        <v/>
      </c>
      <c r="H153" s="74">
        <f>IF(REGISTRO!B153="","",REGISTRO!I153)</f>
        <v/>
      </c>
      <c r="I153" s="74">
        <f>IF(REGISTRO!B153="","",REGISTRO!J153)</f>
        <v/>
      </c>
      <c r="J153" s="74">
        <f>IF(REGISTRO!B153="","",REGISTRO!K153)</f>
        <v/>
      </c>
      <c r="K153" s="74">
        <f>IF(REGISTRO!B153="","",REGISTRO!N153)</f>
        <v/>
      </c>
      <c r="L153" s="75">
        <f>IF(REGISTRO!B153="","",REGISTRO!R153)</f>
        <v/>
      </c>
      <c r="M153" s="74">
        <f>IF(REGISTRO!B153="","",REGISTRO!S153)</f>
        <v/>
      </c>
    </row>
    <row r="154">
      <c r="A154" s="74">
        <f>IF(REGISTRO!B154="","",REGISTRO!A154)</f>
        <v/>
      </c>
      <c r="B154" s="74">
        <f>IF(REGISTRO!B154="","",REGISTRO!B154)</f>
        <v/>
      </c>
      <c r="C154" s="74">
        <f>IF(REGISTRO!B154="","",REGISTRO!C154)</f>
        <v/>
      </c>
      <c r="D154" s="74">
        <f>IF(REGISTRO!B154="","",REGISTRO!D154)</f>
        <v/>
      </c>
      <c r="E154" s="74">
        <f>IF(REGISTRO!B154="","",REGISTRO!E154)</f>
        <v/>
      </c>
      <c r="F154" s="74">
        <f>IF(REGISTRO!B154="","",REGISTRO!F154)</f>
        <v/>
      </c>
      <c r="G154" s="74">
        <f>IF(REGISTRO!B154="","",REGISTRO!G154)</f>
        <v/>
      </c>
      <c r="H154" s="74">
        <f>IF(REGISTRO!B154="","",REGISTRO!I154)</f>
        <v/>
      </c>
      <c r="I154" s="74">
        <f>IF(REGISTRO!B154="","",REGISTRO!J154)</f>
        <v/>
      </c>
      <c r="J154" s="74">
        <f>IF(REGISTRO!B154="","",REGISTRO!K154)</f>
        <v/>
      </c>
      <c r="K154" s="74">
        <f>IF(REGISTRO!B154="","",REGISTRO!N154)</f>
        <v/>
      </c>
      <c r="L154" s="75">
        <f>IF(REGISTRO!B154="","",REGISTRO!R154)</f>
        <v/>
      </c>
      <c r="M154" s="74">
        <f>IF(REGISTRO!B154="","",REGISTRO!S154)</f>
        <v/>
      </c>
    </row>
    <row r="155">
      <c r="A155" s="74">
        <f>IF(REGISTRO!B155="","",REGISTRO!A155)</f>
        <v/>
      </c>
      <c r="B155" s="74">
        <f>IF(REGISTRO!B155="","",REGISTRO!B155)</f>
        <v/>
      </c>
      <c r="C155" s="74">
        <f>IF(REGISTRO!B155="","",REGISTRO!C155)</f>
        <v/>
      </c>
      <c r="D155" s="74">
        <f>IF(REGISTRO!B155="","",REGISTRO!D155)</f>
        <v/>
      </c>
      <c r="E155" s="74">
        <f>IF(REGISTRO!B155="","",REGISTRO!E155)</f>
        <v/>
      </c>
      <c r="F155" s="74">
        <f>IF(REGISTRO!B155="","",REGISTRO!F155)</f>
        <v/>
      </c>
      <c r="G155" s="74">
        <f>IF(REGISTRO!B155="","",REGISTRO!G155)</f>
        <v/>
      </c>
      <c r="H155" s="74">
        <f>IF(REGISTRO!B155="","",REGISTRO!I155)</f>
        <v/>
      </c>
      <c r="I155" s="74">
        <f>IF(REGISTRO!B155="","",REGISTRO!J155)</f>
        <v/>
      </c>
      <c r="J155" s="74">
        <f>IF(REGISTRO!B155="","",REGISTRO!K155)</f>
        <v/>
      </c>
      <c r="K155" s="74">
        <f>IF(REGISTRO!B155="","",REGISTRO!N155)</f>
        <v/>
      </c>
      <c r="L155" s="75">
        <f>IF(REGISTRO!B155="","",REGISTRO!R155)</f>
        <v/>
      </c>
      <c r="M155" s="74">
        <f>IF(REGISTRO!B155="","",REGISTRO!S155)</f>
        <v/>
      </c>
    </row>
    <row r="156">
      <c r="A156" s="74">
        <f>IF(REGISTRO!B156="","",REGISTRO!A156)</f>
        <v/>
      </c>
      <c r="B156" s="74">
        <f>IF(REGISTRO!B156="","",REGISTRO!B156)</f>
        <v/>
      </c>
      <c r="C156" s="74">
        <f>IF(REGISTRO!B156="","",REGISTRO!C156)</f>
        <v/>
      </c>
      <c r="D156" s="74">
        <f>IF(REGISTRO!B156="","",REGISTRO!D156)</f>
        <v/>
      </c>
      <c r="E156" s="74">
        <f>IF(REGISTRO!B156="","",REGISTRO!E156)</f>
        <v/>
      </c>
      <c r="F156" s="74">
        <f>IF(REGISTRO!B156="","",REGISTRO!F156)</f>
        <v/>
      </c>
      <c r="G156" s="74">
        <f>IF(REGISTRO!B156="","",REGISTRO!G156)</f>
        <v/>
      </c>
      <c r="H156" s="74">
        <f>IF(REGISTRO!B156="","",REGISTRO!I156)</f>
        <v/>
      </c>
      <c r="I156" s="74">
        <f>IF(REGISTRO!B156="","",REGISTRO!J156)</f>
        <v/>
      </c>
      <c r="J156" s="74">
        <f>IF(REGISTRO!B156="","",REGISTRO!K156)</f>
        <v/>
      </c>
      <c r="K156" s="74">
        <f>IF(REGISTRO!B156="","",REGISTRO!N156)</f>
        <v/>
      </c>
      <c r="L156" s="75">
        <f>IF(REGISTRO!B156="","",REGISTRO!R156)</f>
        <v/>
      </c>
      <c r="M156" s="74">
        <f>IF(REGISTRO!B156="","",REGISTRO!S156)</f>
        <v/>
      </c>
    </row>
    <row r="157">
      <c r="A157" s="74">
        <f>IF(REGISTRO!B157="","",REGISTRO!A157)</f>
        <v/>
      </c>
      <c r="B157" s="74">
        <f>IF(REGISTRO!B157="","",REGISTRO!B157)</f>
        <v/>
      </c>
      <c r="C157" s="74">
        <f>IF(REGISTRO!B157="","",REGISTRO!C157)</f>
        <v/>
      </c>
      <c r="D157" s="74">
        <f>IF(REGISTRO!B157="","",REGISTRO!D157)</f>
        <v/>
      </c>
      <c r="E157" s="74">
        <f>IF(REGISTRO!B157="","",REGISTRO!E157)</f>
        <v/>
      </c>
      <c r="F157" s="74">
        <f>IF(REGISTRO!B157="","",REGISTRO!F157)</f>
        <v/>
      </c>
      <c r="G157" s="74">
        <f>IF(REGISTRO!B157="","",REGISTRO!G157)</f>
        <v/>
      </c>
      <c r="H157" s="74">
        <f>IF(REGISTRO!B157="","",REGISTRO!I157)</f>
        <v/>
      </c>
      <c r="I157" s="74">
        <f>IF(REGISTRO!B157="","",REGISTRO!J157)</f>
        <v/>
      </c>
      <c r="J157" s="74">
        <f>IF(REGISTRO!B157="","",REGISTRO!K157)</f>
        <v/>
      </c>
      <c r="K157" s="74">
        <f>IF(REGISTRO!B157="","",REGISTRO!N157)</f>
        <v/>
      </c>
      <c r="L157" s="75">
        <f>IF(REGISTRO!B157="","",REGISTRO!R157)</f>
        <v/>
      </c>
      <c r="M157" s="74">
        <f>IF(REGISTRO!B157="","",REGISTRO!S157)</f>
        <v/>
      </c>
    </row>
    <row r="158">
      <c r="A158" s="74">
        <f>IF(REGISTRO!B158="","",REGISTRO!A158)</f>
        <v/>
      </c>
      <c r="B158" s="74">
        <f>IF(REGISTRO!B158="","",REGISTRO!B158)</f>
        <v/>
      </c>
      <c r="C158" s="74">
        <f>IF(REGISTRO!B158="","",REGISTRO!C158)</f>
        <v/>
      </c>
      <c r="D158" s="74">
        <f>IF(REGISTRO!B158="","",REGISTRO!D158)</f>
        <v/>
      </c>
      <c r="E158" s="74">
        <f>IF(REGISTRO!B158="","",REGISTRO!E158)</f>
        <v/>
      </c>
      <c r="F158" s="74">
        <f>IF(REGISTRO!B158="","",REGISTRO!F158)</f>
        <v/>
      </c>
      <c r="G158" s="74">
        <f>IF(REGISTRO!B158="","",REGISTRO!G158)</f>
        <v/>
      </c>
      <c r="H158" s="74">
        <f>IF(REGISTRO!B158="","",REGISTRO!I158)</f>
        <v/>
      </c>
      <c r="I158" s="74">
        <f>IF(REGISTRO!B158="","",REGISTRO!J158)</f>
        <v/>
      </c>
      <c r="J158" s="74">
        <f>IF(REGISTRO!B158="","",REGISTRO!K158)</f>
        <v/>
      </c>
      <c r="K158" s="74">
        <f>IF(REGISTRO!B158="","",REGISTRO!N158)</f>
        <v/>
      </c>
      <c r="L158" s="75">
        <f>IF(REGISTRO!B158="","",REGISTRO!R158)</f>
        <v/>
      </c>
      <c r="M158" s="74">
        <f>IF(REGISTRO!B158="","",REGISTRO!S158)</f>
        <v/>
      </c>
    </row>
    <row r="159">
      <c r="A159" s="74">
        <f>IF(REGISTRO!B159="","",REGISTRO!A159)</f>
        <v/>
      </c>
      <c r="B159" s="74">
        <f>IF(REGISTRO!B159="","",REGISTRO!B159)</f>
        <v/>
      </c>
      <c r="C159" s="74">
        <f>IF(REGISTRO!B159="","",REGISTRO!C159)</f>
        <v/>
      </c>
      <c r="D159" s="74">
        <f>IF(REGISTRO!B159="","",REGISTRO!D159)</f>
        <v/>
      </c>
      <c r="E159" s="74">
        <f>IF(REGISTRO!B159="","",REGISTRO!E159)</f>
        <v/>
      </c>
      <c r="F159" s="74">
        <f>IF(REGISTRO!B159="","",REGISTRO!F159)</f>
        <v/>
      </c>
      <c r="G159" s="74">
        <f>IF(REGISTRO!B159="","",REGISTRO!G159)</f>
        <v/>
      </c>
      <c r="H159" s="74">
        <f>IF(REGISTRO!B159="","",REGISTRO!I159)</f>
        <v/>
      </c>
      <c r="I159" s="74">
        <f>IF(REGISTRO!B159="","",REGISTRO!J159)</f>
        <v/>
      </c>
      <c r="J159" s="74">
        <f>IF(REGISTRO!B159="","",REGISTRO!K159)</f>
        <v/>
      </c>
      <c r="K159" s="74">
        <f>IF(REGISTRO!B159="","",REGISTRO!N159)</f>
        <v/>
      </c>
      <c r="L159" s="75">
        <f>IF(REGISTRO!B159="","",REGISTRO!R159)</f>
        <v/>
      </c>
      <c r="M159" s="74">
        <f>IF(REGISTRO!B159="","",REGISTRO!S159)</f>
        <v/>
      </c>
    </row>
    <row r="160">
      <c r="A160" s="74">
        <f>IF(REGISTRO!B160="","",REGISTRO!A160)</f>
        <v/>
      </c>
      <c r="B160" s="74">
        <f>IF(REGISTRO!B160="","",REGISTRO!B160)</f>
        <v/>
      </c>
      <c r="C160" s="74">
        <f>IF(REGISTRO!B160="","",REGISTRO!C160)</f>
        <v/>
      </c>
      <c r="D160" s="74">
        <f>IF(REGISTRO!B160="","",REGISTRO!D160)</f>
        <v/>
      </c>
      <c r="E160" s="74">
        <f>IF(REGISTRO!B160="","",REGISTRO!E160)</f>
        <v/>
      </c>
      <c r="F160" s="74">
        <f>IF(REGISTRO!B160="","",REGISTRO!F160)</f>
        <v/>
      </c>
      <c r="G160" s="74">
        <f>IF(REGISTRO!B160="","",REGISTRO!G160)</f>
        <v/>
      </c>
      <c r="H160" s="74">
        <f>IF(REGISTRO!B160="","",REGISTRO!I160)</f>
        <v/>
      </c>
      <c r="I160" s="74">
        <f>IF(REGISTRO!B160="","",REGISTRO!J160)</f>
        <v/>
      </c>
      <c r="J160" s="74">
        <f>IF(REGISTRO!B160="","",REGISTRO!K160)</f>
        <v/>
      </c>
      <c r="K160" s="74">
        <f>IF(REGISTRO!B160="","",REGISTRO!N160)</f>
        <v/>
      </c>
      <c r="L160" s="75">
        <f>IF(REGISTRO!B160="","",REGISTRO!R160)</f>
        <v/>
      </c>
      <c r="M160" s="74">
        <f>IF(REGISTRO!B160="","",REGISTRO!S160)</f>
        <v/>
      </c>
    </row>
    <row r="161">
      <c r="A161" s="74">
        <f>IF(REGISTRO!B161="","",REGISTRO!A161)</f>
        <v/>
      </c>
      <c r="B161" s="74">
        <f>IF(REGISTRO!B161="","",REGISTRO!B161)</f>
        <v/>
      </c>
      <c r="C161" s="74">
        <f>IF(REGISTRO!B161="","",REGISTRO!C161)</f>
        <v/>
      </c>
      <c r="D161" s="74">
        <f>IF(REGISTRO!B161="","",REGISTRO!D161)</f>
        <v/>
      </c>
      <c r="E161" s="74">
        <f>IF(REGISTRO!B161="","",REGISTRO!E161)</f>
        <v/>
      </c>
      <c r="F161" s="74">
        <f>IF(REGISTRO!B161="","",REGISTRO!F161)</f>
        <v/>
      </c>
      <c r="G161" s="74">
        <f>IF(REGISTRO!B161="","",REGISTRO!G161)</f>
        <v/>
      </c>
      <c r="H161" s="74">
        <f>IF(REGISTRO!B161="","",REGISTRO!I161)</f>
        <v/>
      </c>
      <c r="I161" s="74">
        <f>IF(REGISTRO!B161="","",REGISTRO!J161)</f>
        <v/>
      </c>
      <c r="J161" s="74">
        <f>IF(REGISTRO!B161="","",REGISTRO!K161)</f>
        <v/>
      </c>
      <c r="K161" s="74">
        <f>IF(REGISTRO!B161="","",REGISTRO!N161)</f>
        <v/>
      </c>
      <c r="L161" s="75">
        <f>IF(REGISTRO!B161="","",REGISTRO!R161)</f>
        <v/>
      </c>
      <c r="M161" s="74">
        <f>IF(REGISTRO!B161="","",REGISTRO!S161)</f>
        <v/>
      </c>
    </row>
    <row r="162">
      <c r="A162" s="74">
        <f>IF(REGISTRO!B162="","",REGISTRO!A162)</f>
        <v/>
      </c>
      <c r="B162" s="74">
        <f>IF(REGISTRO!B162="","",REGISTRO!B162)</f>
        <v/>
      </c>
      <c r="C162" s="74">
        <f>IF(REGISTRO!B162="","",REGISTRO!C162)</f>
        <v/>
      </c>
      <c r="D162" s="74">
        <f>IF(REGISTRO!B162="","",REGISTRO!D162)</f>
        <v/>
      </c>
      <c r="E162" s="74">
        <f>IF(REGISTRO!B162="","",REGISTRO!E162)</f>
        <v/>
      </c>
      <c r="F162" s="74">
        <f>IF(REGISTRO!B162="","",REGISTRO!F162)</f>
        <v/>
      </c>
      <c r="G162" s="74">
        <f>IF(REGISTRO!B162="","",REGISTRO!G162)</f>
        <v/>
      </c>
      <c r="H162" s="74">
        <f>IF(REGISTRO!B162="","",REGISTRO!I162)</f>
        <v/>
      </c>
      <c r="I162" s="74">
        <f>IF(REGISTRO!B162="","",REGISTRO!J162)</f>
        <v/>
      </c>
      <c r="J162" s="74">
        <f>IF(REGISTRO!B162="","",REGISTRO!K162)</f>
        <v/>
      </c>
      <c r="K162" s="74">
        <f>IF(REGISTRO!B162="","",REGISTRO!N162)</f>
        <v/>
      </c>
      <c r="L162" s="75">
        <f>IF(REGISTRO!B162="","",REGISTRO!R162)</f>
        <v/>
      </c>
      <c r="M162" s="74">
        <f>IF(REGISTRO!B162="","",REGISTRO!S162)</f>
        <v/>
      </c>
    </row>
    <row r="163">
      <c r="A163" s="74">
        <f>IF(REGISTRO!B163="","",REGISTRO!A163)</f>
        <v/>
      </c>
      <c r="B163" s="74">
        <f>IF(REGISTRO!B163="","",REGISTRO!B163)</f>
        <v/>
      </c>
      <c r="C163" s="74">
        <f>IF(REGISTRO!B163="","",REGISTRO!C163)</f>
        <v/>
      </c>
      <c r="D163" s="74">
        <f>IF(REGISTRO!B163="","",REGISTRO!D163)</f>
        <v/>
      </c>
      <c r="E163" s="74">
        <f>IF(REGISTRO!B163="","",REGISTRO!E163)</f>
        <v/>
      </c>
      <c r="F163" s="74">
        <f>IF(REGISTRO!B163="","",REGISTRO!F163)</f>
        <v/>
      </c>
      <c r="G163" s="74">
        <f>IF(REGISTRO!B163="","",REGISTRO!G163)</f>
        <v/>
      </c>
      <c r="H163" s="74">
        <f>IF(REGISTRO!B163="","",REGISTRO!I163)</f>
        <v/>
      </c>
      <c r="I163" s="74">
        <f>IF(REGISTRO!B163="","",REGISTRO!J163)</f>
        <v/>
      </c>
      <c r="J163" s="74">
        <f>IF(REGISTRO!B163="","",REGISTRO!K163)</f>
        <v/>
      </c>
      <c r="K163" s="74">
        <f>IF(REGISTRO!B163="","",REGISTRO!N163)</f>
        <v/>
      </c>
      <c r="L163" s="75">
        <f>IF(REGISTRO!B163="","",REGISTRO!R163)</f>
        <v/>
      </c>
      <c r="M163" s="74">
        <f>IF(REGISTRO!B163="","",REGISTRO!S163)</f>
        <v/>
      </c>
    </row>
    <row r="164">
      <c r="A164" s="74">
        <f>IF(REGISTRO!B164="","",REGISTRO!A164)</f>
        <v/>
      </c>
      <c r="B164" s="74">
        <f>IF(REGISTRO!B164="","",REGISTRO!B164)</f>
        <v/>
      </c>
      <c r="C164" s="74">
        <f>IF(REGISTRO!B164="","",REGISTRO!C164)</f>
        <v/>
      </c>
      <c r="D164" s="74">
        <f>IF(REGISTRO!B164="","",REGISTRO!D164)</f>
        <v/>
      </c>
      <c r="E164" s="74">
        <f>IF(REGISTRO!B164="","",REGISTRO!E164)</f>
        <v/>
      </c>
      <c r="F164" s="74">
        <f>IF(REGISTRO!B164="","",REGISTRO!F164)</f>
        <v/>
      </c>
      <c r="G164" s="74">
        <f>IF(REGISTRO!B164="","",REGISTRO!G164)</f>
        <v/>
      </c>
      <c r="H164" s="74">
        <f>IF(REGISTRO!B164="","",REGISTRO!I164)</f>
        <v/>
      </c>
      <c r="I164" s="74">
        <f>IF(REGISTRO!B164="","",REGISTRO!J164)</f>
        <v/>
      </c>
      <c r="J164" s="74">
        <f>IF(REGISTRO!B164="","",REGISTRO!K164)</f>
        <v/>
      </c>
      <c r="K164" s="74">
        <f>IF(REGISTRO!B164="","",REGISTRO!N164)</f>
        <v/>
      </c>
      <c r="L164" s="75">
        <f>IF(REGISTRO!B164="","",REGISTRO!R164)</f>
        <v/>
      </c>
      <c r="M164" s="74">
        <f>IF(REGISTRO!B164="","",REGISTRO!S164)</f>
        <v/>
      </c>
    </row>
    <row r="165">
      <c r="A165" s="74">
        <f>IF(REGISTRO!B165="","",REGISTRO!A165)</f>
        <v/>
      </c>
      <c r="B165" s="74">
        <f>IF(REGISTRO!B165="","",REGISTRO!B165)</f>
        <v/>
      </c>
      <c r="C165" s="74">
        <f>IF(REGISTRO!B165="","",REGISTRO!C165)</f>
        <v/>
      </c>
      <c r="D165" s="74">
        <f>IF(REGISTRO!B165="","",REGISTRO!D165)</f>
        <v/>
      </c>
      <c r="E165" s="74">
        <f>IF(REGISTRO!B165="","",REGISTRO!E165)</f>
        <v/>
      </c>
      <c r="F165" s="74">
        <f>IF(REGISTRO!B165="","",REGISTRO!F165)</f>
        <v/>
      </c>
      <c r="G165" s="74">
        <f>IF(REGISTRO!B165="","",REGISTRO!G165)</f>
        <v/>
      </c>
      <c r="H165" s="74">
        <f>IF(REGISTRO!B165="","",REGISTRO!I165)</f>
        <v/>
      </c>
      <c r="I165" s="74">
        <f>IF(REGISTRO!B165="","",REGISTRO!J165)</f>
        <v/>
      </c>
      <c r="J165" s="74">
        <f>IF(REGISTRO!B165="","",REGISTRO!K165)</f>
        <v/>
      </c>
      <c r="K165" s="74">
        <f>IF(REGISTRO!B165="","",REGISTRO!N165)</f>
        <v/>
      </c>
      <c r="L165" s="75">
        <f>IF(REGISTRO!B165="","",REGISTRO!R165)</f>
        <v/>
      </c>
      <c r="M165" s="74">
        <f>IF(REGISTRO!B165="","",REGISTRO!S165)</f>
        <v/>
      </c>
    </row>
    <row r="166">
      <c r="A166" s="74">
        <f>IF(REGISTRO!B166="","",REGISTRO!A166)</f>
        <v/>
      </c>
      <c r="B166" s="74">
        <f>IF(REGISTRO!B166="","",REGISTRO!B166)</f>
        <v/>
      </c>
      <c r="C166" s="74">
        <f>IF(REGISTRO!B166="","",REGISTRO!C166)</f>
        <v/>
      </c>
      <c r="D166" s="74">
        <f>IF(REGISTRO!B166="","",REGISTRO!D166)</f>
        <v/>
      </c>
      <c r="E166" s="74">
        <f>IF(REGISTRO!B166="","",REGISTRO!E166)</f>
        <v/>
      </c>
      <c r="F166" s="74">
        <f>IF(REGISTRO!B166="","",REGISTRO!F166)</f>
        <v/>
      </c>
      <c r="G166" s="74">
        <f>IF(REGISTRO!B166="","",REGISTRO!G166)</f>
        <v/>
      </c>
      <c r="H166" s="74">
        <f>IF(REGISTRO!B166="","",REGISTRO!I166)</f>
        <v/>
      </c>
      <c r="I166" s="74">
        <f>IF(REGISTRO!B166="","",REGISTRO!J166)</f>
        <v/>
      </c>
      <c r="J166" s="74">
        <f>IF(REGISTRO!B166="","",REGISTRO!K166)</f>
        <v/>
      </c>
      <c r="K166" s="74">
        <f>IF(REGISTRO!B166="","",REGISTRO!N166)</f>
        <v/>
      </c>
      <c r="L166" s="75">
        <f>IF(REGISTRO!B166="","",REGISTRO!R166)</f>
        <v/>
      </c>
      <c r="M166" s="74">
        <f>IF(REGISTRO!B166="","",REGISTRO!S166)</f>
        <v/>
      </c>
    </row>
    <row r="167">
      <c r="A167" s="74">
        <f>IF(REGISTRO!B167="","",REGISTRO!A167)</f>
        <v/>
      </c>
      <c r="B167" s="74">
        <f>IF(REGISTRO!B167="","",REGISTRO!B167)</f>
        <v/>
      </c>
      <c r="C167" s="74">
        <f>IF(REGISTRO!B167="","",REGISTRO!C167)</f>
        <v/>
      </c>
      <c r="D167" s="74">
        <f>IF(REGISTRO!B167="","",REGISTRO!D167)</f>
        <v/>
      </c>
      <c r="E167" s="74">
        <f>IF(REGISTRO!B167="","",REGISTRO!E167)</f>
        <v/>
      </c>
      <c r="F167" s="74">
        <f>IF(REGISTRO!B167="","",REGISTRO!F167)</f>
        <v/>
      </c>
      <c r="G167" s="74">
        <f>IF(REGISTRO!B167="","",REGISTRO!G167)</f>
        <v/>
      </c>
      <c r="H167" s="74">
        <f>IF(REGISTRO!B167="","",REGISTRO!I167)</f>
        <v/>
      </c>
      <c r="I167" s="74">
        <f>IF(REGISTRO!B167="","",REGISTRO!J167)</f>
        <v/>
      </c>
      <c r="J167" s="74">
        <f>IF(REGISTRO!B167="","",REGISTRO!K167)</f>
        <v/>
      </c>
      <c r="K167" s="74">
        <f>IF(REGISTRO!B167="","",REGISTRO!N167)</f>
        <v/>
      </c>
      <c r="L167" s="75">
        <f>IF(REGISTRO!B167="","",REGISTRO!R167)</f>
        <v/>
      </c>
      <c r="M167" s="74">
        <f>IF(REGISTRO!B167="","",REGISTRO!S167)</f>
        <v/>
      </c>
    </row>
    <row r="168">
      <c r="A168" s="74">
        <f>IF(REGISTRO!B168="","",REGISTRO!A168)</f>
        <v/>
      </c>
      <c r="B168" s="74">
        <f>IF(REGISTRO!B168="","",REGISTRO!B168)</f>
        <v/>
      </c>
      <c r="C168" s="74">
        <f>IF(REGISTRO!B168="","",REGISTRO!C168)</f>
        <v/>
      </c>
      <c r="D168" s="74">
        <f>IF(REGISTRO!B168="","",REGISTRO!D168)</f>
        <v/>
      </c>
      <c r="E168" s="74">
        <f>IF(REGISTRO!B168="","",REGISTRO!E168)</f>
        <v/>
      </c>
      <c r="F168" s="74">
        <f>IF(REGISTRO!B168="","",REGISTRO!F168)</f>
        <v/>
      </c>
      <c r="G168" s="74">
        <f>IF(REGISTRO!B168="","",REGISTRO!G168)</f>
        <v/>
      </c>
      <c r="H168" s="74">
        <f>IF(REGISTRO!B168="","",REGISTRO!I168)</f>
        <v/>
      </c>
      <c r="I168" s="74">
        <f>IF(REGISTRO!B168="","",REGISTRO!J168)</f>
        <v/>
      </c>
      <c r="J168" s="74">
        <f>IF(REGISTRO!B168="","",REGISTRO!K168)</f>
        <v/>
      </c>
      <c r="K168" s="74">
        <f>IF(REGISTRO!B168="","",REGISTRO!N168)</f>
        <v/>
      </c>
      <c r="L168" s="75">
        <f>IF(REGISTRO!B168="","",REGISTRO!R168)</f>
        <v/>
      </c>
      <c r="M168" s="74">
        <f>IF(REGISTRO!B168="","",REGISTRO!S168)</f>
        <v/>
      </c>
    </row>
    <row r="169">
      <c r="A169" s="74">
        <f>IF(REGISTRO!B169="","",REGISTRO!A169)</f>
        <v/>
      </c>
      <c r="B169" s="74">
        <f>IF(REGISTRO!B169="","",REGISTRO!B169)</f>
        <v/>
      </c>
      <c r="C169" s="74">
        <f>IF(REGISTRO!B169="","",REGISTRO!C169)</f>
        <v/>
      </c>
      <c r="D169" s="74">
        <f>IF(REGISTRO!B169="","",REGISTRO!D169)</f>
        <v/>
      </c>
      <c r="E169" s="74">
        <f>IF(REGISTRO!B169="","",REGISTRO!E169)</f>
        <v/>
      </c>
      <c r="F169" s="74">
        <f>IF(REGISTRO!B169="","",REGISTRO!F169)</f>
        <v/>
      </c>
      <c r="G169" s="74">
        <f>IF(REGISTRO!B169="","",REGISTRO!G169)</f>
        <v/>
      </c>
      <c r="H169" s="74">
        <f>IF(REGISTRO!B169="","",REGISTRO!I169)</f>
        <v/>
      </c>
      <c r="I169" s="74">
        <f>IF(REGISTRO!B169="","",REGISTRO!J169)</f>
        <v/>
      </c>
      <c r="J169" s="74">
        <f>IF(REGISTRO!B169="","",REGISTRO!K169)</f>
        <v/>
      </c>
      <c r="K169" s="74">
        <f>IF(REGISTRO!B169="","",REGISTRO!N169)</f>
        <v/>
      </c>
      <c r="L169" s="75">
        <f>IF(REGISTRO!B169="","",REGISTRO!R169)</f>
        <v/>
      </c>
      <c r="M169" s="74">
        <f>IF(REGISTRO!B169="","",REGISTRO!S169)</f>
        <v/>
      </c>
    </row>
    <row r="170">
      <c r="A170" s="74">
        <f>IF(REGISTRO!B170="","",REGISTRO!A170)</f>
        <v/>
      </c>
      <c r="B170" s="74">
        <f>IF(REGISTRO!B170="","",REGISTRO!B170)</f>
        <v/>
      </c>
      <c r="C170" s="74">
        <f>IF(REGISTRO!B170="","",REGISTRO!C170)</f>
        <v/>
      </c>
      <c r="D170" s="74">
        <f>IF(REGISTRO!B170="","",REGISTRO!D170)</f>
        <v/>
      </c>
      <c r="E170" s="74">
        <f>IF(REGISTRO!B170="","",REGISTRO!E170)</f>
        <v/>
      </c>
      <c r="F170" s="74">
        <f>IF(REGISTRO!B170="","",REGISTRO!F170)</f>
        <v/>
      </c>
      <c r="G170" s="74">
        <f>IF(REGISTRO!B170="","",REGISTRO!G170)</f>
        <v/>
      </c>
      <c r="H170" s="74">
        <f>IF(REGISTRO!B170="","",REGISTRO!I170)</f>
        <v/>
      </c>
      <c r="I170" s="74">
        <f>IF(REGISTRO!B170="","",REGISTRO!J170)</f>
        <v/>
      </c>
      <c r="J170" s="74">
        <f>IF(REGISTRO!B170="","",REGISTRO!K170)</f>
        <v/>
      </c>
      <c r="K170" s="74">
        <f>IF(REGISTRO!B170="","",REGISTRO!N170)</f>
        <v/>
      </c>
      <c r="L170" s="75">
        <f>IF(REGISTRO!B170="","",REGISTRO!R170)</f>
        <v/>
      </c>
      <c r="M170" s="74">
        <f>IF(REGISTRO!B170="","",REGISTRO!S170)</f>
        <v/>
      </c>
    </row>
    <row r="171">
      <c r="A171" s="74">
        <f>IF(REGISTRO!B171="","",REGISTRO!A171)</f>
        <v/>
      </c>
      <c r="B171" s="74">
        <f>IF(REGISTRO!B171="","",REGISTRO!B171)</f>
        <v/>
      </c>
      <c r="C171" s="74">
        <f>IF(REGISTRO!B171="","",REGISTRO!C171)</f>
        <v/>
      </c>
      <c r="D171" s="74">
        <f>IF(REGISTRO!B171="","",REGISTRO!D171)</f>
        <v/>
      </c>
      <c r="E171" s="74">
        <f>IF(REGISTRO!B171="","",REGISTRO!E171)</f>
        <v/>
      </c>
      <c r="F171" s="74">
        <f>IF(REGISTRO!B171="","",REGISTRO!F171)</f>
        <v/>
      </c>
      <c r="G171" s="74">
        <f>IF(REGISTRO!B171="","",REGISTRO!G171)</f>
        <v/>
      </c>
      <c r="H171" s="74">
        <f>IF(REGISTRO!B171="","",REGISTRO!I171)</f>
        <v/>
      </c>
      <c r="I171" s="74">
        <f>IF(REGISTRO!B171="","",REGISTRO!J171)</f>
        <v/>
      </c>
      <c r="J171" s="74">
        <f>IF(REGISTRO!B171="","",REGISTRO!K171)</f>
        <v/>
      </c>
      <c r="K171" s="74">
        <f>IF(REGISTRO!B171="","",REGISTRO!N171)</f>
        <v/>
      </c>
      <c r="L171" s="75">
        <f>IF(REGISTRO!B171="","",REGISTRO!R171)</f>
        <v/>
      </c>
      <c r="M171" s="74">
        <f>IF(REGISTRO!B171="","",REGISTRO!S171)</f>
        <v/>
      </c>
    </row>
    <row r="172">
      <c r="A172" s="74">
        <f>IF(REGISTRO!B172="","",REGISTRO!A172)</f>
        <v/>
      </c>
      <c r="B172" s="74">
        <f>IF(REGISTRO!B172="","",REGISTRO!B172)</f>
        <v/>
      </c>
      <c r="C172" s="74">
        <f>IF(REGISTRO!B172="","",REGISTRO!C172)</f>
        <v/>
      </c>
      <c r="D172" s="74">
        <f>IF(REGISTRO!B172="","",REGISTRO!D172)</f>
        <v/>
      </c>
      <c r="E172" s="74">
        <f>IF(REGISTRO!B172="","",REGISTRO!E172)</f>
        <v/>
      </c>
      <c r="F172" s="74">
        <f>IF(REGISTRO!B172="","",REGISTRO!F172)</f>
        <v/>
      </c>
      <c r="G172" s="74">
        <f>IF(REGISTRO!B172="","",REGISTRO!G172)</f>
        <v/>
      </c>
      <c r="H172" s="74">
        <f>IF(REGISTRO!B172="","",REGISTRO!I172)</f>
        <v/>
      </c>
      <c r="I172" s="74">
        <f>IF(REGISTRO!B172="","",REGISTRO!J172)</f>
        <v/>
      </c>
      <c r="J172" s="74">
        <f>IF(REGISTRO!B172="","",REGISTRO!K172)</f>
        <v/>
      </c>
      <c r="K172" s="74">
        <f>IF(REGISTRO!B172="","",REGISTRO!N172)</f>
        <v/>
      </c>
      <c r="L172" s="75">
        <f>IF(REGISTRO!B172="","",REGISTRO!R172)</f>
        <v/>
      </c>
      <c r="M172" s="74">
        <f>IF(REGISTRO!B172="","",REGISTRO!S172)</f>
        <v/>
      </c>
    </row>
    <row r="173">
      <c r="A173" s="74">
        <f>IF(REGISTRO!B173="","",REGISTRO!A173)</f>
        <v/>
      </c>
      <c r="B173" s="74">
        <f>IF(REGISTRO!B173="","",REGISTRO!B173)</f>
        <v/>
      </c>
      <c r="C173" s="74">
        <f>IF(REGISTRO!B173="","",REGISTRO!C173)</f>
        <v/>
      </c>
      <c r="D173" s="74">
        <f>IF(REGISTRO!B173="","",REGISTRO!D173)</f>
        <v/>
      </c>
      <c r="E173" s="74">
        <f>IF(REGISTRO!B173="","",REGISTRO!E173)</f>
        <v/>
      </c>
      <c r="F173" s="74">
        <f>IF(REGISTRO!B173="","",REGISTRO!F173)</f>
        <v/>
      </c>
      <c r="G173" s="74">
        <f>IF(REGISTRO!B173="","",REGISTRO!G173)</f>
        <v/>
      </c>
      <c r="H173" s="74">
        <f>IF(REGISTRO!B173="","",REGISTRO!I173)</f>
        <v/>
      </c>
      <c r="I173" s="74">
        <f>IF(REGISTRO!B173="","",REGISTRO!J173)</f>
        <v/>
      </c>
      <c r="J173" s="74">
        <f>IF(REGISTRO!B173="","",REGISTRO!K173)</f>
        <v/>
      </c>
      <c r="K173" s="74">
        <f>IF(REGISTRO!B173="","",REGISTRO!N173)</f>
        <v/>
      </c>
      <c r="L173" s="75">
        <f>IF(REGISTRO!B173="","",REGISTRO!R173)</f>
        <v/>
      </c>
      <c r="M173" s="74">
        <f>IF(REGISTRO!B173="","",REGISTRO!S173)</f>
        <v/>
      </c>
    </row>
    <row r="174">
      <c r="A174" s="74">
        <f>IF(REGISTRO!B174="","",REGISTRO!A174)</f>
        <v/>
      </c>
      <c r="B174" s="74">
        <f>IF(REGISTRO!B174="","",REGISTRO!B174)</f>
        <v/>
      </c>
      <c r="C174" s="74">
        <f>IF(REGISTRO!B174="","",REGISTRO!C174)</f>
        <v/>
      </c>
      <c r="D174" s="74">
        <f>IF(REGISTRO!B174="","",REGISTRO!D174)</f>
        <v/>
      </c>
      <c r="E174" s="74">
        <f>IF(REGISTRO!B174="","",REGISTRO!E174)</f>
        <v/>
      </c>
      <c r="F174" s="74">
        <f>IF(REGISTRO!B174="","",REGISTRO!F174)</f>
        <v/>
      </c>
      <c r="G174" s="74">
        <f>IF(REGISTRO!B174="","",REGISTRO!G174)</f>
        <v/>
      </c>
      <c r="H174" s="74">
        <f>IF(REGISTRO!B174="","",REGISTRO!I174)</f>
        <v/>
      </c>
      <c r="I174" s="74">
        <f>IF(REGISTRO!B174="","",REGISTRO!J174)</f>
        <v/>
      </c>
      <c r="J174" s="74">
        <f>IF(REGISTRO!B174="","",REGISTRO!K174)</f>
        <v/>
      </c>
      <c r="K174" s="74">
        <f>IF(REGISTRO!B174="","",REGISTRO!N174)</f>
        <v/>
      </c>
      <c r="L174" s="75">
        <f>IF(REGISTRO!B174="","",REGISTRO!R174)</f>
        <v/>
      </c>
      <c r="M174" s="74">
        <f>IF(REGISTRO!B174="","",REGISTRO!S174)</f>
        <v/>
      </c>
    </row>
    <row r="175">
      <c r="A175" s="74">
        <f>IF(REGISTRO!B175="","",REGISTRO!A175)</f>
        <v/>
      </c>
      <c r="B175" s="74">
        <f>IF(REGISTRO!B175="","",REGISTRO!B175)</f>
        <v/>
      </c>
      <c r="C175" s="74">
        <f>IF(REGISTRO!B175="","",REGISTRO!C175)</f>
        <v/>
      </c>
      <c r="D175" s="74">
        <f>IF(REGISTRO!B175="","",REGISTRO!D175)</f>
        <v/>
      </c>
      <c r="E175" s="74">
        <f>IF(REGISTRO!B175="","",REGISTRO!E175)</f>
        <v/>
      </c>
      <c r="F175" s="74">
        <f>IF(REGISTRO!B175="","",REGISTRO!F175)</f>
        <v/>
      </c>
      <c r="G175" s="74">
        <f>IF(REGISTRO!B175="","",REGISTRO!G175)</f>
        <v/>
      </c>
      <c r="H175" s="74">
        <f>IF(REGISTRO!B175="","",REGISTRO!I175)</f>
        <v/>
      </c>
      <c r="I175" s="74">
        <f>IF(REGISTRO!B175="","",REGISTRO!J175)</f>
        <v/>
      </c>
      <c r="J175" s="74">
        <f>IF(REGISTRO!B175="","",REGISTRO!K175)</f>
        <v/>
      </c>
      <c r="K175" s="74">
        <f>IF(REGISTRO!B175="","",REGISTRO!N175)</f>
        <v/>
      </c>
      <c r="L175" s="75">
        <f>IF(REGISTRO!B175="","",REGISTRO!R175)</f>
        <v/>
      </c>
      <c r="M175" s="74">
        <f>IF(REGISTRO!B175="","",REGISTRO!S175)</f>
        <v/>
      </c>
    </row>
    <row r="176">
      <c r="A176" s="74">
        <f>IF(REGISTRO!B176="","",REGISTRO!A176)</f>
        <v/>
      </c>
      <c r="B176" s="74">
        <f>IF(REGISTRO!B176="","",REGISTRO!B176)</f>
        <v/>
      </c>
      <c r="C176" s="74">
        <f>IF(REGISTRO!B176="","",REGISTRO!C176)</f>
        <v/>
      </c>
      <c r="D176" s="74">
        <f>IF(REGISTRO!B176="","",REGISTRO!D176)</f>
        <v/>
      </c>
      <c r="E176" s="74">
        <f>IF(REGISTRO!B176="","",REGISTRO!E176)</f>
        <v/>
      </c>
      <c r="F176" s="74">
        <f>IF(REGISTRO!B176="","",REGISTRO!F176)</f>
        <v/>
      </c>
      <c r="G176" s="74">
        <f>IF(REGISTRO!B176="","",REGISTRO!G176)</f>
        <v/>
      </c>
      <c r="H176" s="74">
        <f>IF(REGISTRO!B176="","",REGISTRO!I176)</f>
        <v/>
      </c>
      <c r="I176" s="74">
        <f>IF(REGISTRO!B176="","",REGISTRO!J176)</f>
        <v/>
      </c>
      <c r="J176" s="74">
        <f>IF(REGISTRO!B176="","",REGISTRO!K176)</f>
        <v/>
      </c>
      <c r="K176" s="74">
        <f>IF(REGISTRO!B176="","",REGISTRO!N176)</f>
        <v/>
      </c>
      <c r="L176" s="75">
        <f>IF(REGISTRO!B176="","",REGISTRO!R176)</f>
        <v/>
      </c>
      <c r="M176" s="74">
        <f>IF(REGISTRO!B176="","",REGISTRO!S176)</f>
        <v/>
      </c>
    </row>
    <row r="177">
      <c r="A177" s="74">
        <f>IF(REGISTRO!B177="","",REGISTRO!A177)</f>
        <v/>
      </c>
      <c r="B177" s="74">
        <f>IF(REGISTRO!B177="","",REGISTRO!B177)</f>
        <v/>
      </c>
      <c r="C177" s="74">
        <f>IF(REGISTRO!B177="","",REGISTRO!C177)</f>
        <v/>
      </c>
      <c r="D177" s="74">
        <f>IF(REGISTRO!B177="","",REGISTRO!D177)</f>
        <v/>
      </c>
      <c r="E177" s="74">
        <f>IF(REGISTRO!B177="","",REGISTRO!E177)</f>
        <v/>
      </c>
      <c r="F177" s="74">
        <f>IF(REGISTRO!B177="","",REGISTRO!F177)</f>
        <v/>
      </c>
      <c r="G177" s="74">
        <f>IF(REGISTRO!B177="","",REGISTRO!G177)</f>
        <v/>
      </c>
      <c r="H177" s="74">
        <f>IF(REGISTRO!B177="","",REGISTRO!I177)</f>
        <v/>
      </c>
      <c r="I177" s="74">
        <f>IF(REGISTRO!B177="","",REGISTRO!J177)</f>
        <v/>
      </c>
      <c r="J177" s="74">
        <f>IF(REGISTRO!B177="","",REGISTRO!K177)</f>
        <v/>
      </c>
      <c r="K177" s="74">
        <f>IF(REGISTRO!B177="","",REGISTRO!N177)</f>
        <v/>
      </c>
      <c r="L177" s="75">
        <f>IF(REGISTRO!B177="","",REGISTRO!R177)</f>
        <v/>
      </c>
      <c r="M177" s="74">
        <f>IF(REGISTRO!B177="","",REGISTRO!S177)</f>
        <v/>
      </c>
    </row>
    <row r="178">
      <c r="A178" s="74">
        <f>IF(REGISTRO!B178="","",REGISTRO!A178)</f>
        <v/>
      </c>
      <c r="B178" s="74">
        <f>IF(REGISTRO!B178="","",REGISTRO!B178)</f>
        <v/>
      </c>
      <c r="C178" s="74">
        <f>IF(REGISTRO!B178="","",REGISTRO!C178)</f>
        <v/>
      </c>
      <c r="D178" s="74">
        <f>IF(REGISTRO!B178="","",REGISTRO!D178)</f>
        <v/>
      </c>
      <c r="E178" s="74">
        <f>IF(REGISTRO!B178="","",REGISTRO!E178)</f>
        <v/>
      </c>
      <c r="F178" s="74">
        <f>IF(REGISTRO!B178="","",REGISTRO!F178)</f>
        <v/>
      </c>
      <c r="G178" s="74">
        <f>IF(REGISTRO!B178="","",REGISTRO!G178)</f>
        <v/>
      </c>
      <c r="H178" s="74">
        <f>IF(REGISTRO!B178="","",REGISTRO!I178)</f>
        <v/>
      </c>
      <c r="I178" s="74">
        <f>IF(REGISTRO!B178="","",REGISTRO!J178)</f>
        <v/>
      </c>
      <c r="J178" s="74">
        <f>IF(REGISTRO!B178="","",REGISTRO!K178)</f>
        <v/>
      </c>
      <c r="K178" s="74">
        <f>IF(REGISTRO!B178="","",REGISTRO!N178)</f>
        <v/>
      </c>
      <c r="L178" s="75">
        <f>IF(REGISTRO!B178="","",REGISTRO!R178)</f>
        <v/>
      </c>
      <c r="M178" s="74">
        <f>IF(REGISTRO!B178="","",REGISTRO!S178)</f>
        <v/>
      </c>
    </row>
    <row r="179">
      <c r="A179" s="74">
        <f>IF(REGISTRO!B179="","",REGISTRO!A179)</f>
        <v/>
      </c>
      <c r="B179" s="74">
        <f>IF(REGISTRO!B179="","",REGISTRO!B179)</f>
        <v/>
      </c>
      <c r="C179" s="74">
        <f>IF(REGISTRO!B179="","",REGISTRO!C179)</f>
        <v/>
      </c>
      <c r="D179" s="74">
        <f>IF(REGISTRO!B179="","",REGISTRO!D179)</f>
        <v/>
      </c>
      <c r="E179" s="74">
        <f>IF(REGISTRO!B179="","",REGISTRO!E179)</f>
        <v/>
      </c>
      <c r="F179" s="74">
        <f>IF(REGISTRO!B179="","",REGISTRO!F179)</f>
        <v/>
      </c>
      <c r="G179" s="74">
        <f>IF(REGISTRO!B179="","",REGISTRO!G179)</f>
        <v/>
      </c>
      <c r="H179" s="74">
        <f>IF(REGISTRO!B179="","",REGISTRO!I179)</f>
        <v/>
      </c>
      <c r="I179" s="74">
        <f>IF(REGISTRO!B179="","",REGISTRO!J179)</f>
        <v/>
      </c>
      <c r="J179" s="74">
        <f>IF(REGISTRO!B179="","",REGISTRO!K179)</f>
        <v/>
      </c>
      <c r="K179" s="74">
        <f>IF(REGISTRO!B179="","",REGISTRO!N179)</f>
        <v/>
      </c>
      <c r="L179" s="75">
        <f>IF(REGISTRO!B179="","",REGISTRO!R179)</f>
        <v/>
      </c>
      <c r="M179" s="74">
        <f>IF(REGISTRO!B179="","",REGISTRO!S179)</f>
        <v/>
      </c>
    </row>
    <row r="180">
      <c r="A180" s="74">
        <f>IF(REGISTRO!B180="","",REGISTRO!A180)</f>
        <v/>
      </c>
      <c r="B180" s="74">
        <f>IF(REGISTRO!B180="","",REGISTRO!B180)</f>
        <v/>
      </c>
      <c r="C180" s="74">
        <f>IF(REGISTRO!B180="","",REGISTRO!C180)</f>
        <v/>
      </c>
      <c r="D180" s="74">
        <f>IF(REGISTRO!B180="","",REGISTRO!D180)</f>
        <v/>
      </c>
      <c r="E180" s="74">
        <f>IF(REGISTRO!B180="","",REGISTRO!E180)</f>
        <v/>
      </c>
      <c r="F180" s="74">
        <f>IF(REGISTRO!B180="","",REGISTRO!F180)</f>
        <v/>
      </c>
      <c r="G180" s="74">
        <f>IF(REGISTRO!B180="","",REGISTRO!G180)</f>
        <v/>
      </c>
      <c r="H180" s="74">
        <f>IF(REGISTRO!B180="","",REGISTRO!I180)</f>
        <v/>
      </c>
      <c r="I180" s="74">
        <f>IF(REGISTRO!B180="","",REGISTRO!J180)</f>
        <v/>
      </c>
      <c r="J180" s="74">
        <f>IF(REGISTRO!B180="","",REGISTRO!K180)</f>
        <v/>
      </c>
      <c r="K180" s="74">
        <f>IF(REGISTRO!B180="","",REGISTRO!N180)</f>
        <v/>
      </c>
      <c r="L180" s="75">
        <f>IF(REGISTRO!B180="","",REGISTRO!R180)</f>
        <v/>
      </c>
      <c r="M180" s="74">
        <f>IF(REGISTRO!B180="","",REGISTRO!S180)</f>
        <v/>
      </c>
    </row>
    <row r="181">
      <c r="A181" s="74">
        <f>IF(REGISTRO!B181="","",REGISTRO!A181)</f>
        <v/>
      </c>
      <c r="B181" s="74">
        <f>IF(REGISTRO!B181="","",REGISTRO!B181)</f>
        <v/>
      </c>
      <c r="C181" s="74">
        <f>IF(REGISTRO!B181="","",REGISTRO!C181)</f>
        <v/>
      </c>
      <c r="D181" s="74">
        <f>IF(REGISTRO!B181="","",REGISTRO!D181)</f>
        <v/>
      </c>
      <c r="E181" s="74">
        <f>IF(REGISTRO!B181="","",REGISTRO!E181)</f>
        <v/>
      </c>
      <c r="F181" s="74">
        <f>IF(REGISTRO!B181="","",REGISTRO!F181)</f>
        <v/>
      </c>
      <c r="G181" s="74">
        <f>IF(REGISTRO!B181="","",REGISTRO!G181)</f>
        <v/>
      </c>
      <c r="H181" s="74">
        <f>IF(REGISTRO!B181="","",REGISTRO!I181)</f>
        <v/>
      </c>
      <c r="I181" s="74">
        <f>IF(REGISTRO!B181="","",REGISTRO!J181)</f>
        <v/>
      </c>
      <c r="J181" s="74">
        <f>IF(REGISTRO!B181="","",REGISTRO!K181)</f>
        <v/>
      </c>
      <c r="K181" s="74">
        <f>IF(REGISTRO!B181="","",REGISTRO!N181)</f>
        <v/>
      </c>
      <c r="L181" s="75">
        <f>IF(REGISTRO!B181="","",REGISTRO!R181)</f>
        <v/>
      </c>
      <c r="M181" s="74">
        <f>IF(REGISTRO!B181="","",REGISTRO!S181)</f>
        <v/>
      </c>
    </row>
    <row r="182">
      <c r="A182" s="74">
        <f>IF(REGISTRO!B182="","",REGISTRO!A182)</f>
        <v/>
      </c>
      <c r="B182" s="74">
        <f>IF(REGISTRO!B182="","",REGISTRO!B182)</f>
        <v/>
      </c>
      <c r="C182" s="74">
        <f>IF(REGISTRO!B182="","",REGISTRO!C182)</f>
        <v/>
      </c>
      <c r="D182" s="74">
        <f>IF(REGISTRO!B182="","",REGISTRO!D182)</f>
        <v/>
      </c>
      <c r="E182" s="74">
        <f>IF(REGISTRO!B182="","",REGISTRO!E182)</f>
        <v/>
      </c>
      <c r="F182" s="74">
        <f>IF(REGISTRO!B182="","",REGISTRO!F182)</f>
        <v/>
      </c>
      <c r="G182" s="74">
        <f>IF(REGISTRO!B182="","",REGISTRO!G182)</f>
        <v/>
      </c>
      <c r="H182" s="74">
        <f>IF(REGISTRO!B182="","",REGISTRO!I182)</f>
        <v/>
      </c>
      <c r="I182" s="74">
        <f>IF(REGISTRO!B182="","",REGISTRO!J182)</f>
        <v/>
      </c>
      <c r="J182" s="74">
        <f>IF(REGISTRO!B182="","",REGISTRO!K182)</f>
        <v/>
      </c>
      <c r="K182" s="74">
        <f>IF(REGISTRO!B182="","",REGISTRO!N182)</f>
        <v/>
      </c>
      <c r="L182" s="75">
        <f>IF(REGISTRO!B182="","",REGISTRO!R182)</f>
        <v/>
      </c>
      <c r="M182" s="74">
        <f>IF(REGISTRO!B182="","",REGISTRO!S182)</f>
        <v/>
      </c>
    </row>
    <row r="183">
      <c r="A183" s="74">
        <f>IF(REGISTRO!B183="","",REGISTRO!A183)</f>
        <v/>
      </c>
      <c r="B183" s="74">
        <f>IF(REGISTRO!B183="","",REGISTRO!B183)</f>
        <v/>
      </c>
      <c r="C183" s="74">
        <f>IF(REGISTRO!B183="","",REGISTRO!C183)</f>
        <v/>
      </c>
      <c r="D183" s="74">
        <f>IF(REGISTRO!B183="","",REGISTRO!D183)</f>
        <v/>
      </c>
      <c r="E183" s="74">
        <f>IF(REGISTRO!B183="","",REGISTRO!E183)</f>
        <v/>
      </c>
      <c r="F183" s="74">
        <f>IF(REGISTRO!B183="","",REGISTRO!F183)</f>
        <v/>
      </c>
      <c r="G183" s="74">
        <f>IF(REGISTRO!B183="","",REGISTRO!G183)</f>
        <v/>
      </c>
      <c r="H183" s="74">
        <f>IF(REGISTRO!B183="","",REGISTRO!I183)</f>
        <v/>
      </c>
      <c r="I183" s="74">
        <f>IF(REGISTRO!B183="","",REGISTRO!J183)</f>
        <v/>
      </c>
      <c r="J183" s="74">
        <f>IF(REGISTRO!B183="","",REGISTRO!K183)</f>
        <v/>
      </c>
      <c r="K183" s="74">
        <f>IF(REGISTRO!B183="","",REGISTRO!N183)</f>
        <v/>
      </c>
      <c r="L183" s="75">
        <f>IF(REGISTRO!B183="","",REGISTRO!R183)</f>
        <v/>
      </c>
      <c r="M183" s="74">
        <f>IF(REGISTRO!B183="","",REGISTRO!S183)</f>
        <v/>
      </c>
    </row>
    <row r="184">
      <c r="A184" s="74">
        <f>IF(REGISTRO!B184="","",REGISTRO!A184)</f>
        <v/>
      </c>
      <c r="B184" s="74">
        <f>IF(REGISTRO!B184="","",REGISTRO!B184)</f>
        <v/>
      </c>
      <c r="C184" s="74">
        <f>IF(REGISTRO!B184="","",REGISTRO!C184)</f>
        <v/>
      </c>
      <c r="D184" s="74">
        <f>IF(REGISTRO!B184="","",REGISTRO!D184)</f>
        <v/>
      </c>
      <c r="E184" s="74">
        <f>IF(REGISTRO!B184="","",REGISTRO!E184)</f>
        <v/>
      </c>
      <c r="F184" s="74">
        <f>IF(REGISTRO!B184="","",REGISTRO!F184)</f>
        <v/>
      </c>
      <c r="G184" s="74">
        <f>IF(REGISTRO!B184="","",REGISTRO!G184)</f>
        <v/>
      </c>
      <c r="H184" s="74">
        <f>IF(REGISTRO!B184="","",REGISTRO!I184)</f>
        <v/>
      </c>
      <c r="I184" s="74">
        <f>IF(REGISTRO!B184="","",REGISTRO!J184)</f>
        <v/>
      </c>
      <c r="J184" s="74">
        <f>IF(REGISTRO!B184="","",REGISTRO!K184)</f>
        <v/>
      </c>
      <c r="K184" s="74">
        <f>IF(REGISTRO!B184="","",REGISTRO!N184)</f>
        <v/>
      </c>
      <c r="L184" s="75">
        <f>IF(REGISTRO!B184="","",REGISTRO!R184)</f>
        <v/>
      </c>
      <c r="M184" s="74">
        <f>IF(REGISTRO!B184="","",REGISTRO!S184)</f>
        <v/>
      </c>
    </row>
    <row r="185">
      <c r="A185" s="74">
        <f>IF(REGISTRO!B185="","",REGISTRO!A185)</f>
        <v/>
      </c>
      <c r="B185" s="74">
        <f>IF(REGISTRO!B185="","",REGISTRO!B185)</f>
        <v/>
      </c>
      <c r="C185" s="74">
        <f>IF(REGISTRO!B185="","",REGISTRO!C185)</f>
        <v/>
      </c>
      <c r="D185" s="74">
        <f>IF(REGISTRO!B185="","",REGISTRO!D185)</f>
        <v/>
      </c>
      <c r="E185" s="74">
        <f>IF(REGISTRO!B185="","",REGISTRO!E185)</f>
        <v/>
      </c>
      <c r="F185" s="74">
        <f>IF(REGISTRO!B185="","",REGISTRO!F185)</f>
        <v/>
      </c>
      <c r="G185" s="74">
        <f>IF(REGISTRO!B185="","",REGISTRO!G185)</f>
        <v/>
      </c>
      <c r="H185" s="74">
        <f>IF(REGISTRO!B185="","",REGISTRO!I185)</f>
        <v/>
      </c>
      <c r="I185" s="74">
        <f>IF(REGISTRO!B185="","",REGISTRO!J185)</f>
        <v/>
      </c>
      <c r="J185" s="74">
        <f>IF(REGISTRO!B185="","",REGISTRO!K185)</f>
        <v/>
      </c>
      <c r="K185" s="74">
        <f>IF(REGISTRO!B185="","",REGISTRO!N185)</f>
        <v/>
      </c>
      <c r="L185" s="75">
        <f>IF(REGISTRO!B185="","",REGISTRO!R185)</f>
        <v/>
      </c>
      <c r="M185" s="74">
        <f>IF(REGISTRO!B185="","",REGISTRO!S185)</f>
        <v/>
      </c>
    </row>
    <row r="186">
      <c r="A186" s="74">
        <f>IF(REGISTRO!B186="","",REGISTRO!A186)</f>
        <v/>
      </c>
      <c r="B186" s="74">
        <f>IF(REGISTRO!B186="","",REGISTRO!B186)</f>
        <v/>
      </c>
      <c r="C186" s="74">
        <f>IF(REGISTRO!B186="","",REGISTRO!C186)</f>
        <v/>
      </c>
      <c r="D186" s="74">
        <f>IF(REGISTRO!B186="","",REGISTRO!D186)</f>
        <v/>
      </c>
      <c r="E186" s="74">
        <f>IF(REGISTRO!B186="","",REGISTRO!E186)</f>
        <v/>
      </c>
      <c r="F186" s="74">
        <f>IF(REGISTRO!B186="","",REGISTRO!F186)</f>
        <v/>
      </c>
      <c r="G186" s="74">
        <f>IF(REGISTRO!B186="","",REGISTRO!G186)</f>
        <v/>
      </c>
      <c r="H186" s="74">
        <f>IF(REGISTRO!B186="","",REGISTRO!I186)</f>
        <v/>
      </c>
      <c r="I186" s="74">
        <f>IF(REGISTRO!B186="","",REGISTRO!J186)</f>
        <v/>
      </c>
      <c r="J186" s="74">
        <f>IF(REGISTRO!B186="","",REGISTRO!K186)</f>
        <v/>
      </c>
      <c r="K186" s="74">
        <f>IF(REGISTRO!B186="","",REGISTRO!N186)</f>
        <v/>
      </c>
      <c r="L186" s="75">
        <f>IF(REGISTRO!B186="","",REGISTRO!R186)</f>
        <v/>
      </c>
      <c r="M186" s="74">
        <f>IF(REGISTRO!B186="","",REGISTRO!S186)</f>
        <v/>
      </c>
    </row>
    <row r="187">
      <c r="A187" s="74">
        <f>IF(REGISTRO!B187="","",REGISTRO!A187)</f>
        <v/>
      </c>
      <c r="B187" s="74">
        <f>IF(REGISTRO!B187="","",REGISTRO!B187)</f>
        <v/>
      </c>
      <c r="C187" s="74">
        <f>IF(REGISTRO!B187="","",REGISTRO!C187)</f>
        <v/>
      </c>
      <c r="D187" s="74">
        <f>IF(REGISTRO!B187="","",REGISTRO!D187)</f>
        <v/>
      </c>
      <c r="E187" s="74">
        <f>IF(REGISTRO!B187="","",REGISTRO!E187)</f>
        <v/>
      </c>
      <c r="F187" s="74">
        <f>IF(REGISTRO!B187="","",REGISTRO!F187)</f>
        <v/>
      </c>
      <c r="G187" s="74">
        <f>IF(REGISTRO!B187="","",REGISTRO!G187)</f>
        <v/>
      </c>
      <c r="H187" s="74">
        <f>IF(REGISTRO!B187="","",REGISTRO!I187)</f>
        <v/>
      </c>
      <c r="I187" s="74">
        <f>IF(REGISTRO!B187="","",REGISTRO!J187)</f>
        <v/>
      </c>
      <c r="J187" s="74">
        <f>IF(REGISTRO!B187="","",REGISTRO!K187)</f>
        <v/>
      </c>
      <c r="K187" s="74">
        <f>IF(REGISTRO!B187="","",REGISTRO!N187)</f>
        <v/>
      </c>
      <c r="L187" s="75">
        <f>IF(REGISTRO!B187="","",REGISTRO!R187)</f>
        <v/>
      </c>
      <c r="M187" s="74">
        <f>IF(REGISTRO!B187="","",REGISTRO!S187)</f>
        <v/>
      </c>
    </row>
    <row r="188">
      <c r="A188" s="74">
        <f>IF(REGISTRO!B188="","",REGISTRO!A188)</f>
        <v/>
      </c>
      <c r="B188" s="74">
        <f>IF(REGISTRO!B188="","",REGISTRO!B188)</f>
        <v/>
      </c>
      <c r="C188" s="74">
        <f>IF(REGISTRO!B188="","",REGISTRO!C188)</f>
        <v/>
      </c>
      <c r="D188" s="74">
        <f>IF(REGISTRO!B188="","",REGISTRO!D188)</f>
        <v/>
      </c>
      <c r="E188" s="74">
        <f>IF(REGISTRO!B188="","",REGISTRO!E188)</f>
        <v/>
      </c>
      <c r="F188" s="74">
        <f>IF(REGISTRO!B188="","",REGISTRO!F188)</f>
        <v/>
      </c>
      <c r="G188" s="74">
        <f>IF(REGISTRO!B188="","",REGISTRO!G188)</f>
        <v/>
      </c>
      <c r="H188" s="74">
        <f>IF(REGISTRO!B188="","",REGISTRO!I188)</f>
        <v/>
      </c>
      <c r="I188" s="74">
        <f>IF(REGISTRO!B188="","",REGISTRO!J188)</f>
        <v/>
      </c>
      <c r="J188" s="74">
        <f>IF(REGISTRO!B188="","",REGISTRO!K188)</f>
        <v/>
      </c>
      <c r="K188" s="74">
        <f>IF(REGISTRO!B188="","",REGISTRO!N188)</f>
        <v/>
      </c>
      <c r="L188" s="75">
        <f>IF(REGISTRO!B188="","",REGISTRO!R188)</f>
        <v/>
      </c>
      <c r="M188" s="74">
        <f>IF(REGISTRO!B188="","",REGISTRO!S188)</f>
        <v/>
      </c>
    </row>
    <row r="189">
      <c r="A189" s="74">
        <f>IF(REGISTRO!B189="","",REGISTRO!A189)</f>
        <v/>
      </c>
      <c r="B189" s="74">
        <f>IF(REGISTRO!B189="","",REGISTRO!B189)</f>
        <v/>
      </c>
      <c r="C189" s="74">
        <f>IF(REGISTRO!B189="","",REGISTRO!C189)</f>
        <v/>
      </c>
      <c r="D189" s="74">
        <f>IF(REGISTRO!B189="","",REGISTRO!D189)</f>
        <v/>
      </c>
      <c r="E189" s="74">
        <f>IF(REGISTRO!B189="","",REGISTRO!E189)</f>
        <v/>
      </c>
      <c r="F189" s="74">
        <f>IF(REGISTRO!B189="","",REGISTRO!F189)</f>
        <v/>
      </c>
      <c r="G189" s="74">
        <f>IF(REGISTRO!B189="","",REGISTRO!G189)</f>
        <v/>
      </c>
      <c r="H189" s="74">
        <f>IF(REGISTRO!B189="","",REGISTRO!I189)</f>
        <v/>
      </c>
      <c r="I189" s="74">
        <f>IF(REGISTRO!B189="","",REGISTRO!J189)</f>
        <v/>
      </c>
      <c r="J189" s="74">
        <f>IF(REGISTRO!B189="","",REGISTRO!K189)</f>
        <v/>
      </c>
      <c r="K189" s="74">
        <f>IF(REGISTRO!B189="","",REGISTRO!N189)</f>
        <v/>
      </c>
      <c r="L189" s="75">
        <f>IF(REGISTRO!B189="","",REGISTRO!R189)</f>
        <v/>
      </c>
      <c r="M189" s="74">
        <f>IF(REGISTRO!B189="","",REGISTRO!S189)</f>
        <v/>
      </c>
    </row>
    <row r="190">
      <c r="A190" s="74">
        <f>IF(REGISTRO!B190="","",REGISTRO!A190)</f>
        <v/>
      </c>
      <c r="B190" s="74">
        <f>IF(REGISTRO!B190="","",REGISTRO!B190)</f>
        <v/>
      </c>
      <c r="C190" s="74">
        <f>IF(REGISTRO!B190="","",REGISTRO!C190)</f>
        <v/>
      </c>
      <c r="D190" s="74">
        <f>IF(REGISTRO!B190="","",REGISTRO!D190)</f>
        <v/>
      </c>
      <c r="E190" s="74">
        <f>IF(REGISTRO!B190="","",REGISTRO!E190)</f>
        <v/>
      </c>
      <c r="F190" s="74">
        <f>IF(REGISTRO!B190="","",REGISTRO!F190)</f>
        <v/>
      </c>
      <c r="G190" s="74">
        <f>IF(REGISTRO!B190="","",REGISTRO!G190)</f>
        <v/>
      </c>
      <c r="H190" s="74">
        <f>IF(REGISTRO!B190="","",REGISTRO!I190)</f>
        <v/>
      </c>
      <c r="I190" s="74">
        <f>IF(REGISTRO!B190="","",REGISTRO!J190)</f>
        <v/>
      </c>
      <c r="J190" s="74">
        <f>IF(REGISTRO!B190="","",REGISTRO!K190)</f>
        <v/>
      </c>
      <c r="K190" s="74">
        <f>IF(REGISTRO!B190="","",REGISTRO!N190)</f>
        <v/>
      </c>
      <c r="L190" s="75">
        <f>IF(REGISTRO!B190="","",REGISTRO!R190)</f>
        <v/>
      </c>
      <c r="M190" s="74">
        <f>IF(REGISTRO!B190="","",REGISTRO!S190)</f>
        <v/>
      </c>
    </row>
    <row r="191">
      <c r="A191" s="74">
        <f>IF(REGISTRO!B191="","",REGISTRO!A191)</f>
        <v/>
      </c>
      <c r="B191" s="74">
        <f>IF(REGISTRO!B191="","",REGISTRO!B191)</f>
        <v/>
      </c>
      <c r="C191" s="74">
        <f>IF(REGISTRO!B191="","",REGISTRO!C191)</f>
        <v/>
      </c>
      <c r="D191" s="74">
        <f>IF(REGISTRO!B191="","",REGISTRO!D191)</f>
        <v/>
      </c>
      <c r="E191" s="74">
        <f>IF(REGISTRO!B191="","",REGISTRO!E191)</f>
        <v/>
      </c>
      <c r="F191" s="74">
        <f>IF(REGISTRO!B191="","",REGISTRO!F191)</f>
        <v/>
      </c>
      <c r="G191" s="74">
        <f>IF(REGISTRO!B191="","",REGISTRO!G191)</f>
        <v/>
      </c>
      <c r="H191" s="74">
        <f>IF(REGISTRO!B191="","",REGISTRO!I191)</f>
        <v/>
      </c>
      <c r="I191" s="74">
        <f>IF(REGISTRO!B191="","",REGISTRO!J191)</f>
        <v/>
      </c>
      <c r="J191" s="74">
        <f>IF(REGISTRO!B191="","",REGISTRO!K191)</f>
        <v/>
      </c>
      <c r="K191" s="74">
        <f>IF(REGISTRO!B191="","",REGISTRO!N191)</f>
        <v/>
      </c>
      <c r="L191" s="75">
        <f>IF(REGISTRO!B191="","",REGISTRO!R191)</f>
        <v/>
      </c>
      <c r="M191" s="74">
        <f>IF(REGISTRO!B191="","",REGISTRO!S191)</f>
        <v/>
      </c>
    </row>
    <row r="192">
      <c r="A192" s="74">
        <f>IF(REGISTRO!B192="","",REGISTRO!A192)</f>
        <v/>
      </c>
      <c r="B192" s="74">
        <f>IF(REGISTRO!B192="","",REGISTRO!B192)</f>
        <v/>
      </c>
      <c r="C192" s="74">
        <f>IF(REGISTRO!B192="","",REGISTRO!C192)</f>
        <v/>
      </c>
      <c r="D192" s="74">
        <f>IF(REGISTRO!B192="","",REGISTRO!D192)</f>
        <v/>
      </c>
      <c r="E192" s="74">
        <f>IF(REGISTRO!B192="","",REGISTRO!E192)</f>
        <v/>
      </c>
      <c r="F192" s="74">
        <f>IF(REGISTRO!B192="","",REGISTRO!F192)</f>
        <v/>
      </c>
      <c r="G192" s="74">
        <f>IF(REGISTRO!B192="","",REGISTRO!G192)</f>
        <v/>
      </c>
      <c r="H192" s="74">
        <f>IF(REGISTRO!B192="","",REGISTRO!I192)</f>
        <v/>
      </c>
      <c r="I192" s="74">
        <f>IF(REGISTRO!B192="","",REGISTRO!J192)</f>
        <v/>
      </c>
      <c r="J192" s="74">
        <f>IF(REGISTRO!B192="","",REGISTRO!K192)</f>
        <v/>
      </c>
      <c r="K192" s="74">
        <f>IF(REGISTRO!B192="","",REGISTRO!N192)</f>
        <v/>
      </c>
      <c r="L192" s="75">
        <f>IF(REGISTRO!B192="","",REGISTRO!R192)</f>
        <v/>
      </c>
      <c r="M192" s="74">
        <f>IF(REGISTRO!B192="","",REGISTRO!S192)</f>
        <v/>
      </c>
    </row>
    <row r="193">
      <c r="A193" s="74">
        <f>IF(REGISTRO!B193="","",REGISTRO!A193)</f>
        <v/>
      </c>
      <c r="B193" s="74">
        <f>IF(REGISTRO!B193="","",REGISTRO!B193)</f>
        <v/>
      </c>
      <c r="C193" s="74">
        <f>IF(REGISTRO!B193="","",REGISTRO!C193)</f>
        <v/>
      </c>
      <c r="D193" s="74">
        <f>IF(REGISTRO!B193="","",REGISTRO!D193)</f>
        <v/>
      </c>
      <c r="E193" s="74">
        <f>IF(REGISTRO!B193="","",REGISTRO!E193)</f>
        <v/>
      </c>
      <c r="F193" s="74">
        <f>IF(REGISTRO!B193="","",REGISTRO!F193)</f>
        <v/>
      </c>
      <c r="G193" s="74">
        <f>IF(REGISTRO!B193="","",REGISTRO!G193)</f>
        <v/>
      </c>
      <c r="H193" s="74">
        <f>IF(REGISTRO!B193="","",REGISTRO!I193)</f>
        <v/>
      </c>
      <c r="I193" s="74">
        <f>IF(REGISTRO!B193="","",REGISTRO!J193)</f>
        <v/>
      </c>
      <c r="J193" s="74">
        <f>IF(REGISTRO!B193="","",REGISTRO!K193)</f>
        <v/>
      </c>
      <c r="K193" s="74">
        <f>IF(REGISTRO!B193="","",REGISTRO!N193)</f>
        <v/>
      </c>
      <c r="L193" s="75">
        <f>IF(REGISTRO!B193="","",REGISTRO!R193)</f>
        <v/>
      </c>
      <c r="M193" s="74">
        <f>IF(REGISTRO!B193="","",REGISTRO!S193)</f>
        <v/>
      </c>
    </row>
    <row r="194">
      <c r="A194" s="74">
        <f>IF(REGISTRO!B194="","",REGISTRO!A194)</f>
        <v/>
      </c>
      <c r="B194" s="74">
        <f>IF(REGISTRO!B194="","",REGISTRO!B194)</f>
        <v/>
      </c>
      <c r="C194" s="74">
        <f>IF(REGISTRO!B194="","",REGISTRO!C194)</f>
        <v/>
      </c>
      <c r="D194" s="74">
        <f>IF(REGISTRO!B194="","",REGISTRO!D194)</f>
        <v/>
      </c>
      <c r="E194" s="74">
        <f>IF(REGISTRO!B194="","",REGISTRO!E194)</f>
        <v/>
      </c>
      <c r="F194" s="74">
        <f>IF(REGISTRO!B194="","",REGISTRO!F194)</f>
        <v/>
      </c>
      <c r="G194" s="74">
        <f>IF(REGISTRO!B194="","",REGISTRO!G194)</f>
        <v/>
      </c>
      <c r="H194" s="74">
        <f>IF(REGISTRO!B194="","",REGISTRO!I194)</f>
        <v/>
      </c>
      <c r="I194" s="74">
        <f>IF(REGISTRO!B194="","",REGISTRO!J194)</f>
        <v/>
      </c>
      <c r="J194" s="74">
        <f>IF(REGISTRO!B194="","",REGISTRO!K194)</f>
        <v/>
      </c>
      <c r="K194" s="74">
        <f>IF(REGISTRO!B194="","",REGISTRO!N194)</f>
        <v/>
      </c>
      <c r="L194" s="75">
        <f>IF(REGISTRO!B194="","",REGISTRO!R194)</f>
        <v/>
      </c>
      <c r="M194" s="74">
        <f>IF(REGISTRO!B194="","",REGISTRO!S194)</f>
        <v/>
      </c>
    </row>
    <row r="195">
      <c r="A195" s="74">
        <f>IF(REGISTRO!B195="","",REGISTRO!A195)</f>
        <v/>
      </c>
      <c r="B195" s="74">
        <f>IF(REGISTRO!B195="","",REGISTRO!B195)</f>
        <v/>
      </c>
      <c r="C195" s="74">
        <f>IF(REGISTRO!B195="","",REGISTRO!C195)</f>
        <v/>
      </c>
      <c r="D195" s="74">
        <f>IF(REGISTRO!B195="","",REGISTRO!D195)</f>
        <v/>
      </c>
      <c r="E195" s="74">
        <f>IF(REGISTRO!B195="","",REGISTRO!E195)</f>
        <v/>
      </c>
      <c r="F195" s="74">
        <f>IF(REGISTRO!B195="","",REGISTRO!F195)</f>
        <v/>
      </c>
      <c r="G195" s="74">
        <f>IF(REGISTRO!B195="","",REGISTRO!G195)</f>
        <v/>
      </c>
      <c r="H195" s="74">
        <f>IF(REGISTRO!B195="","",REGISTRO!I195)</f>
        <v/>
      </c>
      <c r="I195" s="74">
        <f>IF(REGISTRO!B195="","",REGISTRO!J195)</f>
        <v/>
      </c>
      <c r="J195" s="74">
        <f>IF(REGISTRO!B195="","",REGISTRO!K195)</f>
        <v/>
      </c>
      <c r="K195" s="74">
        <f>IF(REGISTRO!B195="","",REGISTRO!N195)</f>
        <v/>
      </c>
      <c r="L195" s="75">
        <f>IF(REGISTRO!B195="","",REGISTRO!R195)</f>
        <v/>
      </c>
      <c r="M195" s="74">
        <f>IF(REGISTRO!B195="","",REGISTRO!S195)</f>
        <v/>
      </c>
    </row>
    <row r="196">
      <c r="A196" s="74">
        <f>IF(REGISTRO!B196="","",REGISTRO!A196)</f>
        <v/>
      </c>
      <c r="B196" s="74">
        <f>IF(REGISTRO!B196="","",REGISTRO!B196)</f>
        <v/>
      </c>
      <c r="C196" s="74">
        <f>IF(REGISTRO!B196="","",REGISTRO!C196)</f>
        <v/>
      </c>
      <c r="D196" s="74">
        <f>IF(REGISTRO!B196="","",REGISTRO!D196)</f>
        <v/>
      </c>
      <c r="E196" s="74">
        <f>IF(REGISTRO!B196="","",REGISTRO!E196)</f>
        <v/>
      </c>
      <c r="F196" s="74">
        <f>IF(REGISTRO!B196="","",REGISTRO!F196)</f>
        <v/>
      </c>
      <c r="G196" s="74">
        <f>IF(REGISTRO!B196="","",REGISTRO!G196)</f>
        <v/>
      </c>
      <c r="H196" s="74">
        <f>IF(REGISTRO!B196="","",REGISTRO!I196)</f>
        <v/>
      </c>
      <c r="I196" s="74">
        <f>IF(REGISTRO!B196="","",REGISTRO!J196)</f>
        <v/>
      </c>
      <c r="J196" s="74">
        <f>IF(REGISTRO!B196="","",REGISTRO!K196)</f>
        <v/>
      </c>
      <c r="K196" s="74">
        <f>IF(REGISTRO!B196="","",REGISTRO!N196)</f>
        <v/>
      </c>
      <c r="L196" s="75">
        <f>IF(REGISTRO!B196="","",REGISTRO!R196)</f>
        <v/>
      </c>
      <c r="M196" s="74">
        <f>IF(REGISTRO!B196="","",REGISTRO!S196)</f>
        <v/>
      </c>
    </row>
    <row r="197">
      <c r="A197" s="74">
        <f>IF(REGISTRO!B197="","",REGISTRO!A197)</f>
        <v/>
      </c>
      <c r="B197" s="74">
        <f>IF(REGISTRO!B197="","",REGISTRO!B197)</f>
        <v/>
      </c>
      <c r="C197" s="74">
        <f>IF(REGISTRO!B197="","",REGISTRO!C197)</f>
        <v/>
      </c>
      <c r="D197" s="74">
        <f>IF(REGISTRO!B197="","",REGISTRO!D197)</f>
        <v/>
      </c>
      <c r="E197" s="74">
        <f>IF(REGISTRO!B197="","",REGISTRO!E197)</f>
        <v/>
      </c>
      <c r="F197" s="74">
        <f>IF(REGISTRO!B197="","",REGISTRO!F197)</f>
        <v/>
      </c>
      <c r="G197" s="74">
        <f>IF(REGISTRO!B197="","",REGISTRO!G197)</f>
        <v/>
      </c>
      <c r="H197" s="74">
        <f>IF(REGISTRO!B197="","",REGISTRO!I197)</f>
        <v/>
      </c>
      <c r="I197" s="74">
        <f>IF(REGISTRO!B197="","",REGISTRO!J197)</f>
        <v/>
      </c>
      <c r="J197" s="74">
        <f>IF(REGISTRO!B197="","",REGISTRO!K197)</f>
        <v/>
      </c>
      <c r="K197" s="74">
        <f>IF(REGISTRO!B197="","",REGISTRO!N197)</f>
        <v/>
      </c>
      <c r="L197" s="75">
        <f>IF(REGISTRO!B197="","",REGISTRO!R197)</f>
        <v/>
      </c>
      <c r="M197" s="74">
        <f>IF(REGISTRO!B197="","",REGISTRO!S197)</f>
        <v/>
      </c>
    </row>
    <row r="198">
      <c r="A198" s="74">
        <f>IF(REGISTRO!B198="","",REGISTRO!A198)</f>
        <v/>
      </c>
      <c r="B198" s="74">
        <f>IF(REGISTRO!B198="","",REGISTRO!B198)</f>
        <v/>
      </c>
      <c r="C198" s="74">
        <f>IF(REGISTRO!B198="","",REGISTRO!C198)</f>
        <v/>
      </c>
      <c r="D198" s="74">
        <f>IF(REGISTRO!B198="","",REGISTRO!D198)</f>
        <v/>
      </c>
      <c r="E198" s="74">
        <f>IF(REGISTRO!B198="","",REGISTRO!E198)</f>
        <v/>
      </c>
      <c r="F198" s="74">
        <f>IF(REGISTRO!B198="","",REGISTRO!F198)</f>
        <v/>
      </c>
      <c r="G198" s="74">
        <f>IF(REGISTRO!B198="","",REGISTRO!G198)</f>
        <v/>
      </c>
      <c r="H198" s="74">
        <f>IF(REGISTRO!B198="","",REGISTRO!I198)</f>
        <v/>
      </c>
      <c r="I198" s="74">
        <f>IF(REGISTRO!B198="","",REGISTRO!J198)</f>
        <v/>
      </c>
      <c r="J198" s="74">
        <f>IF(REGISTRO!B198="","",REGISTRO!K198)</f>
        <v/>
      </c>
      <c r="K198" s="74">
        <f>IF(REGISTRO!B198="","",REGISTRO!N198)</f>
        <v/>
      </c>
      <c r="L198" s="75">
        <f>IF(REGISTRO!B198="","",REGISTRO!R198)</f>
        <v/>
      </c>
      <c r="M198" s="74">
        <f>IF(REGISTRO!B198="","",REGISTRO!S198)</f>
        <v/>
      </c>
    </row>
    <row r="199">
      <c r="A199" s="74">
        <f>IF(REGISTRO!B199="","",REGISTRO!A199)</f>
        <v/>
      </c>
      <c r="B199" s="74">
        <f>IF(REGISTRO!B199="","",REGISTRO!B199)</f>
        <v/>
      </c>
      <c r="C199" s="74">
        <f>IF(REGISTRO!B199="","",REGISTRO!C199)</f>
        <v/>
      </c>
      <c r="D199" s="74">
        <f>IF(REGISTRO!B199="","",REGISTRO!D199)</f>
        <v/>
      </c>
      <c r="E199" s="74">
        <f>IF(REGISTRO!B199="","",REGISTRO!E199)</f>
        <v/>
      </c>
      <c r="F199" s="74">
        <f>IF(REGISTRO!B199="","",REGISTRO!F199)</f>
        <v/>
      </c>
      <c r="G199" s="74">
        <f>IF(REGISTRO!B199="","",REGISTRO!G199)</f>
        <v/>
      </c>
      <c r="H199" s="74">
        <f>IF(REGISTRO!B199="","",REGISTRO!I199)</f>
        <v/>
      </c>
      <c r="I199" s="74">
        <f>IF(REGISTRO!B199="","",REGISTRO!J199)</f>
        <v/>
      </c>
      <c r="J199" s="74">
        <f>IF(REGISTRO!B199="","",REGISTRO!K199)</f>
        <v/>
      </c>
      <c r="K199" s="74">
        <f>IF(REGISTRO!B199="","",REGISTRO!N199)</f>
        <v/>
      </c>
      <c r="L199" s="75">
        <f>IF(REGISTRO!B199="","",REGISTRO!R199)</f>
        <v/>
      </c>
      <c r="M199" s="74">
        <f>IF(REGISTRO!B199="","",REGISTRO!S199)</f>
        <v/>
      </c>
    </row>
    <row r="200">
      <c r="A200" s="74">
        <f>IF(REGISTRO!B200="","",REGISTRO!A200)</f>
        <v/>
      </c>
      <c r="B200" s="74">
        <f>IF(REGISTRO!B200="","",REGISTRO!B200)</f>
        <v/>
      </c>
      <c r="C200" s="74">
        <f>IF(REGISTRO!B200="","",REGISTRO!C200)</f>
        <v/>
      </c>
      <c r="D200" s="74">
        <f>IF(REGISTRO!B200="","",REGISTRO!D200)</f>
        <v/>
      </c>
      <c r="E200" s="74">
        <f>IF(REGISTRO!B200="","",REGISTRO!E200)</f>
        <v/>
      </c>
      <c r="F200" s="74">
        <f>IF(REGISTRO!B200="","",REGISTRO!F200)</f>
        <v/>
      </c>
      <c r="G200" s="74">
        <f>IF(REGISTRO!B200="","",REGISTRO!G200)</f>
        <v/>
      </c>
      <c r="H200" s="74">
        <f>IF(REGISTRO!B200="","",REGISTRO!I200)</f>
        <v/>
      </c>
      <c r="I200" s="74">
        <f>IF(REGISTRO!B200="","",REGISTRO!J200)</f>
        <v/>
      </c>
      <c r="J200" s="74">
        <f>IF(REGISTRO!B200="","",REGISTRO!K200)</f>
        <v/>
      </c>
      <c r="K200" s="74">
        <f>IF(REGISTRO!B200="","",REGISTRO!N200)</f>
        <v/>
      </c>
      <c r="L200" s="75">
        <f>IF(REGISTRO!B200="","",REGISTRO!R200)</f>
        <v/>
      </c>
      <c r="M200" s="74">
        <f>IF(REGISTRO!B200="","",REGISTRO!S200)</f>
        <v/>
      </c>
    </row>
    <row r="201">
      <c r="A201" s="74">
        <f>IF(REGISTRO!B201="","",REGISTRO!A201)</f>
        <v/>
      </c>
      <c r="B201" s="74">
        <f>IF(REGISTRO!B201="","",REGISTRO!B201)</f>
        <v/>
      </c>
      <c r="C201" s="74">
        <f>IF(REGISTRO!B201="","",REGISTRO!C201)</f>
        <v/>
      </c>
      <c r="D201" s="74">
        <f>IF(REGISTRO!B201="","",REGISTRO!D201)</f>
        <v/>
      </c>
      <c r="E201" s="74">
        <f>IF(REGISTRO!B201="","",REGISTRO!E201)</f>
        <v/>
      </c>
      <c r="F201" s="74">
        <f>IF(REGISTRO!B201="","",REGISTRO!F201)</f>
        <v/>
      </c>
      <c r="G201" s="74">
        <f>IF(REGISTRO!B201="","",REGISTRO!G201)</f>
        <v/>
      </c>
      <c r="H201" s="74">
        <f>IF(REGISTRO!B201="","",REGISTRO!I201)</f>
        <v/>
      </c>
      <c r="I201" s="74">
        <f>IF(REGISTRO!B201="","",REGISTRO!J201)</f>
        <v/>
      </c>
      <c r="J201" s="74">
        <f>IF(REGISTRO!B201="","",REGISTRO!K201)</f>
        <v/>
      </c>
      <c r="K201" s="74">
        <f>IF(REGISTRO!B201="","",REGISTRO!N201)</f>
        <v/>
      </c>
      <c r="L201" s="75">
        <f>IF(REGISTRO!B201="","",REGISTRO!R201)</f>
        <v/>
      </c>
      <c r="M201" s="74">
        <f>IF(REGISTRO!B201="","",REGISTRO!S201)</f>
        <v/>
      </c>
    </row>
    <row r="202">
      <c r="A202" s="74">
        <f>IF(REGISTRO!B202="","",REGISTRO!A202)</f>
        <v/>
      </c>
      <c r="B202" s="74">
        <f>IF(REGISTRO!B202="","",REGISTRO!B202)</f>
        <v/>
      </c>
      <c r="C202" s="74">
        <f>IF(REGISTRO!B202="","",REGISTRO!C202)</f>
        <v/>
      </c>
      <c r="D202" s="74">
        <f>IF(REGISTRO!B202="","",REGISTRO!D202)</f>
        <v/>
      </c>
      <c r="E202" s="74">
        <f>IF(REGISTRO!B202="","",REGISTRO!E202)</f>
        <v/>
      </c>
      <c r="F202" s="74">
        <f>IF(REGISTRO!B202="","",REGISTRO!F202)</f>
        <v/>
      </c>
      <c r="G202" s="74">
        <f>IF(REGISTRO!B202="","",REGISTRO!G202)</f>
        <v/>
      </c>
      <c r="H202" s="74">
        <f>IF(REGISTRO!B202="","",REGISTRO!I202)</f>
        <v/>
      </c>
      <c r="I202" s="74">
        <f>IF(REGISTRO!B202="","",REGISTRO!J202)</f>
        <v/>
      </c>
      <c r="J202" s="74">
        <f>IF(REGISTRO!B202="","",REGISTRO!K202)</f>
        <v/>
      </c>
      <c r="K202" s="74">
        <f>IF(REGISTRO!B202="","",REGISTRO!N202)</f>
        <v/>
      </c>
      <c r="L202" s="75">
        <f>IF(REGISTRO!B202="","",REGISTRO!R202)</f>
        <v/>
      </c>
      <c r="M202" s="74">
        <f>IF(REGISTRO!B202="","",REGISTRO!S202)</f>
        <v/>
      </c>
    </row>
    <row r="203">
      <c r="A203" s="74">
        <f>IF(REGISTRO!B203="","",REGISTRO!A203)</f>
        <v/>
      </c>
      <c r="B203" s="74">
        <f>IF(REGISTRO!B203="","",REGISTRO!B203)</f>
        <v/>
      </c>
      <c r="C203" s="74">
        <f>IF(REGISTRO!B203="","",REGISTRO!C203)</f>
        <v/>
      </c>
      <c r="D203" s="74">
        <f>IF(REGISTRO!B203="","",REGISTRO!D203)</f>
        <v/>
      </c>
      <c r="E203" s="74">
        <f>IF(REGISTRO!B203="","",REGISTRO!E203)</f>
        <v/>
      </c>
      <c r="F203" s="74">
        <f>IF(REGISTRO!B203="","",REGISTRO!F203)</f>
        <v/>
      </c>
      <c r="G203" s="74">
        <f>IF(REGISTRO!B203="","",REGISTRO!G203)</f>
        <v/>
      </c>
      <c r="H203" s="74">
        <f>IF(REGISTRO!B203="","",REGISTRO!I203)</f>
        <v/>
      </c>
      <c r="I203" s="74">
        <f>IF(REGISTRO!B203="","",REGISTRO!J203)</f>
        <v/>
      </c>
      <c r="J203" s="74">
        <f>IF(REGISTRO!B203="","",REGISTRO!K203)</f>
        <v/>
      </c>
      <c r="K203" s="74">
        <f>IF(REGISTRO!B203="","",REGISTRO!N203)</f>
        <v/>
      </c>
      <c r="L203" s="75">
        <f>IF(REGISTRO!B203="","",REGISTRO!R203)</f>
        <v/>
      </c>
      <c r="M203" s="74">
        <f>IF(REGISTRO!B203="","",REGISTRO!S203)</f>
        <v/>
      </c>
    </row>
    <row r="204">
      <c r="A204" s="74">
        <f>IF(REGISTRO!B204="","",REGISTRO!A204)</f>
        <v/>
      </c>
      <c r="B204" s="74">
        <f>IF(REGISTRO!B204="","",REGISTRO!B204)</f>
        <v/>
      </c>
      <c r="C204" s="74">
        <f>IF(REGISTRO!B204="","",REGISTRO!C204)</f>
        <v/>
      </c>
      <c r="D204" s="74">
        <f>IF(REGISTRO!B204="","",REGISTRO!D204)</f>
        <v/>
      </c>
      <c r="E204" s="74">
        <f>IF(REGISTRO!B204="","",REGISTRO!E204)</f>
        <v/>
      </c>
      <c r="F204" s="74">
        <f>IF(REGISTRO!B204="","",REGISTRO!F204)</f>
        <v/>
      </c>
      <c r="G204" s="74">
        <f>IF(REGISTRO!B204="","",REGISTRO!G204)</f>
        <v/>
      </c>
      <c r="H204" s="74">
        <f>IF(REGISTRO!B204="","",REGISTRO!I204)</f>
        <v/>
      </c>
      <c r="I204" s="74">
        <f>IF(REGISTRO!B204="","",REGISTRO!J204)</f>
        <v/>
      </c>
      <c r="J204" s="74">
        <f>IF(REGISTRO!B204="","",REGISTRO!K204)</f>
        <v/>
      </c>
      <c r="K204" s="74">
        <f>IF(REGISTRO!B204="","",REGISTRO!N204)</f>
        <v/>
      </c>
      <c r="L204" s="75">
        <f>IF(REGISTRO!B204="","",REGISTRO!R204)</f>
        <v/>
      </c>
      <c r="M204" s="74">
        <f>IF(REGISTRO!B204="","",REGISTRO!S204)</f>
        <v/>
      </c>
    </row>
    <row r="205">
      <c r="A205" s="74">
        <f>IF(REGISTRO!B205="","",REGISTRO!A205)</f>
        <v/>
      </c>
      <c r="B205" s="74">
        <f>IF(REGISTRO!B205="","",REGISTRO!B205)</f>
        <v/>
      </c>
      <c r="C205" s="74">
        <f>IF(REGISTRO!B205="","",REGISTRO!C205)</f>
        <v/>
      </c>
      <c r="D205" s="74">
        <f>IF(REGISTRO!B205="","",REGISTRO!D205)</f>
        <v/>
      </c>
      <c r="E205" s="74">
        <f>IF(REGISTRO!B205="","",REGISTRO!E205)</f>
        <v/>
      </c>
      <c r="F205" s="74">
        <f>IF(REGISTRO!B205="","",REGISTRO!F205)</f>
        <v/>
      </c>
      <c r="G205" s="74">
        <f>IF(REGISTRO!B205="","",REGISTRO!G205)</f>
        <v/>
      </c>
      <c r="H205" s="74">
        <f>IF(REGISTRO!B205="","",REGISTRO!I205)</f>
        <v/>
      </c>
      <c r="I205" s="74">
        <f>IF(REGISTRO!B205="","",REGISTRO!J205)</f>
        <v/>
      </c>
      <c r="J205" s="74">
        <f>IF(REGISTRO!B205="","",REGISTRO!K205)</f>
        <v/>
      </c>
      <c r="K205" s="74">
        <f>IF(REGISTRO!B205="","",REGISTRO!N205)</f>
        <v/>
      </c>
      <c r="L205" s="75">
        <f>IF(REGISTRO!B205="","",REGISTRO!R205)</f>
        <v/>
      </c>
      <c r="M205" s="74">
        <f>IF(REGISTRO!B205="","",REGISTRO!S205)</f>
        <v/>
      </c>
    </row>
    <row r="206">
      <c r="A206" s="74">
        <f>IF(REGISTRO!B206="","",REGISTRO!A206)</f>
        <v/>
      </c>
      <c r="B206" s="74">
        <f>IF(REGISTRO!B206="","",REGISTRO!B206)</f>
        <v/>
      </c>
      <c r="C206" s="74">
        <f>IF(REGISTRO!B206="","",REGISTRO!C206)</f>
        <v/>
      </c>
      <c r="D206" s="74">
        <f>IF(REGISTRO!B206="","",REGISTRO!D206)</f>
        <v/>
      </c>
      <c r="E206" s="74">
        <f>IF(REGISTRO!B206="","",REGISTRO!E206)</f>
        <v/>
      </c>
      <c r="F206" s="74">
        <f>IF(REGISTRO!B206="","",REGISTRO!F206)</f>
        <v/>
      </c>
      <c r="G206" s="74">
        <f>IF(REGISTRO!B206="","",REGISTRO!G206)</f>
        <v/>
      </c>
      <c r="H206" s="74">
        <f>IF(REGISTRO!B206="","",REGISTRO!I206)</f>
        <v/>
      </c>
      <c r="I206" s="74">
        <f>IF(REGISTRO!B206="","",REGISTRO!J206)</f>
        <v/>
      </c>
      <c r="J206" s="74">
        <f>IF(REGISTRO!B206="","",REGISTRO!K206)</f>
        <v/>
      </c>
      <c r="K206" s="74">
        <f>IF(REGISTRO!B206="","",REGISTRO!N206)</f>
        <v/>
      </c>
      <c r="L206" s="75">
        <f>IF(REGISTRO!B206="","",REGISTRO!R206)</f>
        <v/>
      </c>
      <c r="M206" s="74">
        <f>IF(REGISTRO!B206="","",REGISTRO!S206)</f>
        <v/>
      </c>
    </row>
    <row r="207">
      <c r="A207" s="74">
        <f>IF(REGISTRO!B207="","",REGISTRO!A207)</f>
        <v/>
      </c>
      <c r="B207" s="74">
        <f>IF(REGISTRO!B207="","",REGISTRO!B207)</f>
        <v/>
      </c>
      <c r="C207" s="74">
        <f>IF(REGISTRO!B207="","",REGISTRO!C207)</f>
        <v/>
      </c>
      <c r="D207" s="74">
        <f>IF(REGISTRO!B207="","",REGISTRO!D207)</f>
        <v/>
      </c>
      <c r="E207" s="74">
        <f>IF(REGISTRO!B207="","",REGISTRO!E207)</f>
        <v/>
      </c>
      <c r="F207" s="74">
        <f>IF(REGISTRO!B207="","",REGISTRO!F207)</f>
        <v/>
      </c>
      <c r="G207" s="74">
        <f>IF(REGISTRO!B207="","",REGISTRO!G207)</f>
        <v/>
      </c>
      <c r="H207" s="74">
        <f>IF(REGISTRO!B207="","",REGISTRO!I207)</f>
        <v/>
      </c>
      <c r="I207" s="74">
        <f>IF(REGISTRO!B207="","",REGISTRO!J207)</f>
        <v/>
      </c>
      <c r="J207" s="74">
        <f>IF(REGISTRO!B207="","",REGISTRO!K207)</f>
        <v/>
      </c>
      <c r="K207" s="74">
        <f>IF(REGISTRO!B207="","",REGISTRO!N207)</f>
        <v/>
      </c>
      <c r="L207" s="75">
        <f>IF(REGISTRO!B207="","",REGISTRO!R207)</f>
        <v/>
      </c>
      <c r="M207" s="74">
        <f>IF(REGISTRO!B207="","",REGISTRO!S207)</f>
        <v/>
      </c>
    </row>
    <row r="208">
      <c r="A208" s="74">
        <f>IF(REGISTRO!B208="","",REGISTRO!A208)</f>
        <v/>
      </c>
      <c r="B208" s="74">
        <f>IF(REGISTRO!B208="","",REGISTRO!B208)</f>
        <v/>
      </c>
      <c r="C208" s="74">
        <f>IF(REGISTRO!B208="","",REGISTRO!C208)</f>
        <v/>
      </c>
      <c r="D208" s="74">
        <f>IF(REGISTRO!B208="","",REGISTRO!D208)</f>
        <v/>
      </c>
      <c r="E208" s="74">
        <f>IF(REGISTRO!B208="","",REGISTRO!E208)</f>
        <v/>
      </c>
      <c r="F208" s="74">
        <f>IF(REGISTRO!B208="","",REGISTRO!F208)</f>
        <v/>
      </c>
      <c r="G208" s="74">
        <f>IF(REGISTRO!B208="","",REGISTRO!G208)</f>
        <v/>
      </c>
      <c r="H208" s="74">
        <f>IF(REGISTRO!B208="","",REGISTRO!I208)</f>
        <v/>
      </c>
      <c r="I208" s="74">
        <f>IF(REGISTRO!B208="","",REGISTRO!J208)</f>
        <v/>
      </c>
      <c r="J208" s="74">
        <f>IF(REGISTRO!B208="","",REGISTRO!K208)</f>
        <v/>
      </c>
      <c r="K208" s="74">
        <f>IF(REGISTRO!B208="","",REGISTRO!N208)</f>
        <v/>
      </c>
      <c r="L208" s="75">
        <f>IF(REGISTRO!B208="","",REGISTRO!R208)</f>
        <v/>
      </c>
      <c r="M208" s="74">
        <f>IF(REGISTRO!B208="","",REGISTRO!S208)</f>
        <v/>
      </c>
    </row>
    <row r="209">
      <c r="A209" s="74">
        <f>IF(REGISTRO!B209="","",REGISTRO!A209)</f>
        <v/>
      </c>
      <c r="B209" s="74">
        <f>IF(REGISTRO!B209="","",REGISTRO!B209)</f>
        <v/>
      </c>
      <c r="C209" s="74">
        <f>IF(REGISTRO!B209="","",REGISTRO!C209)</f>
        <v/>
      </c>
      <c r="D209" s="74">
        <f>IF(REGISTRO!B209="","",REGISTRO!D209)</f>
        <v/>
      </c>
      <c r="E209" s="74">
        <f>IF(REGISTRO!B209="","",REGISTRO!E209)</f>
        <v/>
      </c>
      <c r="F209" s="74">
        <f>IF(REGISTRO!B209="","",REGISTRO!F209)</f>
        <v/>
      </c>
      <c r="G209" s="74">
        <f>IF(REGISTRO!B209="","",REGISTRO!G209)</f>
        <v/>
      </c>
      <c r="H209" s="74">
        <f>IF(REGISTRO!B209="","",REGISTRO!I209)</f>
        <v/>
      </c>
      <c r="I209" s="74">
        <f>IF(REGISTRO!B209="","",REGISTRO!J209)</f>
        <v/>
      </c>
      <c r="J209" s="74">
        <f>IF(REGISTRO!B209="","",REGISTRO!K209)</f>
        <v/>
      </c>
      <c r="K209" s="74">
        <f>IF(REGISTRO!B209="","",REGISTRO!N209)</f>
        <v/>
      </c>
      <c r="L209" s="75">
        <f>IF(REGISTRO!B209="","",REGISTRO!R209)</f>
        <v/>
      </c>
      <c r="M209" s="74">
        <f>IF(REGISTRO!B209="","",REGISTRO!S209)</f>
        <v/>
      </c>
    </row>
    <row r="210">
      <c r="A210" s="74">
        <f>IF(REGISTRO!B210="","",REGISTRO!A210)</f>
        <v/>
      </c>
      <c r="B210" s="74">
        <f>IF(REGISTRO!B210="","",REGISTRO!B210)</f>
        <v/>
      </c>
      <c r="C210" s="74">
        <f>IF(REGISTRO!B210="","",REGISTRO!C210)</f>
        <v/>
      </c>
      <c r="D210" s="74">
        <f>IF(REGISTRO!B210="","",REGISTRO!D210)</f>
        <v/>
      </c>
      <c r="E210" s="74">
        <f>IF(REGISTRO!B210="","",REGISTRO!E210)</f>
        <v/>
      </c>
      <c r="F210" s="74">
        <f>IF(REGISTRO!B210="","",REGISTRO!F210)</f>
        <v/>
      </c>
      <c r="G210" s="74">
        <f>IF(REGISTRO!B210="","",REGISTRO!G210)</f>
        <v/>
      </c>
      <c r="H210" s="74">
        <f>IF(REGISTRO!B210="","",REGISTRO!I210)</f>
        <v/>
      </c>
      <c r="I210" s="74">
        <f>IF(REGISTRO!B210="","",REGISTRO!J210)</f>
        <v/>
      </c>
      <c r="J210" s="74">
        <f>IF(REGISTRO!B210="","",REGISTRO!K210)</f>
        <v/>
      </c>
      <c r="K210" s="74">
        <f>IF(REGISTRO!B210="","",REGISTRO!N210)</f>
        <v/>
      </c>
      <c r="L210" s="75">
        <f>IF(REGISTRO!B210="","",REGISTRO!R210)</f>
        <v/>
      </c>
      <c r="M210" s="74">
        <f>IF(REGISTRO!B210="","",REGISTRO!S210)</f>
        <v/>
      </c>
    </row>
    <row r="211">
      <c r="A211" s="74">
        <f>IF(REGISTRO!B211="","",REGISTRO!A211)</f>
        <v/>
      </c>
      <c r="B211" s="74">
        <f>IF(REGISTRO!B211="","",REGISTRO!B211)</f>
        <v/>
      </c>
      <c r="C211" s="74">
        <f>IF(REGISTRO!B211="","",REGISTRO!C211)</f>
        <v/>
      </c>
      <c r="D211" s="74">
        <f>IF(REGISTRO!B211="","",REGISTRO!D211)</f>
        <v/>
      </c>
      <c r="E211" s="74">
        <f>IF(REGISTRO!B211="","",REGISTRO!E211)</f>
        <v/>
      </c>
      <c r="F211" s="74">
        <f>IF(REGISTRO!B211="","",REGISTRO!F211)</f>
        <v/>
      </c>
      <c r="G211" s="74">
        <f>IF(REGISTRO!B211="","",REGISTRO!G211)</f>
        <v/>
      </c>
      <c r="H211" s="74">
        <f>IF(REGISTRO!B211="","",REGISTRO!I211)</f>
        <v/>
      </c>
      <c r="I211" s="74">
        <f>IF(REGISTRO!B211="","",REGISTRO!J211)</f>
        <v/>
      </c>
      <c r="J211" s="74">
        <f>IF(REGISTRO!B211="","",REGISTRO!K211)</f>
        <v/>
      </c>
      <c r="K211" s="74">
        <f>IF(REGISTRO!B211="","",REGISTRO!N211)</f>
        <v/>
      </c>
      <c r="L211" s="75">
        <f>IF(REGISTRO!B211="","",REGISTRO!R211)</f>
        <v/>
      </c>
      <c r="M211" s="74">
        <f>IF(REGISTRO!B211="","",REGISTRO!S211)</f>
        <v/>
      </c>
    </row>
    <row r="212">
      <c r="A212" s="74">
        <f>IF(REGISTRO!B212="","",REGISTRO!A212)</f>
        <v/>
      </c>
      <c r="B212" s="74">
        <f>IF(REGISTRO!B212="","",REGISTRO!B212)</f>
        <v/>
      </c>
      <c r="C212" s="74">
        <f>IF(REGISTRO!B212="","",REGISTRO!C212)</f>
        <v/>
      </c>
      <c r="D212" s="74">
        <f>IF(REGISTRO!B212="","",REGISTRO!D212)</f>
        <v/>
      </c>
      <c r="E212" s="74">
        <f>IF(REGISTRO!B212="","",REGISTRO!E212)</f>
        <v/>
      </c>
      <c r="F212" s="74">
        <f>IF(REGISTRO!B212="","",REGISTRO!F212)</f>
        <v/>
      </c>
      <c r="G212" s="74">
        <f>IF(REGISTRO!B212="","",REGISTRO!G212)</f>
        <v/>
      </c>
      <c r="H212" s="74">
        <f>IF(REGISTRO!B212="","",REGISTRO!I212)</f>
        <v/>
      </c>
      <c r="I212" s="74">
        <f>IF(REGISTRO!B212="","",REGISTRO!J212)</f>
        <v/>
      </c>
      <c r="J212" s="74">
        <f>IF(REGISTRO!B212="","",REGISTRO!K212)</f>
        <v/>
      </c>
      <c r="K212" s="74">
        <f>IF(REGISTRO!B212="","",REGISTRO!N212)</f>
        <v/>
      </c>
      <c r="L212" s="75">
        <f>IF(REGISTRO!B212="","",REGISTRO!R212)</f>
        <v/>
      </c>
      <c r="M212" s="74">
        <f>IF(REGISTRO!B212="","",REGISTRO!S212)</f>
        <v/>
      </c>
    </row>
    <row r="213">
      <c r="A213" s="74">
        <f>IF(REGISTRO!B213="","",REGISTRO!A213)</f>
        <v/>
      </c>
      <c r="B213" s="74">
        <f>IF(REGISTRO!B213="","",REGISTRO!B213)</f>
        <v/>
      </c>
      <c r="C213" s="74">
        <f>IF(REGISTRO!B213="","",REGISTRO!C213)</f>
        <v/>
      </c>
      <c r="D213" s="74">
        <f>IF(REGISTRO!B213="","",REGISTRO!D213)</f>
        <v/>
      </c>
      <c r="E213" s="74">
        <f>IF(REGISTRO!B213="","",REGISTRO!E213)</f>
        <v/>
      </c>
      <c r="F213" s="74">
        <f>IF(REGISTRO!B213="","",REGISTRO!F213)</f>
        <v/>
      </c>
      <c r="G213" s="74">
        <f>IF(REGISTRO!B213="","",REGISTRO!G213)</f>
        <v/>
      </c>
      <c r="H213" s="74">
        <f>IF(REGISTRO!B213="","",REGISTRO!I213)</f>
        <v/>
      </c>
      <c r="I213" s="74">
        <f>IF(REGISTRO!B213="","",REGISTRO!J213)</f>
        <v/>
      </c>
      <c r="J213" s="74">
        <f>IF(REGISTRO!B213="","",REGISTRO!K213)</f>
        <v/>
      </c>
      <c r="K213" s="74">
        <f>IF(REGISTRO!B213="","",REGISTRO!N213)</f>
        <v/>
      </c>
      <c r="L213" s="75">
        <f>IF(REGISTRO!B213="","",REGISTRO!R213)</f>
        <v/>
      </c>
      <c r="M213" s="74">
        <f>IF(REGISTRO!B213="","",REGISTRO!S213)</f>
        <v/>
      </c>
    </row>
    <row r="214">
      <c r="A214" s="74">
        <f>IF(REGISTRO!B214="","",REGISTRO!A214)</f>
        <v/>
      </c>
      <c r="B214" s="74">
        <f>IF(REGISTRO!B214="","",REGISTRO!B214)</f>
        <v/>
      </c>
      <c r="C214" s="74">
        <f>IF(REGISTRO!B214="","",REGISTRO!C214)</f>
        <v/>
      </c>
      <c r="D214" s="74">
        <f>IF(REGISTRO!B214="","",REGISTRO!D214)</f>
        <v/>
      </c>
      <c r="E214" s="74">
        <f>IF(REGISTRO!B214="","",REGISTRO!E214)</f>
        <v/>
      </c>
      <c r="F214" s="74">
        <f>IF(REGISTRO!B214="","",REGISTRO!F214)</f>
        <v/>
      </c>
      <c r="G214" s="74">
        <f>IF(REGISTRO!B214="","",REGISTRO!G214)</f>
        <v/>
      </c>
      <c r="H214" s="74">
        <f>IF(REGISTRO!B214="","",REGISTRO!I214)</f>
        <v/>
      </c>
      <c r="I214" s="74">
        <f>IF(REGISTRO!B214="","",REGISTRO!J214)</f>
        <v/>
      </c>
      <c r="J214" s="74">
        <f>IF(REGISTRO!B214="","",REGISTRO!K214)</f>
        <v/>
      </c>
      <c r="K214" s="74">
        <f>IF(REGISTRO!B214="","",REGISTRO!N214)</f>
        <v/>
      </c>
      <c r="L214" s="75">
        <f>IF(REGISTRO!B214="","",REGISTRO!R214)</f>
        <v/>
      </c>
      <c r="M214" s="74">
        <f>IF(REGISTRO!B214="","",REGISTRO!S214)</f>
        <v/>
      </c>
    </row>
    <row r="215">
      <c r="A215" s="74">
        <f>IF(REGISTRO!B215="","",REGISTRO!A215)</f>
        <v/>
      </c>
      <c r="B215" s="74">
        <f>IF(REGISTRO!B215="","",REGISTRO!B215)</f>
        <v/>
      </c>
      <c r="C215" s="74">
        <f>IF(REGISTRO!B215="","",REGISTRO!C215)</f>
        <v/>
      </c>
      <c r="D215" s="74">
        <f>IF(REGISTRO!B215="","",REGISTRO!D215)</f>
        <v/>
      </c>
      <c r="E215" s="74">
        <f>IF(REGISTRO!B215="","",REGISTRO!E215)</f>
        <v/>
      </c>
      <c r="F215" s="74">
        <f>IF(REGISTRO!B215="","",REGISTRO!F215)</f>
        <v/>
      </c>
      <c r="G215" s="74">
        <f>IF(REGISTRO!B215="","",REGISTRO!G215)</f>
        <v/>
      </c>
      <c r="H215" s="74">
        <f>IF(REGISTRO!B215="","",REGISTRO!I215)</f>
        <v/>
      </c>
      <c r="I215" s="74">
        <f>IF(REGISTRO!B215="","",REGISTRO!J215)</f>
        <v/>
      </c>
      <c r="J215" s="74">
        <f>IF(REGISTRO!B215="","",REGISTRO!K215)</f>
        <v/>
      </c>
      <c r="K215" s="74">
        <f>IF(REGISTRO!B215="","",REGISTRO!N215)</f>
        <v/>
      </c>
      <c r="L215" s="75">
        <f>IF(REGISTRO!B215="","",REGISTRO!R215)</f>
        <v/>
      </c>
      <c r="M215" s="74">
        <f>IF(REGISTRO!B215="","",REGISTRO!S215)</f>
        <v/>
      </c>
    </row>
    <row r="216">
      <c r="A216" s="74">
        <f>IF(REGISTRO!B216="","",REGISTRO!A216)</f>
        <v/>
      </c>
      <c r="B216" s="74">
        <f>IF(REGISTRO!B216="","",REGISTRO!B216)</f>
        <v/>
      </c>
      <c r="C216" s="74">
        <f>IF(REGISTRO!B216="","",REGISTRO!C216)</f>
        <v/>
      </c>
      <c r="D216" s="74">
        <f>IF(REGISTRO!B216="","",REGISTRO!D216)</f>
        <v/>
      </c>
      <c r="E216" s="74">
        <f>IF(REGISTRO!B216="","",REGISTRO!E216)</f>
        <v/>
      </c>
      <c r="F216" s="74">
        <f>IF(REGISTRO!B216="","",REGISTRO!F216)</f>
        <v/>
      </c>
      <c r="G216" s="74">
        <f>IF(REGISTRO!B216="","",REGISTRO!G216)</f>
        <v/>
      </c>
      <c r="H216" s="74">
        <f>IF(REGISTRO!B216="","",REGISTRO!I216)</f>
        <v/>
      </c>
      <c r="I216" s="74">
        <f>IF(REGISTRO!B216="","",REGISTRO!J216)</f>
        <v/>
      </c>
      <c r="J216" s="74">
        <f>IF(REGISTRO!B216="","",REGISTRO!K216)</f>
        <v/>
      </c>
      <c r="K216" s="74">
        <f>IF(REGISTRO!B216="","",REGISTRO!N216)</f>
        <v/>
      </c>
      <c r="L216" s="75">
        <f>IF(REGISTRO!B216="","",REGISTRO!R216)</f>
        <v/>
      </c>
      <c r="M216" s="74">
        <f>IF(REGISTRO!B216="","",REGISTRO!S216)</f>
        <v/>
      </c>
    </row>
    <row r="217">
      <c r="A217" s="74">
        <f>IF(REGISTRO!B217="","",REGISTRO!A217)</f>
        <v/>
      </c>
      <c r="B217" s="74">
        <f>IF(REGISTRO!B217="","",REGISTRO!B217)</f>
        <v/>
      </c>
      <c r="C217" s="74">
        <f>IF(REGISTRO!B217="","",REGISTRO!C217)</f>
        <v/>
      </c>
      <c r="D217" s="74">
        <f>IF(REGISTRO!B217="","",REGISTRO!D217)</f>
        <v/>
      </c>
      <c r="E217" s="74">
        <f>IF(REGISTRO!B217="","",REGISTRO!E217)</f>
        <v/>
      </c>
      <c r="F217" s="74">
        <f>IF(REGISTRO!B217="","",REGISTRO!F217)</f>
        <v/>
      </c>
      <c r="G217" s="74">
        <f>IF(REGISTRO!B217="","",REGISTRO!G217)</f>
        <v/>
      </c>
      <c r="H217" s="74">
        <f>IF(REGISTRO!B217="","",REGISTRO!I217)</f>
        <v/>
      </c>
      <c r="I217" s="74">
        <f>IF(REGISTRO!B217="","",REGISTRO!J217)</f>
        <v/>
      </c>
      <c r="J217" s="74">
        <f>IF(REGISTRO!B217="","",REGISTRO!K217)</f>
        <v/>
      </c>
      <c r="K217" s="74">
        <f>IF(REGISTRO!B217="","",REGISTRO!N217)</f>
        <v/>
      </c>
      <c r="L217" s="75">
        <f>IF(REGISTRO!B217="","",REGISTRO!R217)</f>
        <v/>
      </c>
      <c r="M217" s="74">
        <f>IF(REGISTRO!B217="","",REGISTRO!S217)</f>
        <v/>
      </c>
    </row>
    <row r="218">
      <c r="A218" s="74">
        <f>IF(REGISTRO!B218="","",REGISTRO!A218)</f>
        <v/>
      </c>
      <c r="B218" s="74">
        <f>IF(REGISTRO!B218="","",REGISTRO!B218)</f>
        <v/>
      </c>
      <c r="C218" s="74">
        <f>IF(REGISTRO!B218="","",REGISTRO!C218)</f>
        <v/>
      </c>
      <c r="D218" s="74">
        <f>IF(REGISTRO!B218="","",REGISTRO!D218)</f>
        <v/>
      </c>
      <c r="E218" s="74">
        <f>IF(REGISTRO!B218="","",REGISTRO!E218)</f>
        <v/>
      </c>
      <c r="F218" s="74">
        <f>IF(REGISTRO!B218="","",REGISTRO!F218)</f>
        <v/>
      </c>
      <c r="G218" s="74">
        <f>IF(REGISTRO!B218="","",REGISTRO!G218)</f>
        <v/>
      </c>
      <c r="H218" s="74">
        <f>IF(REGISTRO!B218="","",REGISTRO!I218)</f>
        <v/>
      </c>
      <c r="I218" s="74">
        <f>IF(REGISTRO!B218="","",REGISTRO!J218)</f>
        <v/>
      </c>
      <c r="J218" s="74">
        <f>IF(REGISTRO!B218="","",REGISTRO!K218)</f>
        <v/>
      </c>
      <c r="K218" s="74">
        <f>IF(REGISTRO!B218="","",REGISTRO!N218)</f>
        <v/>
      </c>
      <c r="L218" s="75">
        <f>IF(REGISTRO!B218="","",REGISTRO!R218)</f>
        <v/>
      </c>
      <c r="M218" s="74">
        <f>IF(REGISTRO!B218="","",REGISTRO!S218)</f>
        <v/>
      </c>
    </row>
    <row r="219">
      <c r="A219" s="74">
        <f>IF(REGISTRO!B219="","",REGISTRO!A219)</f>
        <v/>
      </c>
      <c r="B219" s="74">
        <f>IF(REGISTRO!B219="","",REGISTRO!B219)</f>
        <v/>
      </c>
      <c r="C219" s="74">
        <f>IF(REGISTRO!B219="","",REGISTRO!C219)</f>
        <v/>
      </c>
      <c r="D219" s="74">
        <f>IF(REGISTRO!B219="","",REGISTRO!D219)</f>
        <v/>
      </c>
      <c r="E219" s="74">
        <f>IF(REGISTRO!B219="","",REGISTRO!E219)</f>
        <v/>
      </c>
      <c r="F219" s="74">
        <f>IF(REGISTRO!B219="","",REGISTRO!F219)</f>
        <v/>
      </c>
      <c r="G219" s="74">
        <f>IF(REGISTRO!B219="","",REGISTRO!G219)</f>
        <v/>
      </c>
      <c r="H219" s="74">
        <f>IF(REGISTRO!B219="","",REGISTRO!I219)</f>
        <v/>
      </c>
      <c r="I219" s="74">
        <f>IF(REGISTRO!B219="","",REGISTRO!J219)</f>
        <v/>
      </c>
      <c r="J219" s="74">
        <f>IF(REGISTRO!B219="","",REGISTRO!K219)</f>
        <v/>
      </c>
      <c r="K219" s="74">
        <f>IF(REGISTRO!B219="","",REGISTRO!N219)</f>
        <v/>
      </c>
      <c r="L219" s="75">
        <f>IF(REGISTRO!B219="","",REGISTRO!R219)</f>
        <v/>
      </c>
      <c r="M219" s="74">
        <f>IF(REGISTRO!B219="","",REGISTRO!S219)</f>
        <v/>
      </c>
    </row>
    <row r="220">
      <c r="A220" s="74">
        <f>IF(REGISTRO!B220="","",REGISTRO!A220)</f>
        <v/>
      </c>
      <c r="B220" s="74">
        <f>IF(REGISTRO!B220="","",REGISTRO!B220)</f>
        <v/>
      </c>
      <c r="C220" s="74">
        <f>IF(REGISTRO!B220="","",REGISTRO!C220)</f>
        <v/>
      </c>
      <c r="D220" s="74">
        <f>IF(REGISTRO!B220="","",REGISTRO!D220)</f>
        <v/>
      </c>
      <c r="E220" s="74">
        <f>IF(REGISTRO!B220="","",REGISTRO!E220)</f>
        <v/>
      </c>
      <c r="F220" s="74">
        <f>IF(REGISTRO!B220="","",REGISTRO!F220)</f>
        <v/>
      </c>
      <c r="G220" s="74">
        <f>IF(REGISTRO!B220="","",REGISTRO!G220)</f>
        <v/>
      </c>
      <c r="H220" s="74">
        <f>IF(REGISTRO!B220="","",REGISTRO!I220)</f>
        <v/>
      </c>
      <c r="I220" s="74">
        <f>IF(REGISTRO!B220="","",REGISTRO!J220)</f>
        <v/>
      </c>
      <c r="J220" s="74">
        <f>IF(REGISTRO!B220="","",REGISTRO!K220)</f>
        <v/>
      </c>
      <c r="K220" s="74">
        <f>IF(REGISTRO!B220="","",REGISTRO!N220)</f>
        <v/>
      </c>
      <c r="L220" s="75">
        <f>IF(REGISTRO!B220="","",REGISTRO!R220)</f>
        <v/>
      </c>
      <c r="M220" s="74">
        <f>IF(REGISTRO!B220="","",REGISTRO!S220)</f>
        <v/>
      </c>
    </row>
    <row r="221">
      <c r="A221" s="74">
        <f>IF(REGISTRO!B221="","",REGISTRO!A221)</f>
        <v/>
      </c>
      <c r="B221" s="74">
        <f>IF(REGISTRO!B221="","",REGISTRO!B221)</f>
        <v/>
      </c>
      <c r="C221" s="74">
        <f>IF(REGISTRO!B221="","",REGISTRO!C221)</f>
        <v/>
      </c>
      <c r="D221" s="74">
        <f>IF(REGISTRO!B221="","",REGISTRO!D221)</f>
        <v/>
      </c>
      <c r="E221" s="74">
        <f>IF(REGISTRO!B221="","",REGISTRO!E221)</f>
        <v/>
      </c>
      <c r="F221" s="74">
        <f>IF(REGISTRO!B221="","",REGISTRO!F221)</f>
        <v/>
      </c>
      <c r="G221" s="74">
        <f>IF(REGISTRO!B221="","",REGISTRO!G221)</f>
        <v/>
      </c>
      <c r="H221" s="74">
        <f>IF(REGISTRO!B221="","",REGISTRO!I221)</f>
        <v/>
      </c>
      <c r="I221" s="74">
        <f>IF(REGISTRO!B221="","",REGISTRO!J221)</f>
        <v/>
      </c>
      <c r="J221" s="74">
        <f>IF(REGISTRO!B221="","",REGISTRO!K221)</f>
        <v/>
      </c>
      <c r="K221" s="74">
        <f>IF(REGISTRO!B221="","",REGISTRO!N221)</f>
        <v/>
      </c>
      <c r="L221" s="75">
        <f>IF(REGISTRO!B221="","",REGISTRO!R221)</f>
        <v/>
      </c>
      <c r="M221" s="74">
        <f>IF(REGISTRO!B221="","",REGISTRO!S221)</f>
        <v/>
      </c>
    </row>
    <row r="222">
      <c r="A222" s="74">
        <f>IF(REGISTRO!B222="","",REGISTRO!A222)</f>
        <v/>
      </c>
      <c r="B222" s="74">
        <f>IF(REGISTRO!B222="","",REGISTRO!B222)</f>
        <v/>
      </c>
      <c r="C222" s="74">
        <f>IF(REGISTRO!B222="","",REGISTRO!C222)</f>
        <v/>
      </c>
      <c r="D222" s="74">
        <f>IF(REGISTRO!B222="","",REGISTRO!D222)</f>
        <v/>
      </c>
      <c r="E222" s="74">
        <f>IF(REGISTRO!B222="","",REGISTRO!E222)</f>
        <v/>
      </c>
      <c r="F222" s="74">
        <f>IF(REGISTRO!B222="","",REGISTRO!F222)</f>
        <v/>
      </c>
      <c r="G222" s="74">
        <f>IF(REGISTRO!B222="","",REGISTRO!G222)</f>
        <v/>
      </c>
      <c r="H222" s="74">
        <f>IF(REGISTRO!B222="","",REGISTRO!I222)</f>
        <v/>
      </c>
      <c r="I222" s="74">
        <f>IF(REGISTRO!B222="","",REGISTRO!J222)</f>
        <v/>
      </c>
      <c r="J222" s="74">
        <f>IF(REGISTRO!B222="","",REGISTRO!K222)</f>
        <v/>
      </c>
      <c r="K222" s="74">
        <f>IF(REGISTRO!B222="","",REGISTRO!N222)</f>
        <v/>
      </c>
      <c r="L222" s="75">
        <f>IF(REGISTRO!B222="","",REGISTRO!R222)</f>
        <v/>
      </c>
      <c r="M222" s="74">
        <f>IF(REGISTRO!B222="","",REGISTRO!S222)</f>
        <v/>
      </c>
    </row>
    <row r="223">
      <c r="A223" s="74">
        <f>IF(REGISTRO!B223="","",REGISTRO!A223)</f>
        <v/>
      </c>
      <c r="B223" s="74">
        <f>IF(REGISTRO!B223="","",REGISTRO!B223)</f>
        <v/>
      </c>
      <c r="C223" s="74">
        <f>IF(REGISTRO!B223="","",REGISTRO!C223)</f>
        <v/>
      </c>
      <c r="D223" s="74">
        <f>IF(REGISTRO!B223="","",REGISTRO!D223)</f>
        <v/>
      </c>
      <c r="E223" s="74">
        <f>IF(REGISTRO!B223="","",REGISTRO!E223)</f>
        <v/>
      </c>
      <c r="F223" s="74">
        <f>IF(REGISTRO!B223="","",REGISTRO!F223)</f>
        <v/>
      </c>
      <c r="G223" s="74">
        <f>IF(REGISTRO!B223="","",REGISTRO!G223)</f>
        <v/>
      </c>
      <c r="H223" s="74">
        <f>IF(REGISTRO!B223="","",REGISTRO!I223)</f>
        <v/>
      </c>
      <c r="I223" s="74">
        <f>IF(REGISTRO!B223="","",REGISTRO!J223)</f>
        <v/>
      </c>
      <c r="J223" s="74">
        <f>IF(REGISTRO!B223="","",REGISTRO!K223)</f>
        <v/>
      </c>
      <c r="K223" s="74">
        <f>IF(REGISTRO!B223="","",REGISTRO!N223)</f>
        <v/>
      </c>
      <c r="L223" s="75">
        <f>IF(REGISTRO!B223="","",REGISTRO!R223)</f>
        <v/>
      </c>
      <c r="M223" s="74">
        <f>IF(REGISTRO!B223="","",REGISTRO!S223)</f>
        <v/>
      </c>
    </row>
    <row r="224">
      <c r="A224" s="74">
        <f>IF(REGISTRO!B224="","",REGISTRO!A224)</f>
        <v/>
      </c>
      <c r="B224" s="74">
        <f>IF(REGISTRO!B224="","",REGISTRO!B224)</f>
        <v/>
      </c>
      <c r="C224" s="74">
        <f>IF(REGISTRO!B224="","",REGISTRO!C224)</f>
        <v/>
      </c>
      <c r="D224" s="74">
        <f>IF(REGISTRO!B224="","",REGISTRO!D224)</f>
        <v/>
      </c>
      <c r="E224" s="74">
        <f>IF(REGISTRO!B224="","",REGISTRO!E224)</f>
        <v/>
      </c>
      <c r="F224" s="74">
        <f>IF(REGISTRO!B224="","",REGISTRO!F224)</f>
        <v/>
      </c>
      <c r="G224" s="74">
        <f>IF(REGISTRO!B224="","",REGISTRO!G224)</f>
        <v/>
      </c>
      <c r="H224" s="74">
        <f>IF(REGISTRO!B224="","",REGISTRO!I224)</f>
        <v/>
      </c>
      <c r="I224" s="74">
        <f>IF(REGISTRO!B224="","",REGISTRO!J224)</f>
        <v/>
      </c>
      <c r="J224" s="74">
        <f>IF(REGISTRO!B224="","",REGISTRO!K224)</f>
        <v/>
      </c>
      <c r="K224" s="74">
        <f>IF(REGISTRO!B224="","",REGISTRO!N224)</f>
        <v/>
      </c>
      <c r="L224" s="75">
        <f>IF(REGISTRO!B224="","",REGISTRO!R224)</f>
        <v/>
      </c>
      <c r="M224" s="74">
        <f>IF(REGISTRO!B224="","",REGISTRO!S224)</f>
        <v/>
      </c>
    </row>
    <row r="225">
      <c r="A225" s="74">
        <f>IF(REGISTRO!B225="","",REGISTRO!A225)</f>
        <v/>
      </c>
      <c r="B225" s="74">
        <f>IF(REGISTRO!B225="","",REGISTRO!B225)</f>
        <v/>
      </c>
      <c r="C225" s="74">
        <f>IF(REGISTRO!B225="","",REGISTRO!C225)</f>
        <v/>
      </c>
      <c r="D225" s="74">
        <f>IF(REGISTRO!B225="","",REGISTRO!D225)</f>
        <v/>
      </c>
      <c r="E225" s="74">
        <f>IF(REGISTRO!B225="","",REGISTRO!E225)</f>
        <v/>
      </c>
      <c r="F225" s="74">
        <f>IF(REGISTRO!B225="","",REGISTRO!F225)</f>
        <v/>
      </c>
      <c r="G225" s="74">
        <f>IF(REGISTRO!B225="","",REGISTRO!G225)</f>
        <v/>
      </c>
      <c r="H225" s="74">
        <f>IF(REGISTRO!B225="","",REGISTRO!I225)</f>
        <v/>
      </c>
      <c r="I225" s="74">
        <f>IF(REGISTRO!B225="","",REGISTRO!J225)</f>
        <v/>
      </c>
      <c r="J225" s="74">
        <f>IF(REGISTRO!B225="","",REGISTRO!K225)</f>
        <v/>
      </c>
      <c r="K225" s="74">
        <f>IF(REGISTRO!B225="","",REGISTRO!N225)</f>
        <v/>
      </c>
      <c r="L225" s="75">
        <f>IF(REGISTRO!B225="","",REGISTRO!R225)</f>
        <v/>
      </c>
      <c r="M225" s="74">
        <f>IF(REGISTRO!B225="","",REGISTRO!S225)</f>
        <v/>
      </c>
    </row>
    <row r="226">
      <c r="A226" s="74">
        <f>IF(REGISTRO!B226="","",REGISTRO!A226)</f>
        <v/>
      </c>
      <c r="B226" s="74">
        <f>IF(REGISTRO!B226="","",REGISTRO!B226)</f>
        <v/>
      </c>
      <c r="C226" s="74">
        <f>IF(REGISTRO!B226="","",REGISTRO!C226)</f>
        <v/>
      </c>
      <c r="D226" s="74">
        <f>IF(REGISTRO!B226="","",REGISTRO!D226)</f>
        <v/>
      </c>
      <c r="E226" s="74">
        <f>IF(REGISTRO!B226="","",REGISTRO!E226)</f>
        <v/>
      </c>
      <c r="F226" s="74">
        <f>IF(REGISTRO!B226="","",REGISTRO!F226)</f>
        <v/>
      </c>
      <c r="G226" s="74">
        <f>IF(REGISTRO!B226="","",REGISTRO!G226)</f>
        <v/>
      </c>
      <c r="H226" s="74">
        <f>IF(REGISTRO!B226="","",REGISTRO!I226)</f>
        <v/>
      </c>
      <c r="I226" s="74">
        <f>IF(REGISTRO!B226="","",REGISTRO!J226)</f>
        <v/>
      </c>
      <c r="J226" s="74">
        <f>IF(REGISTRO!B226="","",REGISTRO!K226)</f>
        <v/>
      </c>
      <c r="K226" s="74">
        <f>IF(REGISTRO!B226="","",REGISTRO!N226)</f>
        <v/>
      </c>
      <c r="L226" s="75">
        <f>IF(REGISTRO!B226="","",REGISTRO!R226)</f>
        <v/>
      </c>
      <c r="M226" s="74">
        <f>IF(REGISTRO!B226="","",REGISTRO!S226)</f>
        <v/>
      </c>
    </row>
    <row r="227">
      <c r="A227" s="74">
        <f>IF(REGISTRO!B227="","",REGISTRO!A227)</f>
        <v/>
      </c>
      <c r="B227" s="74">
        <f>IF(REGISTRO!B227="","",REGISTRO!B227)</f>
        <v/>
      </c>
      <c r="C227" s="74">
        <f>IF(REGISTRO!B227="","",REGISTRO!C227)</f>
        <v/>
      </c>
      <c r="D227" s="74">
        <f>IF(REGISTRO!B227="","",REGISTRO!D227)</f>
        <v/>
      </c>
      <c r="E227" s="74">
        <f>IF(REGISTRO!B227="","",REGISTRO!E227)</f>
        <v/>
      </c>
      <c r="F227" s="74">
        <f>IF(REGISTRO!B227="","",REGISTRO!F227)</f>
        <v/>
      </c>
      <c r="G227" s="74">
        <f>IF(REGISTRO!B227="","",REGISTRO!G227)</f>
        <v/>
      </c>
      <c r="H227" s="74">
        <f>IF(REGISTRO!B227="","",REGISTRO!I227)</f>
        <v/>
      </c>
      <c r="I227" s="74">
        <f>IF(REGISTRO!B227="","",REGISTRO!J227)</f>
        <v/>
      </c>
      <c r="J227" s="74">
        <f>IF(REGISTRO!B227="","",REGISTRO!K227)</f>
        <v/>
      </c>
      <c r="K227" s="74">
        <f>IF(REGISTRO!B227="","",REGISTRO!N227)</f>
        <v/>
      </c>
      <c r="L227" s="75">
        <f>IF(REGISTRO!B227="","",REGISTRO!R227)</f>
        <v/>
      </c>
      <c r="M227" s="74">
        <f>IF(REGISTRO!B227="","",REGISTRO!S227)</f>
        <v/>
      </c>
    </row>
    <row r="228">
      <c r="A228" s="74">
        <f>IF(REGISTRO!B228="","",REGISTRO!A228)</f>
        <v/>
      </c>
      <c r="B228" s="74">
        <f>IF(REGISTRO!B228="","",REGISTRO!B228)</f>
        <v/>
      </c>
      <c r="C228" s="74">
        <f>IF(REGISTRO!B228="","",REGISTRO!C228)</f>
        <v/>
      </c>
      <c r="D228" s="74">
        <f>IF(REGISTRO!B228="","",REGISTRO!D228)</f>
        <v/>
      </c>
      <c r="E228" s="74">
        <f>IF(REGISTRO!B228="","",REGISTRO!E228)</f>
        <v/>
      </c>
      <c r="F228" s="74">
        <f>IF(REGISTRO!B228="","",REGISTRO!F228)</f>
        <v/>
      </c>
      <c r="G228" s="74">
        <f>IF(REGISTRO!B228="","",REGISTRO!G228)</f>
        <v/>
      </c>
      <c r="H228" s="74">
        <f>IF(REGISTRO!B228="","",REGISTRO!I228)</f>
        <v/>
      </c>
      <c r="I228" s="74">
        <f>IF(REGISTRO!B228="","",REGISTRO!J228)</f>
        <v/>
      </c>
      <c r="J228" s="74">
        <f>IF(REGISTRO!B228="","",REGISTRO!K228)</f>
        <v/>
      </c>
      <c r="K228" s="74">
        <f>IF(REGISTRO!B228="","",REGISTRO!N228)</f>
        <v/>
      </c>
      <c r="L228" s="75">
        <f>IF(REGISTRO!B228="","",REGISTRO!R228)</f>
        <v/>
      </c>
      <c r="M228" s="74">
        <f>IF(REGISTRO!B228="","",REGISTRO!S228)</f>
        <v/>
      </c>
    </row>
    <row r="229">
      <c r="A229" s="74">
        <f>IF(REGISTRO!B229="","",REGISTRO!A229)</f>
        <v/>
      </c>
      <c r="B229" s="74">
        <f>IF(REGISTRO!B229="","",REGISTRO!B229)</f>
        <v/>
      </c>
      <c r="C229" s="74">
        <f>IF(REGISTRO!B229="","",REGISTRO!C229)</f>
        <v/>
      </c>
      <c r="D229" s="74">
        <f>IF(REGISTRO!B229="","",REGISTRO!D229)</f>
        <v/>
      </c>
      <c r="E229" s="74">
        <f>IF(REGISTRO!B229="","",REGISTRO!E229)</f>
        <v/>
      </c>
      <c r="F229" s="74">
        <f>IF(REGISTRO!B229="","",REGISTRO!F229)</f>
        <v/>
      </c>
      <c r="G229" s="74">
        <f>IF(REGISTRO!B229="","",REGISTRO!G229)</f>
        <v/>
      </c>
      <c r="H229" s="74">
        <f>IF(REGISTRO!B229="","",REGISTRO!I229)</f>
        <v/>
      </c>
      <c r="I229" s="74">
        <f>IF(REGISTRO!B229="","",REGISTRO!J229)</f>
        <v/>
      </c>
      <c r="J229" s="74">
        <f>IF(REGISTRO!B229="","",REGISTRO!K229)</f>
        <v/>
      </c>
      <c r="K229" s="74">
        <f>IF(REGISTRO!B229="","",REGISTRO!N229)</f>
        <v/>
      </c>
      <c r="L229" s="75">
        <f>IF(REGISTRO!B229="","",REGISTRO!R229)</f>
        <v/>
      </c>
      <c r="M229" s="74">
        <f>IF(REGISTRO!B229="","",REGISTRO!S229)</f>
        <v/>
      </c>
    </row>
    <row r="230">
      <c r="A230" s="74">
        <f>IF(REGISTRO!B230="","",REGISTRO!A230)</f>
        <v/>
      </c>
      <c r="B230" s="74">
        <f>IF(REGISTRO!B230="","",REGISTRO!B230)</f>
        <v/>
      </c>
      <c r="C230" s="74">
        <f>IF(REGISTRO!B230="","",REGISTRO!C230)</f>
        <v/>
      </c>
      <c r="D230" s="74">
        <f>IF(REGISTRO!B230="","",REGISTRO!D230)</f>
        <v/>
      </c>
      <c r="E230" s="74">
        <f>IF(REGISTRO!B230="","",REGISTRO!E230)</f>
        <v/>
      </c>
      <c r="F230" s="74">
        <f>IF(REGISTRO!B230="","",REGISTRO!F230)</f>
        <v/>
      </c>
      <c r="G230" s="74">
        <f>IF(REGISTRO!B230="","",REGISTRO!G230)</f>
        <v/>
      </c>
      <c r="H230" s="74">
        <f>IF(REGISTRO!B230="","",REGISTRO!I230)</f>
        <v/>
      </c>
      <c r="I230" s="74">
        <f>IF(REGISTRO!B230="","",REGISTRO!J230)</f>
        <v/>
      </c>
      <c r="J230" s="74">
        <f>IF(REGISTRO!B230="","",REGISTRO!K230)</f>
        <v/>
      </c>
      <c r="K230" s="74">
        <f>IF(REGISTRO!B230="","",REGISTRO!N230)</f>
        <v/>
      </c>
      <c r="L230" s="75">
        <f>IF(REGISTRO!B230="","",REGISTRO!R230)</f>
        <v/>
      </c>
      <c r="M230" s="74">
        <f>IF(REGISTRO!B230="","",REGISTRO!S230)</f>
        <v/>
      </c>
    </row>
    <row r="231">
      <c r="A231" s="74">
        <f>IF(REGISTRO!B231="","",REGISTRO!A231)</f>
        <v/>
      </c>
      <c r="B231" s="74">
        <f>IF(REGISTRO!B231="","",REGISTRO!B231)</f>
        <v/>
      </c>
      <c r="C231" s="74">
        <f>IF(REGISTRO!B231="","",REGISTRO!C231)</f>
        <v/>
      </c>
      <c r="D231" s="74">
        <f>IF(REGISTRO!B231="","",REGISTRO!D231)</f>
        <v/>
      </c>
      <c r="E231" s="74">
        <f>IF(REGISTRO!B231="","",REGISTRO!E231)</f>
        <v/>
      </c>
      <c r="F231" s="74">
        <f>IF(REGISTRO!B231="","",REGISTRO!F231)</f>
        <v/>
      </c>
      <c r="G231" s="74">
        <f>IF(REGISTRO!B231="","",REGISTRO!G231)</f>
        <v/>
      </c>
      <c r="H231" s="74">
        <f>IF(REGISTRO!B231="","",REGISTRO!I231)</f>
        <v/>
      </c>
      <c r="I231" s="74">
        <f>IF(REGISTRO!B231="","",REGISTRO!J231)</f>
        <v/>
      </c>
      <c r="J231" s="74">
        <f>IF(REGISTRO!B231="","",REGISTRO!K231)</f>
        <v/>
      </c>
      <c r="K231" s="74">
        <f>IF(REGISTRO!B231="","",REGISTRO!N231)</f>
        <v/>
      </c>
      <c r="L231" s="75">
        <f>IF(REGISTRO!B231="","",REGISTRO!R231)</f>
        <v/>
      </c>
      <c r="M231" s="74">
        <f>IF(REGISTRO!B231="","",REGISTRO!S231)</f>
        <v/>
      </c>
    </row>
    <row r="232">
      <c r="A232" s="74">
        <f>IF(REGISTRO!B232="","",REGISTRO!A232)</f>
        <v/>
      </c>
      <c r="B232" s="74">
        <f>IF(REGISTRO!B232="","",REGISTRO!B232)</f>
        <v/>
      </c>
      <c r="C232" s="74">
        <f>IF(REGISTRO!B232="","",REGISTRO!C232)</f>
        <v/>
      </c>
      <c r="D232" s="74">
        <f>IF(REGISTRO!B232="","",REGISTRO!D232)</f>
        <v/>
      </c>
      <c r="E232" s="74">
        <f>IF(REGISTRO!B232="","",REGISTRO!E232)</f>
        <v/>
      </c>
      <c r="F232" s="74">
        <f>IF(REGISTRO!B232="","",REGISTRO!F232)</f>
        <v/>
      </c>
      <c r="G232" s="74">
        <f>IF(REGISTRO!B232="","",REGISTRO!G232)</f>
        <v/>
      </c>
      <c r="H232" s="74">
        <f>IF(REGISTRO!B232="","",REGISTRO!I232)</f>
        <v/>
      </c>
      <c r="I232" s="74">
        <f>IF(REGISTRO!B232="","",REGISTRO!J232)</f>
        <v/>
      </c>
      <c r="J232" s="74">
        <f>IF(REGISTRO!B232="","",REGISTRO!K232)</f>
        <v/>
      </c>
      <c r="K232" s="74">
        <f>IF(REGISTRO!B232="","",REGISTRO!N232)</f>
        <v/>
      </c>
      <c r="L232" s="75">
        <f>IF(REGISTRO!B232="","",REGISTRO!R232)</f>
        <v/>
      </c>
      <c r="M232" s="74">
        <f>IF(REGISTRO!B232="","",REGISTRO!S232)</f>
        <v/>
      </c>
    </row>
    <row r="233">
      <c r="A233" s="74">
        <f>IF(REGISTRO!B233="","",REGISTRO!A233)</f>
        <v/>
      </c>
      <c r="B233" s="74">
        <f>IF(REGISTRO!B233="","",REGISTRO!B233)</f>
        <v/>
      </c>
      <c r="C233" s="74">
        <f>IF(REGISTRO!B233="","",REGISTRO!C233)</f>
        <v/>
      </c>
      <c r="D233" s="74">
        <f>IF(REGISTRO!B233="","",REGISTRO!D233)</f>
        <v/>
      </c>
      <c r="E233" s="74">
        <f>IF(REGISTRO!B233="","",REGISTRO!E233)</f>
        <v/>
      </c>
      <c r="F233" s="74">
        <f>IF(REGISTRO!B233="","",REGISTRO!F233)</f>
        <v/>
      </c>
      <c r="G233" s="74">
        <f>IF(REGISTRO!B233="","",REGISTRO!G233)</f>
        <v/>
      </c>
      <c r="H233" s="74">
        <f>IF(REGISTRO!B233="","",REGISTRO!I233)</f>
        <v/>
      </c>
      <c r="I233" s="74">
        <f>IF(REGISTRO!B233="","",REGISTRO!J233)</f>
        <v/>
      </c>
      <c r="J233" s="74">
        <f>IF(REGISTRO!B233="","",REGISTRO!K233)</f>
        <v/>
      </c>
      <c r="K233" s="74">
        <f>IF(REGISTRO!B233="","",REGISTRO!N233)</f>
        <v/>
      </c>
      <c r="L233" s="75">
        <f>IF(REGISTRO!B233="","",REGISTRO!R233)</f>
        <v/>
      </c>
      <c r="M233" s="74">
        <f>IF(REGISTRO!B233="","",REGISTRO!S233)</f>
        <v/>
      </c>
    </row>
    <row r="234">
      <c r="A234" s="74">
        <f>IF(REGISTRO!B234="","",REGISTRO!A234)</f>
        <v/>
      </c>
      <c r="B234" s="74">
        <f>IF(REGISTRO!B234="","",REGISTRO!B234)</f>
        <v/>
      </c>
      <c r="C234" s="74">
        <f>IF(REGISTRO!B234="","",REGISTRO!C234)</f>
        <v/>
      </c>
      <c r="D234" s="74">
        <f>IF(REGISTRO!B234="","",REGISTRO!D234)</f>
        <v/>
      </c>
      <c r="E234" s="74">
        <f>IF(REGISTRO!B234="","",REGISTRO!E234)</f>
        <v/>
      </c>
      <c r="F234" s="74">
        <f>IF(REGISTRO!B234="","",REGISTRO!F234)</f>
        <v/>
      </c>
      <c r="G234" s="74">
        <f>IF(REGISTRO!B234="","",REGISTRO!G234)</f>
        <v/>
      </c>
      <c r="H234" s="74">
        <f>IF(REGISTRO!B234="","",REGISTRO!I234)</f>
        <v/>
      </c>
      <c r="I234" s="74">
        <f>IF(REGISTRO!B234="","",REGISTRO!J234)</f>
        <v/>
      </c>
      <c r="J234" s="74">
        <f>IF(REGISTRO!B234="","",REGISTRO!K234)</f>
        <v/>
      </c>
      <c r="K234" s="74">
        <f>IF(REGISTRO!B234="","",REGISTRO!N234)</f>
        <v/>
      </c>
      <c r="L234" s="75">
        <f>IF(REGISTRO!B234="","",REGISTRO!R234)</f>
        <v/>
      </c>
      <c r="M234" s="74">
        <f>IF(REGISTRO!B234="","",REGISTRO!S234)</f>
        <v/>
      </c>
    </row>
    <row r="235">
      <c r="A235" s="74">
        <f>IF(REGISTRO!B235="","",REGISTRO!A235)</f>
        <v/>
      </c>
      <c r="B235" s="74">
        <f>IF(REGISTRO!B235="","",REGISTRO!B235)</f>
        <v/>
      </c>
      <c r="C235" s="74">
        <f>IF(REGISTRO!B235="","",REGISTRO!C235)</f>
        <v/>
      </c>
      <c r="D235" s="74">
        <f>IF(REGISTRO!B235="","",REGISTRO!D235)</f>
        <v/>
      </c>
      <c r="E235" s="74">
        <f>IF(REGISTRO!B235="","",REGISTRO!E235)</f>
        <v/>
      </c>
      <c r="F235" s="74">
        <f>IF(REGISTRO!B235="","",REGISTRO!F235)</f>
        <v/>
      </c>
      <c r="G235" s="74">
        <f>IF(REGISTRO!B235="","",REGISTRO!G235)</f>
        <v/>
      </c>
      <c r="H235" s="74">
        <f>IF(REGISTRO!B235="","",REGISTRO!I235)</f>
        <v/>
      </c>
      <c r="I235" s="74">
        <f>IF(REGISTRO!B235="","",REGISTRO!J235)</f>
        <v/>
      </c>
      <c r="J235" s="74">
        <f>IF(REGISTRO!B235="","",REGISTRO!K235)</f>
        <v/>
      </c>
      <c r="K235" s="74">
        <f>IF(REGISTRO!B235="","",REGISTRO!N235)</f>
        <v/>
      </c>
      <c r="L235" s="75">
        <f>IF(REGISTRO!B235="","",REGISTRO!R235)</f>
        <v/>
      </c>
      <c r="M235" s="74">
        <f>IF(REGISTRO!B235="","",REGISTRO!S235)</f>
        <v/>
      </c>
    </row>
    <row r="236">
      <c r="A236" s="74">
        <f>IF(REGISTRO!B236="","",REGISTRO!A236)</f>
        <v/>
      </c>
      <c r="B236" s="74">
        <f>IF(REGISTRO!B236="","",REGISTRO!B236)</f>
        <v/>
      </c>
      <c r="C236" s="74">
        <f>IF(REGISTRO!B236="","",REGISTRO!C236)</f>
        <v/>
      </c>
      <c r="D236" s="74">
        <f>IF(REGISTRO!B236="","",REGISTRO!D236)</f>
        <v/>
      </c>
      <c r="E236" s="74">
        <f>IF(REGISTRO!B236="","",REGISTRO!E236)</f>
        <v/>
      </c>
      <c r="F236" s="74">
        <f>IF(REGISTRO!B236="","",REGISTRO!F236)</f>
        <v/>
      </c>
      <c r="G236" s="74">
        <f>IF(REGISTRO!B236="","",REGISTRO!G236)</f>
        <v/>
      </c>
      <c r="H236" s="74">
        <f>IF(REGISTRO!B236="","",REGISTRO!I236)</f>
        <v/>
      </c>
      <c r="I236" s="74">
        <f>IF(REGISTRO!B236="","",REGISTRO!J236)</f>
        <v/>
      </c>
      <c r="J236" s="74">
        <f>IF(REGISTRO!B236="","",REGISTRO!K236)</f>
        <v/>
      </c>
      <c r="K236" s="74">
        <f>IF(REGISTRO!B236="","",REGISTRO!N236)</f>
        <v/>
      </c>
      <c r="L236" s="75">
        <f>IF(REGISTRO!B236="","",REGISTRO!R236)</f>
        <v/>
      </c>
      <c r="M236" s="74">
        <f>IF(REGISTRO!B236="","",REGISTRO!S236)</f>
        <v/>
      </c>
    </row>
    <row r="237">
      <c r="A237" s="74">
        <f>IF(REGISTRO!B237="","",REGISTRO!A237)</f>
        <v/>
      </c>
      <c r="B237" s="74">
        <f>IF(REGISTRO!B237="","",REGISTRO!B237)</f>
        <v/>
      </c>
      <c r="C237" s="74">
        <f>IF(REGISTRO!B237="","",REGISTRO!C237)</f>
        <v/>
      </c>
      <c r="D237" s="74">
        <f>IF(REGISTRO!B237="","",REGISTRO!D237)</f>
        <v/>
      </c>
      <c r="E237" s="74">
        <f>IF(REGISTRO!B237="","",REGISTRO!E237)</f>
        <v/>
      </c>
      <c r="F237" s="74">
        <f>IF(REGISTRO!B237="","",REGISTRO!F237)</f>
        <v/>
      </c>
      <c r="G237" s="74">
        <f>IF(REGISTRO!B237="","",REGISTRO!G237)</f>
        <v/>
      </c>
      <c r="H237" s="74">
        <f>IF(REGISTRO!B237="","",REGISTRO!I237)</f>
        <v/>
      </c>
      <c r="I237" s="74">
        <f>IF(REGISTRO!B237="","",REGISTRO!J237)</f>
        <v/>
      </c>
      <c r="J237" s="74">
        <f>IF(REGISTRO!B237="","",REGISTRO!K237)</f>
        <v/>
      </c>
      <c r="K237" s="74">
        <f>IF(REGISTRO!B237="","",REGISTRO!N237)</f>
        <v/>
      </c>
      <c r="L237" s="75">
        <f>IF(REGISTRO!B237="","",REGISTRO!R237)</f>
        <v/>
      </c>
      <c r="M237" s="74">
        <f>IF(REGISTRO!B237="","",REGISTRO!S237)</f>
        <v/>
      </c>
    </row>
    <row r="238">
      <c r="A238" s="74">
        <f>IF(REGISTRO!B238="","",REGISTRO!A238)</f>
        <v/>
      </c>
      <c r="B238" s="74">
        <f>IF(REGISTRO!B238="","",REGISTRO!B238)</f>
        <v/>
      </c>
      <c r="C238" s="74">
        <f>IF(REGISTRO!B238="","",REGISTRO!C238)</f>
        <v/>
      </c>
      <c r="D238" s="74">
        <f>IF(REGISTRO!B238="","",REGISTRO!D238)</f>
        <v/>
      </c>
      <c r="E238" s="74">
        <f>IF(REGISTRO!B238="","",REGISTRO!E238)</f>
        <v/>
      </c>
      <c r="F238" s="74">
        <f>IF(REGISTRO!B238="","",REGISTRO!F238)</f>
        <v/>
      </c>
      <c r="G238" s="74">
        <f>IF(REGISTRO!B238="","",REGISTRO!G238)</f>
        <v/>
      </c>
      <c r="H238" s="74">
        <f>IF(REGISTRO!B238="","",REGISTRO!I238)</f>
        <v/>
      </c>
      <c r="I238" s="74">
        <f>IF(REGISTRO!B238="","",REGISTRO!J238)</f>
        <v/>
      </c>
      <c r="J238" s="74">
        <f>IF(REGISTRO!B238="","",REGISTRO!K238)</f>
        <v/>
      </c>
      <c r="K238" s="74">
        <f>IF(REGISTRO!B238="","",REGISTRO!N238)</f>
        <v/>
      </c>
      <c r="L238" s="75">
        <f>IF(REGISTRO!B238="","",REGISTRO!R238)</f>
        <v/>
      </c>
      <c r="M238" s="74">
        <f>IF(REGISTRO!B238="","",REGISTRO!S238)</f>
        <v/>
      </c>
    </row>
    <row r="239">
      <c r="A239" s="74">
        <f>IF(REGISTRO!B239="","",REGISTRO!A239)</f>
        <v/>
      </c>
      <c r="B239" s="74">
        <f>IF(REGISTRO!B239="","",REGISTRO!B239)</f>
        <v/>
      </c>
      <c r="C239" s="74">
        <f>IF(REGISTRO!B239="","",REGISTRO!C239)</f>
        <v/>
      </c>
      <c r="D239" s="74">
        <f>IF(REGISTRO!B239="","",REGISTRO!D239)</f>
        <v/>
      </c>
      <c r="E239" s="74">
        <f>IF(REGISTRO!B239="","",REGISTRO!E239)</f>
        <v/>
      </c>
      <c r="F239" s="74">
        <f>IF(REGISTRO!B239="","",REGISTRO!F239)</f>
        <v/>
      </c>
      <c r="G239" s="74">
        <f>IF(REGISTRO!B239="","",REGISTRO!G239)</f>
        <v/>
      </c>
      <c r="H239" s="74">
        <f>IF(REGISTRO!B239="","",REGISTRO!I239)</f>
        <v/>
      </c>
      <c r="I239" s="74">
        <f>IF(REGISTRO!B239="","",REGISTRO!J239)</f>
        <v/>
      </c>
      <c r="J239" s="74">
        <f>IF(REGISTRO!B239="","",REGISTRO!K239)</f>
        <v/>
      </c>
      <c r="K239" s="74">
        <f>IF(REGISTRO!B239="","",REGISTRO!N239)</f>
        <v/>
      </c>
      <c r="L239" s="75">
        <f>IF(REGISTRO!B239="","",REGISTRO!R239)</f>
        <v/>
      </c>
      <c r="M239" s="74">
        <f>IF(REGISTRO!B239="","",REGISTRO!S239)</f>
        <v/>
      </c>
    </row>
    <row r="240">
      <c r="A240" s="74">
        <f>IF(REGISTRO!B240="","",REGISTRO!A240)</f>
        <v/>
      </c>
      <c r="B240" s="74">
        <f>IF(REGISTRO!B240="","",REGISTRO!B240)</f>
        <v/>
      </c>
      <c r="C240" s="74">
        <f>IF(REGISTRO!B240="","",REGISTRO!C240)</f>
        <v/>
      </c>
      <c r="D240" s="74">
        <f>IF(REGISTRO!B240="","",REGISTRO!D240)</f>
        <v/>
      </c>
      <c r="E240" s="74">
        <f>IF(REGISTRO!B240="","",REGISTRO!E240)</f>
        <v/>
      </c>
      <c r="F240" s="74">
        <f>IF(REGISTRO!B240="","",REGISTRO!F240)</f>
        <v/>
      </c>
      <c r="G240" s="74">
        <f>IF(REGISTRO!B240="","",REGISTRO!G240)</f>
        <v/>
      </c>
      <c r="H240" s="74">
        <f>IF(REGISTRO!B240="","",REGISTRO!I240)</f>
        <v/>
      </c>
      <c r="I240" s="74">
        <f>IF(REGISTRO!B240="","",REGISTRO!J240)</f>
        <v/>
      </c>
      <c r="J240" s="74">
        <f>IF(REGISTRO!B240="","",REGISTRO!K240)</f>
        <v/>
      </c>
      <c r="K240" s="74">
        <f>IF(REGISTRO!B240="","",REGISTRO!N240)</f>
        <v/>
      </c>
      <c r="L240" s="75">
        <f>IF(REGISTRO!B240="","",REGISTRO!R240)</f>
        <v/>
      </c>
      <c r="M240" s="74">
        <f>IF(REGISTRO!B240="","",REGISTRO!S240)</f>
        <v/>
      </c>
    </row>
    <row r="241">
      <c r="A241" s="74">
        <f>IF(REGISTRO!B241="","",REGISTRO!A241)</f>
        <v/>
      </c>
      <c r="B241" s="74">
        <f>IF(REGISTRO!B241="","",REGISTRO!B241)</f>
        <v/>
      </c>
      <c r="C241" s="74">
        <f>IF(REGISTRO!B241="","",REGISTRO!C241)</f>
        <v/>
      </c>
      <c r="D241" s="74">
        <f>IF(REGISTRO!B241="","",REGISTRO!D241)</f>
        <v/>
      </c>
      <c r="E241" s="74">
        <f>IF(REGISTRO!B241="","",REGISTRO!E241)</f>
        <v/>
      </c>
      <c r="F241" s="74">
        <f>IF(REGISTRO!B241="","",REGISTRO!F241)</f>
        <v/>
      </c>
      <c r="G241" s="74">
        <f>IF(REGISTRO!B241="","",REGISTRO!G241)</f>
        <v/>
      </c>
      <c r="H241" s="74">
        <f>IF(REGISTRO!B241="","",REGISTRO!I241)</f>
        <v/>
      </c>
      <c r="I241" s="74">
        <f>IF(REGISTRO!B241="","",REGISTRO!J241)</f>
        <v/>
      </c>
      <c r="J241" s="74">
        <f>IF(REGISTRO!B241="","",REGISTRO!K241)</f>
        <v/>
      </c>
      <c r="K241" s="74">
        <f>IF(REGISTRO!B241="","",REGISTRO!N241)</f>
        <v/>
      </c>
      <c r="L241" s="75">
        <f>IF(REGISTRO!B241="","",REGISTRO!R241)</f>
        <v/>
      </c>
      <c r="M241" s="74">
        <f>IF(REGISTRO!B241="","",REGISTRO!S241)</f>
        <v/>
      </c>
    </row>
    <row r="242">
      <c r="A242" s="74">
        <f>IF(REGISTRO!B242="","",REGISTRO!A242)</f>
        <v/>
      </c>
      <c r="B242" s="74">
        <f>IF(REGISTRO!B242="","",REGISTRO!B242)</f>
        <v/>
      </c>
      <c r="C242" s="74">
        <f>IF(REGISTRO!B242="","",REGISTRO!C242)</f>
        <v/>
      </c>
      <c r="D242" s="74">
        <f>IF(REGISTRO!B242="","",REGISTRO!D242)</f>
        <v/>
      </c>
      <c r="E242" s="74">
        <f>IF(REGISTRO!B242="","",REGISTRO!E242)</f>
        <v/>
      </c>
      <c r="F242" s="74">
        <f>IF(REGISTRO!B242="","",REGISTRO!F242)</f>
        <v/>
      </c>
      <c r="G242" s="74">
        <f>IF(REGISTRO!B242="","",REGISTRO!G242)</f>
        <v/>
      </c>
      <c r="H242" s="74">
        <f>IF(REGISTRO!B242="","",REGISTRO!I242)</f>
        <v/>
      </c>
      <c r="I242" s="74">
        <f>IF(REGISTRO!B242="","",REGISTRO!J242)</f>
        <v/>
      </c>
      <c r="J242" s="74">
        <f>IF(REGISTRO!B242="","",REGISTRO!K242)</f>
        <v/>
      </c>
      <c r="K242" s="74">
        <f>IF(REGISTRO!B242="","",REGISTRO!N242)</f>
        <v/>
      </c>
      <c r="L242" s="75">
        <f>IF(REGISTRO!B242="","",REGISTRO!R242)</f>
        <v/>
      </c>
      <c r="M242" s="74">
        <f>IF(REGISTRO!B242="","",REGISTRO!S242)</f>
        <v/>
      </c>
    </row>
    <row r="243">
      <c r="A243" s="74">
        <f>IF(REGISTRO!B243="","",REGISTRO!A243)</f>
        <v/>
      </c>
      <c r="B243" s="74">
        <f>IF(REGISTRO!B243="","",REGISTRO!B243)</f>
        <v/>
      </c>
      <c r="C243" s="74">
        <f>IF(REGISTRO!B243="","",REGISTRO!C243)</f>
        <v/>
      </c>
      <c r="D243" s="74">
        <f>IF(REGISTRO!B243="","",REGISTRO!D243)</f>
        <v/>
      </c>
      <c r="E243" s="74">
        <f>IF(REGISTRO!B243="","",REGISTRO!E243)</f>
        <v/>
      </c>
      <c r="F243" s="74">
        <f>IF(REGISTRO!B243="","",REGISTRO!F243)</f>
        <v/>
      </c>
      <c r="G243" s="74">
        <f>IF(REGISTRO!B243="","",REGISTRO!G243)</f>
        <v/>
      </c>
      <c r="H243" s="74">
        <f>IF(REGISTRO!B243="","",REGISTRO!I243)</f>
        <v/>
      </c>
      <c r="I243" s="74">
        <f>IF(REGISTRO!B243="","",REGISTRO!J243)</f>
        <v/>
      </c>
      <c r="J243" s="74">
        <f>IF(REGISTRO!B243="","",REGISTRO!K243)</f>
        <v/>
      </c>
      <c r="K243" s="74">
        <f>IF(REGISTRO!B243="","",REGISTRO!N243)</f>
        <v/>
      </c>
      <c r="L243" s="75">
        <f>IF(REGISTRO!B243="","",REGISTRO!R243)</f>
        <v/>
      </c>
      <c r="M243" s="74">
        <f>IF(REGISTRO!B243="","",REGISTRO!S243)</f>
        <v/>
      </c>
    </row>
    <row r="244">
      <c r="A244" s="74">
        <f>IF(REGISTRO!B244="","",REGISTRO!A244)</f>
        <v/>
      </c>
      <c r="B244" s="74">
        <f>IF(REGISTRO!B244="","",REGISTRO!B244)</f>
        <v/>
      </c>
      <c r="C244" s="74">
        <f>IF(REGISTRO!B244="","",REGISTRO!C244)</f>
        <v/>
      </c>
      <c r="D244" s="74">
        <f>IF(REGISTRO!B244="","",REGISTRO!D244)</f>
        <v/>
      </c>
      <c r="E244" s="74">
        <f>IF(REGISTRO!B244="","",REGISTRO!E244)</f>
        <v/>
      </c>
      <c r="F244" s="74">
        <f>IF(REGISTRO!B244="","",REGISTRO!F244)</f>
        <v/>
      </c>
      <c r="G244" s="74">
        <f>IF(REGISTRO!B244="","",REGISTRO!G244)</f>
        <v/>
      </c>
      <c r="H244" s="74">
        <f>IF(REGISTRO!B244="","",REGISTRO!I244)</f>
        <v/>
      </c>
      <c r="I244" s="74">
        <f>IF(REGISTRO!B244="","",REGISTRO!J244)</f>
        <v/>
      </c>
      <c r="J244" s="74">
        <f>IF(REGISTRO!B244="","",REGISTRO!K244)</f>
        <v/>
      </c>
      <c r="K244" s="74">
        <f>IF(REGISTRO!B244="","",REGISTRO!N244)</f>
        <v/>
      </c>
      <c r="L244" s="75">
        <f>IF(REGISTRO!B244="","",REGISTRO!R244)</f>
        <v/>
      </c>
      <c r="M244" s="74">
        <f>IF(REGISTRO!B244="","",REGISTRO!S244)</f>
        <v/>
      </c>
    </row>
    <row r="245">
      <c r="A245" s="74">
        <f>IF(REGISTRO!B245="","",REGISTRO!A245)</f>
        <v/>
      </c>
      <c r="B245" s="74">
        <f>IF(REGISTRO!B245="","",REGISTRO!B245)</f>
        <v/>
      </c>
      <c r="C245" s="74">
        <f>IF(REGISTRO!B245="","",REGISTRO!C245)</f>
        <v/>
      </c>
      <c r="D245" s="74">
        <f>IF(REGISTRO!B245="","",REGISTRO!D245)</f>
        <v/>
      </c>
      <c r="E245" s="74">
        <f>IF(REGISTRO!B245="","",REGISTRO!E245)</f>
        <v/>
      </c>
      <c r="F245" s="74">
        <f>IF(REGISTRO!B245="","",REGISTRO!F245)</f>
        <v/>
      </c>
      <c r="G245" s="74">
        <f>IF(REGISTRO!B245="","",REGISTRO!G245)</f>
        <v/>
      </c>
      <c r="H245" s="74">
        <f>IF(REGISTRO!B245="","",REGISTRO!I245)</f>
        <v/>
      </c>
      <c r="I245" s="74">
        <f>IF(REGISTRO!B245="","",REGISTRO!J245)</f>
        <v/>
      </c>
      <c r="J245" s="74">
        <f>IF(REGISTRO!B245="","",REGISTRO!K245)</f>
        <v/>
      </c>
      <c r="K245" s="74">
        <f>IF(REGISTRO!B245="","",REGISTRO!N245)</f>
        <v/>
      </c>
      <c r="L245" s="75">
        <f>IF(REGISTRO!B245="","",REGISTRO!R245)</f>
        <v/>
      </c>
      <c r="M245" s="74">
        <f>IF(REGISTRO!B245="","",REGISTRO!S245)</f>
        <v/>
      </c>
    </row>
    <row r="246">
      <c r="A246" s="74">
        <f>IF(REGISTRO!B246="","",REGISTRO!A246)</f>
        <v/>
      </c>
      <c r="B246" s="74">
        <f>IF(REGISTRO!B246="","",REGISTRO!B246)</f>
        <v/>
      </c>
      <c r="C246" s="74">
        <f>IF(REGISTRO!B246="","",REGISTRO!C246)</f>
        <v/>
      </c>
      <c r="D246" s="74">
        <f>IF(REGISTRO!B246="","",REGISTRO!D246)</f>
        <v/>
      </c>
      <c r="E246" s="74">
        <f>IF(REGISTRO!B246="","",REGISTRO!E246)</f>
        <v/>
      </c>
      <c r="F246" s="74">
        <f>IF(REGISTRO!B246="","",REGISTRO!F246)</f>
        <v/>
      </c>
      <c r="G246" s="74">
        <f>IF(REGISTRO!B246="","",REGISTRO!G246)</f>
        <v/>
      </c>
      <c r="H246" s="74">
        <f>IF(REGISTRO!B246="","",REGISTRO!I246)</f>
        <v/>
      </c>
      <c r="I246" s="74">
        <f>IF(REGISTRO!B246="","",REGISTRO!J246)</f>
        <v/>
      </c>
      <c r="J246" s="74">
        <f>IF(REGISTRO!B246="","",REGISTRO!K246)</f>
        <v/>
      </c>
      <c r="K246" s="74">
        <f>IF(REGISTRO!B246="","",REGISTRO!N246)</f>
        <v/>
      </c>
      <c r="L246" s="75">
        <f>IF(REGISTRO!B246="","",REGISTRO!R246)</f>
        <v/>
      </c>
      <c r="M246" s="74">
        <f>IF(REGISTRO!B246="","",REGISTRO!S246)</f>
        <v/>
      </c>
    </row>
    <row r="247">
      <c r="A247" s="74">
        <f>IF(REGISTRO!B247="","",REGISTRO!A247)</f>
        <v/>
      </c>
      <c r="B247" s="74">
        <f>IF(REGISTRO!B247="","",REGISTRO!B247)</f>
        <v/>
      </c>
      <c r="C247" s="74">
        <f>IF(REGISTRO!B247="","",REGISTRO!C247)</f>
        <v/>
      </c>
      <c r="D247" s="74">
        <f>IF(REGISTRO!B247="","",REGISTRO!D247)</f>
        <v/>
      </c>
      <c r="E247" s="74">
        <f>IF(REGISTRO!B247="","",REGISTRO!E247)</f>
        <v/>
      </c>
      <c r="F247" s="74">
        <f>IF(REGISTRO!B247="","",REGISTRO!F247)</f>
        <v/>
      </c>
      <c r="G247" s="74">
        <f>IF(REGISTRO!B247="","",REGISTRO!G247)</f>
        <v/>
      </c>
      <c r="H247" s="74">
        <f>IF(REGISTRO!B247="","",REGISTRO!I247)</f>
        <v/>
      </c>
      <c r="I247" s="74">
        <f>IF(REGISTRO!B247="","",REGISTRO!J247)</f>
        <v/>
      </c>
      <c r="J247" s="74">
        <f>IF(REGISTRO!B247="","",REGISTRO!K247)</f>
        <v/>
      </c>
      <c r="K247" s="74">
        <f>IF(REGISTRO!B247="","",REGISTRO!N247)</f>
        <v/>
      </c>
      <c r="L247" s="75">
        <f>IF(REGISTRO!B247="","",REGISTRO!R247)</f>
        <v/>
      </c>
      <c r="M247" s="74">
        <f>IF(REGISTRO!B247="","",REGISTRO!S247)</f>
        <v/>
      </c>
    </row>
    <row r="248">
      <c r="A248" s="74">
        <f>IF(REGISTRO!B248="","",REGISTRO!A248)</f>
        <v/>
      </c>
      <c r="B248" s="74">
        <f>IF(REGISTRO!B248="","",REGISTRO!B248)</f>
        <v/>
      </c>
      <c r="C248" s="74">
        <f>IF(REGISTRO!B248="","",REGISTRO!C248)</f>
        <v/>
      </c>
      <c r="D248" s="74">
        <f>IF(REGISTRO!B248="","",REGISTRO!D248)</f>
        <v/>
      </c>
      <c r="E248" s="74">
        <f>IF(REGISTRO!B248="","",REGISTRO!E248)</f>
        <v/>
      </c>
      <c r="F248" s="74">
        <f>IF(REGISTRO!B248="","",REGISTRO!F248)</f>
        <v/>
      </c>
      <c r="G248" s="74">
        <f>IF(REGISTRO!B248="","",REGISTRO!G248)</f>
        <v/>
      </c>
      <c r="H248" s="74">
        <f>IF(REGISTRO!B248="","",REGISTRO!I248)</f>
        <v/>
      </c>
      <c r="I248" s="74">
        <f>IF(REGISTRO!B248="","",REGISTRO!J248)</f>
        <v/>
      </c>
      <c r="J248" s="74">
        <f>IF(REGISTRO!B248="","",REGISTRO!K248)</f>
        <v/>
      </c>
      <c r="K248" s="74">
        <f>IF(REGISTRO!B248="","",REGISTRO!N248)</f>
        <v/>
      </c>
      <c r="L248" s="75">
        <f>IF(REGISTRO!B248="","",REGISTRO!R248)</f>
        <v/>
      </c>
      <c r="M248" s="74">
        <f>IF(REGISTRO!B248="","",REGISTRO!S248)</f>
        <v/>
      </c>
    </row>
    <row r="249">
      <c r="A249" s="74">
        <f>IF(REGISTRO!B249="","",REGISTRO!A249)</f>
        <v/>
      </c>
      <c r="B249" s="74">
        <f>IF(REGISTRO!B249="","",REGISTRO!B249)</f>
        <v/>
      </c>
      <c r="C249" s="74">
        <f>IF(REGISTRO!B249="","",REGISTRO!C249)</f>
        <v/>
      </c>
      <c r="D249" s="74">
        <f>IF(REGISTRO!B249="","",REGISTRO!D249)</f>
        <v/>
      </c>
      <c r="E249" s="74">
        <f>IF(REGISTRO!B249="","",REGISTRO!E249)</f>
        <v/>
      </c>
      <c r="F249" s="74">
        <f>IF(REGISTRO!B249="","",REGISTRO!F249)</f>
        <v/>
      </c>
      <c r="G249" s="74">
        <f>IF(REGISTRO!B249="","",REGISTRO!G249)</f>
        <v/>
      </c>
      <c r="H249" s="74">
        <f>IF(REGISTRO!B249="","",REGISTRO!I249)</f>
        <v/>
      </c>
      <c r="I249" s="74">
        <f>IF(REGISTRO!B249="","",REGISTRO!J249)</f>
        <v/>
      </c>
      <c r="J249" s="74">
        <f>IF(REGISTRO!B249="","",REGISTRO!K249)</f>
        <v/>
      </c>
      <c r="K249" s="74">
        <f>IF(REGISTRO!B249="","",REGISTRO!N249)</f>
        <v/>
      </c>
      <c r="L249" s="75">
        <f>IF(REGISTRO!B249="","",REGISTRO!R249)</f>
        <v/>
      </c>
      <c r="M249" s="74">
        <f>IF(REGISTRO!B249="","",REGISTRO!S249)</f>
        <v/>
      </c>
    </row>
    <row r="250">
      <c r="A250" s="74">
        <f>IF(REGISTRO!B250="","",REGISTRO!A250)</f>
        <v/>
      </c>
      <c r="B250" s="74">
        <f>IF(REGISTRO!B250="","",REGISTRO!B250)</f>
        <v/>
      </c>
      <c r="C250" s="74">
        <f>IF(REGISTRO!B250="","",REGISTRO!C250)</f>
        <v/>
      </c>
      <c r="D250" s="74">
        <f>IF(REGISTRO!B250="","",REGISTRO!D250)</f>
        <v/>
      </c>
      <c r="E250" s="74">
        <f>IF(REGISTRO!B250="","",REGISTRO!E250)</f>
        <v/>
      </c>
      <c r="F250" s="74">
        <f>IF(REGISTRO!B250="","",REGISTRO!F250)</f>
        <v/>
      </c>
      <c r="G250" s="74">
        <f>IF(REGISTRO!B250="","",REGISTRO!G250)</f>
        <v/>
      </c>
      <c r="H250" s="74">
        <f>IF(REGISTRO!B250="","",REGISTRO!I250)</f>
        <v/>
      </c>
      <c r="I250" s="74">
        <f>IF(REGISTRO!B250="","",REGISTRO!J250)</f>
        <v/>
      </c>
      <c r="J250" s="74">
        <f>IF(REGISTRO!B250="","",REGISTRO!K250)</f>
        <v/>
      </c>
      <c r="K250" s="74">
        <f>IF(REGISTRO!B250="","",REGISTRO!N250)</f>
        <v/>
      </c>
      <c r="L250" s="75">
        <f>IF(REGISTRO!B250="","",REGISTRO!R250)</f>
        <v/>
      </c>
      <c r="M250" s="74">
        <f>IF(REGISTRO!B250="","",REGISTRO!S250)</f>
        <v/>
      </c>
    </row>
    <row r="251">
      <c r="A251" s="74">
        <f>IF(REGISTRO!B251="","",REGISTRO!A251)</f>
        <v/>
      </c>
      <c r="B251" s="74">
        <f>IF(REGISTRO!B251="","",REGISTRO!B251)</f>
        <v/>
      </c>
      <c r="C251" s="74">
        <f>IF(REGISTRO!B251="","",REGISTRO!C251)</f>
        <v/>
      </c>
      <c r="D251" s="74">
        <f>IF(REGISTRO!B251="","",REGISTRO!D251)</f>
        <v/>
      </c>
      <c r="E251" s="74">
        <f>IF(REGISTRO!B251="","",REGISTRO!E251)</f>
        <v/>
      </c>
      <c r="F251" s="74">
        <f>IF(REGISTRO!B251="","",REGISTRO!F251)</f>
        <v/>
      </c>
      <c r="G251" s="74">
        <f>IF(REGISTRO!B251="","",REGISTRO!G251)</f>
        <v/>
      </c>
      <c r="H251" s="74">
        <f>IF(REGISTRO!B251="","",REGISTRO!I251)</f>
        <v/>
      </c>
      <c r="I251" s="74">
        <f>IF(REGISTRO!B251="","",REGISTRO!J251)</f>
        <v/>
      </c>
      <c r="J251" s="74">
        <f>IF(REGISTRO!B251="","",REGISTRO!K251)</f>
        <v/>
      </c>
      <c r="K251" s="74">
        <f>IF(REGISTRO!B251="","",REGISTRO!N251)</f>
        <v/>
      </c>
      <c r="L251" s="75">
        <f>IF(REGISTRO!B251="","",REGISTRO!R251)</f>
        <v/>
      </c>
      <c r="M251" s="74">
        <f>IF(REGISTRO!B251="","",REGISTRO!S251)</f>
        <v/>
      </c>
    </row>
    <row r="252">
      <c r="A252" s="74">
        <f>IF(REGISTRO!B252="","",REGISTRO!A252)</f>
        <v/>
      </c>
      <c r="B252" s="74">
        <f>IF(REGISTRO!B252="","",REGISTRO!B252)</f>
        <v/>
      </c>
      <c r="C252" s="74">
        <f>IF(REGISTRO!B252="","",REGISTRO!C252)</f>
        <v/>
      </c>
      <c r="D252" s="74">
        <f>IF(REGISTRO!B252="","",REGISTRO!D252)</f>
        <v/>
      </c>
      <c r="E252" s="74">
        <f>IF(REGISTRO!B252="","",REGISTRO!E252)</f>
        <v/>
      </c>
      <c r="F252" s="74">
        <f>IF(REGISTRO!B252="","",REGISTRO!F252)</f>
        <v/>
      </c>
      <c r="G252" s="74">
        <f>IF(REGISTRO!B252="","",REGISTRO!G252)</f>
        <v/>
      </c>
      <c r="H252" s="74">
        <f>IF(REGISTRO!B252="","",REGISTRO!I252)</f>
        <v/>
      </c>
      <c r="I252" s="74">
        <f>IF(REGISTRO!B252="","",REGISTRO!J252)</f>
        <v/>
      </c>
      <c r="J252" s="74">
        <f>IF(REGISTRO!B252="","",REGISTRO!K252)</f>
        <v/>
      </c>
      <c r="K252" s="74">
        <f>IF(REGISTRO!B252="","",REGISTRO!N252)</f>
        <v/>
      </c>
      <c r="L252" s="75">
        <f>IF(REGISTRO!B252="","",REGISTRO!R252)</f>
        <v/>
      </c>
      <c r="M252" s="74">
        <f>IF(REGISTRO!B252="","",REGISTRO!S252)</f>
        <v/>
      </c>
    </row>
    <row r="253">
      <c r="A253" s="74">
        <f>IF(REGISTRO!B253="","",REGISTRO!A253)</f>
        <v/>
      </c>
      <c r="B253" s="74">
        <f>IF(REGISTRO!B253="","",REGISTRO!B253)</f>
        <v/>
      </c>
      <c r="C253" s="74">
        <f>IF(REGISTRO!B253="","",REGISTRO!C253)</f>
        <v/>
      </c>
      <c r="D253" s="74">
        <f>IF(REGISTRO!B253="","",REGISTRO!D253)</f>
        <v/>
      </c>
      <c r="E253" s="74">
        <f>IF(REGISTRO!B253="","",REGISTRO!E253)</f>
        <v/>
      </c>
      <c r="F253" s="74">
        <f>IF(REGISTRO!B253="","",REGISTRO!F253)</f>
        <v/>
      </c>
      <c r="G253" s="74">
        <f>IF(REGISTRO!B253="","",REGISTRO!G253)</f>
        <v/>
      </c>
      <c r="H253" s="74">
        <f>IF(REGISTRO!B253="","",REGISTRO!I253)</f>
        <v/>
      </c>
      <c r="I253" s="74">
        <f>IF(REGISTRO!B253="","",REGISTRO!J253)</f>
        <v/>
      </c>
      <c r="J253" s="74">
        <f>IF(REGISTRO!B253="","",REGISTRO!K253)</f>
        <v/>
      </c>
      <c r="K253" s="74">
        <f>IF(REGISTRO!B253="","",REGISTRO!N253)</f>
        <v/>
      </c>
      <c r="L253" s="75">
        <f>IF(REGISTRO!B253="","",REGISTRO!R253)</f>
        <v/>
      </c>
      <c r="M253" s="74">
        <f>IF(REGISTRO!B253="","",REGISTRO!S253)</f>
        <v/>
      </c>
    </row>
    <row r="254">
      <c r="A254" s="74">
        <f>IF(REGISTRO!B254="","",REGISTRO!A254)</f>
        <v/>
      </c>
      <c r="B254" s="74">
        <f>IF(REGISTRO!B254="","",REGISTRO!B254)</f>
        <v/>
      </c>
      <c r="C254" s="74">
        <f>IF(REGISTRO!B254="","",REGISTRO!C254)</f>
        <v/>
      </c>
      <c r="D254" s="74">
        <f>IF(REGISTRO!B254="","",REGISTRO!D254)</f>
        <v/>
      </c>
      <c r="E254" s="74">
        <f>IF(REGISTRO!B254="","",REGISTRO!E254)</f>
        <v/>
      </c>
      <c r="F254" s="74">
        <f>IF(REGISTRO!B254="","",REGISTRO!F254)</f>
        <v/>
      </c>
      <c r="G254" s="74">
        <f>IF(REGISTRO!B254="","",REGISTRO!G254)</f>
        <v/>
      </c>
      <c r="H254" s="74">
        <f>IF(REGISTRO!B254="","",REGISTRO!I254)</f>
        <v/>
      </c>
      <c r="I254" s="74">
        <f>IF(REGISTRO!B254="","",REGISTRO!J254)</f>
        <v/>
      </c>
      <c r="J254" s="74">
        <f>IF(REGISTRO!B254="","",REGISTRO!K254)</f>
        <v/>
      </c>
      <c r="K254" s="74">
        <f>IF(REGISTRO!B254="","",REGISTRO!N254)</f>
        <v/>
      </c>
      <c r="L254" s="75">
        <f>IF(REGISTRO!B254="","",REGISTRO!R254)</f>
        <v/>
      </c>
      <c r="M254" s="74">
        <f>IF(REGISTRO!B254="","",REGISTRO!S254)</f>
        <v/>
      </c>
    </row>
    <row r="255">
      <c r="A255" s="74">
        <f>IF(REGISTRO!B255="","",REGISTRO!A255)</f>
        <v/>
      </c>
      <c r="B255" s="74">
        <f>IF(REGISTRO!B255="","",REGISTRO!B255)</f>
        <v/>
      </c>
      <c r="C255" s="74">
        <f>IF(REGISTRO!B255="","",REGISTRO!C255)</f>
        <v/>
      </c>
      <c r="D255" s="74">
        <f>IF(REGISTRO!B255="","",REGISTRO!D255)</f>
        <v/>
      </c>
      <c r="E255" s="74">
        <f>IF(REGISTRO!B255="","",REGISTRO!E255)</f>
        <v/>
      </c>
      <c r="F255" s="74">
        <f>IF(REGISTRO!B255="","",REGISTRO!F255)</f>
        <v/>
      </c>
      <c r="G255" s="74">
        <f>IF(REGISTRO!B255="","",REGISTRO!G255)</f>
        <v/>
      </c>
      <c r="H255" s="74">
        <f>IF(REGISTRO!B255="","",REGISTRO!I255)</f>
        <v/>
      </c>
      <c r="I255" s="74">
        <f>IF(REGISTRO!B255="","",REGISTRO!J255)</f>
        <v/>
      </c>
      <c r="J255" s="74">
        <f>IF(REGISTRO!B255="","",REGISTRO!K255)</f>
        <v/>
      </c>
      <c r="K255" s="74">
        <f>IF(REGISTRO!B255="","",REGISTRO!N255)</f>
        <v/>
      </c>
      <c r="L255" s="75">
        <f>IF(REGISTRO!B255="","",REGISTRO!R255)</f>
        <v/>
      </c>
      <c r="M255" s="74">
        <f>IF(REGISTRO!B255="","",REGISTRO!S255)</f>
        <v/>
      </c>
    </row>
    <row r="256">
      <c r="A256" s="74">
        <f>IF(REGISTRO!B256="","",REGISTRO!A256)</f>
        <v/>
      </c>
      <c r="B256" s="74">
        <f>IF(REGISTRO!B256="","",REGISTRO!B256)</f>
        <v/>
      </c>
      <c r="C256" s="74">
        <f>IF(REGISTRO!B256="","",REGISTRO!C256)</f>
        <v/>
      </c>
      <c r="D256" s="74">
        <f>IF(REGISTRO!B256="","",REGISTRO!D256)</f>
        <v/>
      </c>
      <c r="E256" s="74">
        <f>IF(REGISTRO!B256="","",REGISTRO!E256)</f>
        <v/>
      </c>
      <c r="F256" s="74">
        <f>IF(REGISTRO!B256="","",REGISTRO!F256)</f>
        <v/>
      </c>
      <c r="G256" s="74">
        <f>IF(REGISTRO!B256="","",REGISTRO!G256)</f>
        <v/>
      </c>
      <c r="H256" s="74">
        <f>IF(REGISTRO!B256="","",REGISTRO!I256)</f>
        <v/>
      </c>
      <c r="I256" s="74">
        <f>IF(REGISTRO!B256="","",REGISTRO!J256)</f>
        <v/>
      </c>
      <c r="J256" s="74">
        <f>IF(REGISTRO!B256="","",REGISTRO!K256)</f>
        <v/>
      </c>
      <c r="K256" s="74">
        <f>IF(REGISTRO!B256="","",REGISTRO!N256)</f>
        <v/>
      </c>
      <c r="L256" s="75">
        <f>IF(REGISTRO!B256="","",REGISTRO!R256)</f>
        <v/>
      </c>
      <c r="M256" s="74">
        <f>IF(REGISTRO!B256="","",REGISTRO!S256)</f>
        <v/>
      </c>
    </row>
    <row r="257">
      <c r="A257" s="74">
        <f>IF(REGISTRO!B257="","",REGISTRO!A257)</f>
        <v/>
      </c>
      <c r="B257" s="74">
        <f>IF(REGISTRO!B257="","",REGISTRO!B257)</f>
        <v/>
      </c>
      <c r="C257" s="74">
        <f>IF(REGISTRO!B257="","",REGISTRO!C257)</f>
        <v/>
      </c>
      <c r="D257" s="74">
        <f>IF(REGISTRO!B257="","",REGISTRO!D257)</f>
        <v/>
      </c>
      <c r="E257" s="74">
        <f>IF(REGISTRO!B257="","",REGISTRO!E257)</f>
        <v/>
      </c>
      <c r="F257" s="74">
        <f>IF(REGISTRO!B257="","",REGISTRO!F257)</f>
        <v/>
      </c>
      <c r="G257" s="74">
        <f>IF(REGISTRO!B257="","",REGISTRO!G257)</f>
        <v/>
      </c>
      <c r="H257" s="74">
        <f>IF(REGISTRO!B257="","",REGISTRO!I257)</f>
        <v/>
      </c>
      <c r="I257" s="74">
        <f>IF(REGISTRO!B257="","",REGISTRO!J257)</f>
        <v/>
      </c>
      <c r="J257" s="74">
        <f>IF(REGISTRO!B257="","",REGISTRO!K257)</f>
        <v/>
      </c>
      <c r="K257" s="74">
        <f>IF(REGISTRO!B257="","",REGISTRO!N257)</f>
        <v/>
      </c>
      <c r="L257" s="75">
        <f>IF(REGISTRO!B257="","",REGISTRO!R257)</f>
        <v/>
      </c>
      <c r="M257" s="74">
        <f>IF(REGISTRO!B257="","",REGISTRO!S257)</f>
        <v/>
      </c>
    </row>
    <row r="258">
      <c r="A258" s="74">
        <f>IF(REGISTRO!B258="","",REGISTRO!A258)</f>
        <v/>
      </c>
      <c r="B258" s="74">
        <f>IF(REGISTRO!B258="","",REGISTRO!B258)</f>
        <v/>
      </c>
      <c r="C258" s="74">
        <f>IF(REGISTRO!B258="","",REGISTRO!C258)</f>
        <v/>
      </c>
      <c r="D258" s="74">
        <f>IF(REGISTRO!B258="","",REGISTRO!D258)</f>
        <v/>
      </c>
      <c r="E258" s="74">
        <f>IF(REGISTRO!B258="","",REGISTRO!E258)</f>
        <v/>
      </c>
      <c r="F258" s="74">
        <f>IF(REGISTRO!B258="","",REGISTRO!F258)</f>
        <v/>
      </c>
      <c r="G258" s="74">
        <f>IF(REGISTRO!B258="","",REGISTRO!G258)</f>
        <v/>
      </c>
      <c r="H258" s="74">
        <f>IF(REGISTRO!B258="","",REGISTRO!I258)</f>
        <v/>
      </c>
      <c r="I258" s="74">
        <f>IF(REGISTRO!B258="","",REGISTRO!J258)</f>
        <v/>
      </c>
      <c r="J258" s="74">
        <f>IF(REGISTRO!B258="","",REGISTRO!K258)</f>
        <v/>
      </c>
      <c r="K258" s="74">
        <f>IF(REGISTRO!B258="","",REGISTRO!N258)</f>
        <v/>
      </c>
      <c r="L258" s="75">
        <f>IF(REGISTRO!B258="","",REGISTRO!R258)</f>
        <v/>
      </c>
      <c r="M258" s="74">
        <f>IF(REGISTRO!B258="","",REGISTRO!S258)</f>
        <v/>
      </c>
    </row>
    <row r="259">
      <c r="A259" s="74">
        <f>IF(REGISTRO!B259="","",REGISTRO!A259)</f>
        <v/>
      </c>
      <c r="B259" s="74">
        <f>IF(REGISTRO!B259="","",REGISTRO!B259)</f>
        <v/>
      </c>
      <c r="C259" s="74">
        <f>IF(REGISTRO!B259="","",REGISTRO!C259)</f>
        <v/>
      </c>
      <c r="D259" s="74">
        <f>IF(REGISTRO!B259="","",REGISTRO!D259)</f>
        <v/>
      </c>
      <c r="E259" s="74">
        <f>IF(REGISTRO!B259="","",REGISTRO!E259)</f>
        <v/>
      </c>
      <c r="F259" s="74">
        <f>IF(REGISTRO!B259="","",REGISTRO!F259)</f>
        <v/>
      </c>
      <c r="G259" s="74">
        <f>IF(REGISTRO!B259="","",REGISTRO!G259)</f>
        <v/>
      </c>
      <c r="H259" s="74">
        <f>IF(REGISTRO!B259="","",REGISTRO!I259)</f>
        <v/>
      </c>
      <c r="I259" s="74">
        <f>IF(REGISTRO!B259="","",REGISTRO!J259)</f>
        <v/>
      </c>
      <c r="J259" s="74">
        <f>IF(REGISTRO!B259="","",REGISTRO!K259)</f>
        <v/>
      </c>
      <c r="K259" s="74">
        <f>IF(REGISTRO!B259="","",REGISTRO!N259)</f>
        <v/>
      </c>
      <c r="L259" s="75">
        <f>IF(REGISTRO!B259="","",REGISTRO!R259)</f>
        <v/>
      </c>
      <c r="M259" s="74">
        <f>IF(REGISTRO!B259="","",REGISTRO!S259)</f>
        <v/>
      </c>
    </row>
    <row r="260">
      <c r="A260" s="74">
        <f>IF(REGISTRO!B260="","",REGISTRO!A260)</f>
        <v/>
      </c>
      <c r="B260" s="74">
        <f>IF(REGISTRO!B260="","",REGISTRO!B260)</f>
        <v/>
      </c>
      <c r="C260" s="74">
        <f>IF(REGISTRO!B260="","",REGISTRO!C260)</f>
        <v/>
      </c>
      <c r="D260" s="74">
        <f>IF(REGISTRO!B260="","",REGISTRO!D260)</f>
        <v/>
      </c>
      <c r="E260" s="74">
        <f>IF(REGISTRO!B260="","",REGISTRO!E260)</f>
        <v/>
      </c>
      <c r="F260" s="74">
        <f>IF(REGISTRO!B260="","",REGISTRO!F260)</f>
        <v/>
      </c>
      <c r="G260" s="74">
        <f>IF(REGISTRO!B260="","",REGISTRO!G260)</f>
        <v/>
      </c>
      <c r="H260" s="74">
        <f>IF(REGISTRO!B260="","",REGISTRO!I260)</f>
        <v/>
      </c>
      <c r="I260" s="74">
        <f>IF(REGISTRO!B260="","",REGISTRO!J260)</f>
        <v/>
      </c>
      <c r="J260" s="74">
        <f>IF(REGISTRO!B260="","",REGISTRO!K260)</f>
        <v/>
      </c>
      <c r="K260" s="74">
        <f>IF(REGISTRO!B260="","",REGISTRO!N260)</f>
        <v/>
      </c>
      <c r="L260" s="75">
        <f>IF(REGISTRO!B260="","",REGISTRO!R260)</f>
        <v/>
      </c>
      <c r="M260" s="74">
        <f>IF(REGISTRO!B260="","",REGISTRO!S260)</f>
        <v/>
      </c>
    </row>
    <row r="261">
      <c r="A261" s="74">
        <f>IF(REGISTRO!B261="","",REGISTRO!A261)</f>
        <v/>
      </c>
      <c r="B261" s="74">
        <f>IF(REGISTRO!B261="","",REGISTRO!B261)</f>
        <v/>
      </c>
      <c r="C261" s="74">
        <f>IF(REGISTRO!B261="","",REGISTRO!C261)</f>
        <v/>
      </c>
      <c r="D261" s="74">
        <f>IF(REGISTRO!B261="","",REGISTRO!D261)</f>
        <v/>
      </c>
      <c r="E261" s="74">
        <f>IF(REGISTRO!B261="","",REGISTRO!E261)</f>
        <v/>
      </c>
      <c r="F261" s="74">
        <f>IF(REGISTRO!B261="","",REGISTRO!F261)</f>
        <v/>
      </c>
      <c r="G261" s="74">
        <f>IF(REGISTRO!B261="","",REGISTRO!G261)</f>
        <v/>
      </c>
      <c r="H261" s="74">
        <f>IF(REGISTRO!B261="","",REGISTRO!I261)</f>
        <v/>
      </c>
      <c r="I261" s="74">
        <f>IF(REGISTRO!B261="","",REGISTRO!J261)</f>
        <v/>
      </c>
      <c r="J261" s="74">
        <f>IF(REGISTRO!B261="","",REGISTRO!K261)</f>
        <v/>
      </c>
      <c r="K261" s="74">
        <f>IF(REGISTRO!B261="","",REGISTRO!N261)</f>
        <v/>
      </c>
      <c r="L261" s="75">
        <f>IF(REGISTRO!B261="","",REGISTRO!R261)</f>
        <v/>
      </c>
      <c r="M261" s="74">
        <f>IF(REGISTRO!B261="","",REGISTRO!S261)</f>
        <v/>
      </c>
    </row>
    <row r="262">
      <c r="A262" s="74">
        <f>IF(REGISTRO!B262="","",REGISTRO!A262)</f>
        <v/>
      </c>
      <c r="B262" s="74">
        <f>IF(REGISTRO!B262="","",REGISTRO!B262)</f>
        <v/>
      </c>
      <c r="C262" s="74">
        <f>IF(REGISTRO!B262="","",REGISTRO!C262)</f>
        <v/>
      </c>
      <c r="D262" s="74">
        <f>IF(REGISTRO!B262="","",REGISTRO!D262)</f>
        <v/>
      </c>
      <c r="E262" s="74">
        <f>IF(REGISTRO!B262="","",REGISTRO!E262)</f>
        <v/>
      </c>
      <c r="F262" s="74">
        <f>IF(REGISTRO!B262="","",REGISTRO!F262)</f>
        <v/>
      </c>
      <c r="G262" s="74">
        <f>IF(REGISTRO!B262="","",REGISTRO!G262)</f>
        <v/>
      </c>
      <c r="H262" s="74">
        <f>IF(REGISTRO!B262="","",REGISTRO!I262)</f>
        <v/>
      </c>
      <c r="I262" s="74">
        <f>IF(REGISTRO!B262="","",REGISTRO!J262)</f>
        <v/>
      </c>
      <c r="J262" s="74">
        <f>IF(REGISTRO!B262="","",REGISTRO!K262)</f>
        <v/>
      </c>
      <c r="K262" s="74">
        <f>IF(REGISTRO!B262="","",REGISTRO!N262)</f>
        <v/>
      </c>
      <c r="L262" s="75">
        <f>IF(REGISTRO!B262="","",REGISTRO!R262)</f>
        <v/>
      </c>
      <c r="M262" s="74">
        <f>IF(REGISTRO!B262="","",REGISTRO!S262)</f>
        <v/>
      </c>
    </row>
    <row r="263">
      <c r="A263" s="74">
        <f>IF(REGISTRO!B263="","",REGISTRO!A263)</f>
        <v/>
      </c>
      <c r="B263" s="74">
        <f>IF(REGISTRO!B263="","",REGISTRO!B263)</f>
        <v/>
      </c>
      <c r="C263" s="74">
        <f>IF(REGISTRO!B263="","",REGISTRO!C263)</f>
        <v/>
      </c>
      <c r="D263" s="74">
        <f>IF(REGISTRO!B263="","",REGISTRO!D263)</f>
        <v/>
      </c>
      <c r="E263" s="74">
        <f>IF(REGISTRO!B263="","",REGISTRO!E263)</f>
        <v/>
      </c>
      <c r="F263" s="74">
        <f>IF(REGISTRO!B263="","",REGISTRO!F263)</f>
        <v/>
      </c>
      <c r="G263" s="74">
        <f>IF(REGISTRO!B263="","",REGISTRO!G263)</f>
        <v/>
      </c>
      <c r="H263" s="74">
        <f>IF(REGISTRO!B263="","",REGISTRO!I263)</f>
        <v/>
      </c>
      <c r="I263" s="74">
        <f>IF(REGISTRO!B263="","",REGISTRO!J263)</f>
        <v/>
      </c>
      <c r="J263" s="74">
        <f>IF(REGISTRO!B263="","",REGISTRO!K263)</f>
        <v/>
      </c>
      <c r="K263" s="74">
        <f>IF(REGISTRO!B263="","",REGISTRO!N263)</f>
        <v/>
      </c>
      <c r="L263" s="75">
        <f>IF(REGISTRO!B263="","",REGISTRO!R263)</f>
        <v/>
      </c>
      <c r="M263" s="74">
        <f>IF(REGISTRO!B263="","",REGISTRO!S263)</f>
        <v/>
      </c>
    </row>
    <row r="264">
      <c r="A264" s="74">
        <f>IF(REGISTRO!B264="","",REGISTRO!A264)</f>
        <v/>
      </c>
      <c r="B264" s="74">
        <f>IF(REGISTRO!B264="","",REGISTRO!B264)</f>
        <v/>
      </c>
      <c r="C264" s="74">
        <f>IF(REGISTRO!B264="","",REGISTRO!C264)</f>
        <v/>
      </c>
      <c r="D264" s="74">
        <f>IF(REGISTRO!B264="","",REGISTRO!D264)</f>
        <v/>
      </c>
      <c r="E264" s="74">
        <f>IF(REGISTRO!B264="","",REGISTRO!E264)</f>
        <v/>
      </c>
      <c r="F264" s="74">
        <f>IF(REGISTRO!B264="","",REGISTRO!F264)</f>
        <v/>
      </c>
      <c r="G264" s="74">
        <f>IF(REGISTRO!B264="","",REGISTRO!G264)</f>
        <v/>
      </c>
      <c r="H264" s="74">
        <f>IF(REGISTRO!B264="","",REGISTRO!I264)</f>
        <v/>
      </c>
      <c r="I264" s="74">
        <f>IF(REGISTRO!B264="","",REGISTRO!J264)</f>
        <v/>
      </c>
      <c r="J264" s="74">
        <f>IF(REGISTRO!B264="","",REGISTRO!K264)</f>
        <v/>
      </c>
      <c r="K264" s="74">
        <f>IF(REGISTRO!B264="","",REGISTRO!N264)</f>
        <v/>
      </c>
      <c r="L264" s="75">
        <f>IF(REGISTRO!B264="","",REGISTRO!R264)</f>
        <v/>
      </c>
      <c r="M264" s="74">
        <f>IF(REGISTRO!B264="","",REGISTRO!S264)</f>
        <v/>
      </c>
    </row>
    <row r="265">
      <c r="A265" s="74">
        <f>IF(REGISTRO!B265="","",REGISTRO!A265)</f>
        <v/>
      </c>
      <c r="B265" s="74">
        <f>IF(REGISTRO!B265="","",REGISTRO!B265)</f>
        <v/>
      </c>
      <c r="C265" s="74">
        <f>IF(REGISTRO!B265="","",REGISTRO!C265)</f>
        <v/>
      </c>
      <c r="D265" s="74">
        <f>IF(REGISTRO!B265="","",REGISTRO!D265)</f>
        <v/>
      </c>
      <c r="E265" s="74">
        <f>IF(REGISTRO!B265="","",REGISTRO!E265)</f>
        <v/>
      </c>
      <c r="F265" s="74">
        <f>IF(REGISTRO!B265="","",REGISTRO!F265)</f>
        <v/>
      </c>
      <c r="G265" s="74">
        <f>IF(REGISTRO!B265="","",REGISTRO!G265)</f>
        <v/>
      </c>
      <c r="H265" s="74">
        <f>IF(REGISTRO!B265="","",REGISTRO!I265)</f>
        <v/>
      </c>
      <c r="I265" s="74">
        <f>IF(REGISTRO!B265="","",REGISTRO!J265)</f>
        <v/>
      </c>
      <c r="J265" s="74">
        <f>IF(REGISTRO!B265="","",REGISTRO!K265)</f>
        <v/>
      </c>
      <c r="K265" s="74">
        <f>IF(REGISTRO!B265="","",REGISTRO!N265)</f>
        <v/>
      </c>
      <c r="L265" s="75">
        <f>IF(REGISTRO!B265="","",REGISTRO!R265)</f>
        <v/>
      </c>
      <c r="M265" s="74">
        <f>IF(REGISTRO!B265="","",REGISTRO!S265)</f>
        <v/>
      </c>
    </row>
    <row r="266">
      <c r="A266" s="74">
        <f>IF(REGISTRO!B266="","",REGISTRO!A266)</f>
        <v/>
      </c>
      <c r="B266" s="74">
        <f>IF(REGISTRO!B266="","",REGISTRO!B266)</f>
        <v/>
      </c>
      <c r="C266" s="74">
        <f>IF(REGISTRO!B266="","",REGISTRO!C266)</f>
        <v/>
      </c>
      <c r="D266" s="74">
        <f>IF(REGISTRO!B266="","",REGISTRO!D266)</f>
        <v/>
      </c>
      <c r="E266" s="74">
        <f>IF(REGISTRO!B266="","",REGISTRO!E266)</f>
        <v/>
      </c>
      <c r="F266" s="74">
        <f>IF(REGISTRO!B266="","",REGISTRO!F266)</f>
        <v/>
      </c>
      <c r="G266" s="74">
        <f>IF(REGISTRO!B266="","",REGISTRO!G266)</f>
        <v/>
      </c>
      <c r="H266" s="74">
        <f>IF(REGISTRO!B266="","",REGISTRO!I266)</f>
        <v/>
      </c>
      <c r="I266" s="74">
        <f>IF(REGISTRO!B266="","",REGISTRO!J266)</f>
        <v/>
      </c>
      <c r="J266" s="74">
        <f>IF(REGISTRO!B266="","",REGISTRO!K266)</f>
        <v/>
      </c>
      <c r="K266" s="74">
        <f>IF(REGISTRO!B266="","",REGISTRO!N266)</f>
        <v/>
      </c>
      <c r="L266" s="75">
        <f>IF(REGISTRO!B266="","",REGISTRO!R266)</f>
        <v/>
      </c>
      <c r="M266" s="74">
        <f>IF(REGISTRO!B266="","",REGISTRO!S266)</f>
        <v/>
      </c>
    </row>
    <row r="267">
      <c r="A267" s="74">
        <f>IF(REGISTRO!B267="","",REGISTRO!A267)</f>
        <v/>
      </c>
      <c r="B267" s="74">
        <f>IF(REGISTRO!B267="","",REGISTRO!B267)</f>
        <v/>
      </c>
      <c r="C267" s="74">
        <f>IF(REGISTRO!B267="","",REGISTRO!C267)</f>
        <v/>
      </c>
      <c r="D267" s="74">
        <f>IF(REGISTRO!B267="","",REGISTRO!D267)</f>
        <v/>
      </c>
      <c r="E267" s="74">
        <f>IF(REGISTRO!B267="","",REGISTRO!E267)</f>
        <v/>
      </c>
      <c r="F267" s="74">
        <f>IF(REGISTRO!B267="","",REGISTRO!F267)</f>
        <v/>
      </c>
      <c r="G267" s="74">
        <f>IF(REGISTRO!B267="","",REGISTRO!G267)</f>
        <v/>
      </c>
      <c r="H267" s="74">
        <f>IF(REGISTRO!B267="","",REGISTRO!I267)</f>
        <v/>
      </c>
      <c r="I267" s="74">
        <f>IF(REGISTRO!B267="","",REGISTRO!J267)</f>
        <v/>
      </c>
      <c r="J267" s="74">
        <f>IF(REGISTRO!B267="","",REGISTRO!K267)</f>
        <v/>
      </c>
      <c r="K267" s="74">
        <f>IF(REGISTRO!B267="","",REGISTRO!N267)</f>
        <v/>
      </c>
      <c r="L267" s="75">
        <f>IF(REGISTRO!B267="","",REGISTRO!R267)</f>
        <v/>
      </c>
      <c r="M267" s="74">
        <f>IF(REGISTRO!B267="","",REGISTRO!S267)</f>
        <v/>
      </c>
    </row>
    <row r="268">
      <c r="A268" s="74">
        <f>IF(REGISTRO!B268="","",REGISTRO!A268)</f>
        <v/>
      </c>
      <c r="B268" s="74">
        <f>IF(REGISTRO!B268="","",REGISTRO!B268)</f>
        <v/>
      </c>
      <c r="C268" s="74">
        <f>IF(REGISTRO!B268="","",REGISTRO!C268)</f>
        <v/>
      </c>
      <c r="D268" s="74">
        <f>IF(REGISTRO!B268="","",REGISTRO!D268)</f>
        <v/>
      </c>
      <c r="E268" s="74">
        <f>IF(REGISTRO!B268="","",REGISTRO!E268)</f>
        <v/>
      </c>
      <c r="F268" s="74">
        <f>IF(REGISTRO!B268="","",REGISTRO!F268)</f>
        <v/>
      </c>
      <c r="G268" s="74">
        <f>IF(REGISTRO!B268="","",REGISTRO!G268)</f>
        <v/>
      </c>
      <c r="H268" s="74">
        <f>IF(REGISTRO!B268="","",REGISTRO!I268)</f>
        <v/>
      </c>
      <c r="I268" s="74">
        <f>IF(REGISTRO!B268="","",REGISTRO!J268)</f>
        <v/>
      </c>
      <c r="J268" s="74">
        <f>IF(REGISTRO!B268="","",REGISTRO!K268)</f>
        <v/>
      </c>
      <c r="K268" s="74">
        <f>IF(REGISTRO!B268="","",REGISTRO!N268)</f>
        <v/>
      </c>
      <c r="L268" s="75">
        <f>IF(REGISTRO!B268="","",REGISTRO!R268)</f>
        <v/>
      </c>
      <c r="M268" s="74">
        <f>IF(REGISTRO!B268="","",REGISTRO!S268)</f>
        <v/>
      </c>
    </row>
    <row r="269">
      <c r="A269" s="74">
        <f>IF(REGISTRO!B269="","",REGISTRO!A269)</f>
        <v/>
      </c>
      <c r="B269" s="74">
        <f>IF(REGISTRO!B269="","",REGISTRO!B269)</f>
        <v/>
      </c>
      <c r="C269" s="74">
        <f>IF(REGISTRO!B269="","",REGISTRO!C269)</f>
        <v/>
      </c>
      <c r="D269" s="74">
        <f>IF(REGISTRO!B269="","",REGISTRO!D269)</f>
        <v/>
      </c>
      <c r="E269" s="74">
        <f>IF(REGISTRO!B269="","",REGISTRO!E269)</f>
        <v/>
      </c>
      <c r="F269" s="74">
        <f>IF(REGISTRO!B269="","",REGISTRO!F269)</f>
        <v/>
      </c>
      <c r="G269" s="74">
        <f>IF(REGISTRO!B269="","",REGISTRO!G269)</f>
        <v/>
      </c>
      <c r="H269" s="74">
        <f>IF(REGISTRO!B269="","",REGISTRO!I269)</f>
        <v/>
      </c>
      <c r="I269" s="74">
        <f>IF(REGISTRO!B269="","",REGISTRO!J269)</f>
        <v/>
      </c>
      <c r="J269" s="74">
        <f>IF(REGISTRO!B269="","",REGISTRO!K269)</f>
        <v/>
      </c>
      <c r="K269" s="74">
        <f>IF(REGISTRO!B269="","",REGISTRO!N269)</f>
        <v/>
      </c>
      <c r="L269" s="75">
        <f>IF(REGISTRO!B269="","",REGISTRO!R269)</f>
        <v/>
      </c>
      <c r="M269" s="74">
        <f>IF(REGISTRO!B269="","",REGISTRO!S269)</f>
        <v/>
      </c>
    </row>
    <row r="270">
      <c r="A270" s="74">
        <f>IF(REGISTRO!B270="","",REGISTRO!A270)</f>
        <v/>
      </c>
      <c r="B270" s="74">
        <f>IF(REGISTRO!B270="","",REGISTRO!B270)</f>
        <v/>
      </c>
      <c r="C270" s="74">
        <f>IF(REGISTRO!B270="","",REGISTRO!C270)</f>
        <v/>
      </c>
      <c r="D270" s="74">
        <f>IF(REGISTRO!B270="","",REGISTRO!D270)</f>
        <v/>
      </c>
      <c r="E270" s="74">
        <f>IF(REGISTRO!B270="","",REGISTRO!E270)</f>
        <v/>
      </c>
      <c r="F270" s="74">
        <f>IF(REGISTRO!B270="","",REGISTRO!F270)</f>
        <v/>
      </c>
      <c r="G270" s="74">
        <f>IF(REGISTRO!B270="","",REGISTRO!G270)</f>
        <v/>
      </c>
      <c r="H270" s="74">
        <f>IF(REGISTRO!B270="","",REGISTRO!I270)</f>
        <v/>
      </c>
      <c r="I270" s="74">
        <f>IF(REGISTRO!B270="","",REGISTRO!J270)</f>
        <v/>
      </c>
      <c r="J270" s="74">
        <f>IF(REGISTRO!B270="","",REGISTRO!K270)</f>
        <v/>
      </c>
      <c r="K270" s="74">
        <f>IF(REGISTRO!B270="","",REGISTRO!N270)</f>
        <v/>
      </c>
      <c r="L270" s="75">
        <f>IF(REGISTRO!B270="","",REGISTRO!R270)</f>
        <v/>
      </c>
      <c r="M270" s="74">
        <f>IF(REGISTRO!B270="","",REGISTRO!S270)</f>
        <v/>
      </c>
    </row>
    <row r="271">
      <c r="A271" s="74">
        <f>IF(REGISTRO!B271="","",REGISTRO!A271)</f>
        <v/>
      </c>
      <c r="B271" s="74">
        <f>IF(REGISTRO!B271="","",REGISTRO!B271)</f>
        <v/>
      </c>
      <c r="C271" s="74">
        <f>IF(REGISTRO!B271="","",REGISTRO!C271)</f>
        <v/>
      </c>
      <c r="D271" s="74">
        <f>IF(REGISTRO!B271="","",REGISTRO!D271)</f>
        <v/>
      </c>
      <c r="E271" s="74">
        <f>IF(REGISTRO!B271="","",REGISTRO!E271)</f>
        <v/>
      </c>
      <c r="F271" s="74">
        <f>IF(REGISTRO!B271="","",REGISTRO!F271)</f>
        <v/>
      </c>
      <c r="G271" s="74">
        <f>IF(REGISTRO!B271="","",REGISTRO!G271)</f>
        <v/>
      </c>
      <c r="H271" s="74">
        <f>IF(REGISTRO!B271="","",REGISTRO!I271)</f>
        <v/>
      </c>
      <c r="I271" s="74">
        <f>IF(REGISTRO!B271="","",REGISTRO!J271)</f>
        <v/>
      </c>
      <c r="J271" s="74">
        <f>IF(REGISTRO!B271="","",REGISTRO!K271)</f>
        <v/>
      </c>
      <c r="K271" s="74">
        <f>IF(REGISTRO!B271="","",REGISTRO!N271)</f>
        <v/>
      </c>
      <c r="L271" s="75">
        <f>IF(REGISTRO!B271="","",REGISTRO!R271)</f>
        <v/>
      </c>
      <c r="M271" s="74">
        <f>IF(REGISTRO!B271="","",REGISTRO!S271)</f>
        <v/>
      </c>
    </row>
    <row r="272">
      <c r="A272" s="74">
        <f>IF(REGISTRO!B272="","",REGISTRO!A272)</f>
        <v/>
      </c>
      <c r="B272" s="74">
        <f>IF(REGISTRO!B272="","",REGISTRO!B272)</f>
        <v/>
      </c>
      <c r="C272" s="74">
        <f>IF(REGISTRO!B272="","",REGISTRO!C272)</f>
        <v/>
      </c>
      <c r="D272" s="74">
        <f>IF(REGISTRO!B272="","",REGISTRO!D272)</f>
        <v/>
      </c>
      <c r="E272" s="74">
        <f>IF(REGISTRO!B272="","",REGISTRO!E272)</f>
        <v/>
      </c>
      <c r="F272" s="74">
        <f>IF(REGISTRO!B272="","",REGISTRO!F272)</f>
        <v/>
      </c>
      <c r="G272" s="74">
        <f>IF(REGISTRO!B272="","",REGISTRO!G272)</f>
        <v/>
      </c>
      <c r="H272" s="74">
        <f>IF(REGISTRO!B272="","",REGISTRO!I272)</f>
        <v/>
      </c>
      <c r="I272" s="74">
        <f>IF(REGISTRO!B272="","",REGISTRO!J272)</f>
        <v/>
      </c>
      <c r="J272" s="74">
        <f>IF(REGISTRO!B272="","",REGISTRO!K272)</f>
        <v/>
      </c>
      <c r="K272" s="74">
        <f>IF(REGISTRO!B272="","",REGISTRO!N272)</f>
        <v/>
      </c>
      <c r="L272" s="75">
        <f>IF(REGISTRO!B272="","",REGISTRO!R272)</f>
        <v/>
      </c>
      <c r="M272" s="74">
        <f>IF(REGISTRO!B272="","",REGISTRO!S272)</f>
        <v/>
      </c>
    </row>
    <row r="273">
      <c r="A273" s="74">
        <f>IF(REGISTRO!B273="","",REGISTRO!A273)</f>
        <v/>
      </c>
      <c r="B273" s="74">
        <f>IF(REGISTRO!B273="","",REGISTRO!B273)</f>
        <v/>
      </c>
      <c r="C273" s="74">
        <f>IF(REGISTRO!B273="","",REGISTRO!C273)</f>
        <v/>
      </c>
      <c r="D273" s="74">
        <f>IF(REGISTRO!B273="","",REGISTRO!D273)</f>
        <v/>
      </c>
      <c r="E273" s="74">
        <f>IF(REGISTRO!B273="","",REGISTRO!E273)</f>
        <v/>
      </c>
      <c r="F273" s="74">
        <f>IF(REGISTRO!B273="","",REGISTRO!F273)</f>
        <v/>
      </c>
      <c r="G273" s="74">
        <f>IF(REGISTRO!B273="","",REGISTRO!G273)</f>
        <v/>
      </c>
      <c r="H273" s="74">
        <f>IF(REGISTRO!B273="","",REGISTRO!I273)</f>
        <v/>
      </c>
      <c r="I273" s="74">
        <f>IF(REGISTRO!B273="","",REGISTRO!J273)</f>
        <v/>
      </c>
      <c r="J273" s="74">
        <f>IF(REGISTRO!B273="","",REGISTRO!K273)</f>
        <v/>
      </c>
      <c r="K273" s="74">
        <f>IF(REGISTRO!B273="","",REGISTRO!N273)</f>
        <v/>
      </c>
      <c r="L273" s="75">
        <f>IF(REGISTRO!B273="","",REGISTRO!R273)</f>
        <v/>
      </c>
      <c r="M273" s="74">
        <f>IF(REGISTRO!B273="","",REGISTRO!S273)</f>
        <v/>
      </c>
    </row>
    <row r="274">
      <c r="A274" s="74">
        <f>IF(REGISTRO!B274="","",REGISTRO!A274)</f>
        <v/>
      </c>
      <c r="B274" s="74">
        <f>IF(REGISTRO!B274="","",REGISTRO!B274)</f>
        <v/>
      </c>
      <c r="C274" s="74">
        <f>IF(REGISTRO!B274="","",REGISTRO!C274)</f>
        <v/>
      </c>
      <c r="D274" s="74">
        <f>IF(REGISTRO!B274="","",REGISTRO!D274)</f>
        <v/>
      </c>
      <c r="E274" s="74">
        <f>IF(REGISTRO!B274="","",REGISTRO!E274)</f>
        <v/>
      </c>
      <c r="F274" s="74">
        <f>IF(REGISTRO!B274="","",REGISTRO!F274)</f>
        <v/>
      </c>
      <c r="G274" s="74">
        <f>IF(REGISTRO!B274="","",REGISTRO!G274)</f>
        <v/>
      </c>
      <c r="H274" s="74">
        <f>IF(REGISTRO!B274="","",REGISTRO!I274)</f>
        <v/>
      </c>
      <c r="I274" s="74">
        <f>IF(REGISTRO!B274="","",REGISTRO!J274)</f>
        <v/>
      </c>
      <c r="J274" s="74">
        <f>IF(REGISTRO!B274="","",REGISTRO!K274)</f>
        <v/>
      </c>
      <c r="K274" s="74">
        <f>IF(REGISTRO!B274="","",REGISTRO!N274)</f>
        <v/>
      </c>
      <c r="L274" s="75">
        <f>IF(REGISTRO!B274="","",REGISTRO!R274)</f>
        <v/>
      </c>
      <c r="M274" s="74">
        <f>IF(REGISTRO!B274="","",REGISTRO!S274)</f>
        <v/>
      </c>
    </row>
    <row r="275">
      <c r="A275" s="74">
        <f>IF(REGISTRO!B275="","",REGISTRO!A275)</f>
        <v/>
      </c>
      <c r="B275" s="74">
        <f>IF(REGISTRO!B275="","",REGISTRO!B275)</f>
        <v/>
      </c>
      <c r="C275" s="74">
        <f>IF(REGISTRO!B275="","",REGISTRO!C275)</f>
        <v/>
      </c>
      <c r="D275" s="74">
        <f>IF(REGISTRO!B275="","",REGISTRO!D275)</f>
        <v/>
      </c>
      <c r="E275" s="74">
        <f>IF(REGISTRO!B275="","",REGISTRO!E275)</f>
        <v/>
      </c>
      <c r="F275" s="74">
        <f>IF(REGISTRO!B275="","",REGISTRO!F275)</f>
        <v/>
      </c>
      <c r="G275" s="74">
        <f>IF(REGISTRO!B275="","",REGISTRO!G275)</f>
        <v/>
      </c>
      <c r="H275" s="74">
        <f>IF(REGISTRO!B275="","",REGISTRO!I275)</f>
        <v/>
      </c>
      <c r="I275" s="74">
        <f>IF(REGISTRO!B275="","",REGISTRO!J275)</f>
        <v/>
      </c>
      <c r="J275" s="74">
        <f>IF(REGISTRO!B275="","",REGISTRO!K275)</f>
        <v/>
      </c>
      <c r="K275" s="74">
        <f>IF(REGISTRO!B275="","",REGISTRO!N275)</f>
        <v/>
      </c>
      <c r="L275" s="75">
        <f>IF(REGISTRO!B275="","",REGISTRO!R275)</f>
        <v/>
      </c>
      <c r="M275" s="74">
        <f>IF(REGISTRO!B275="","",REGISTRO!S275)</f>
        <v/>
      </c>
    </row>
    <row r="276">
      <c r="A276" s="74">
        <f>IF(REGISTRO!B276="","",REGISTRO!A276)</f>
        <v/>
      </c>
      <c r="B276" s="74">
        <f>IF(REGISTRO!B276="","",REGISTRO!B276)</f>
        <v/>
      </c>
      <c r="C276" s="74">
        <f>IF(REGISTRO!B276="","",REGISTRO!C276)</f>
        <v/>
      </c>
      <c r="D276" s="74">
        <f>IF(REGISTRO!B276="","",REGISTRO!D276)</f>
        <v/>
      </c>
      <c r="E276" s="74">
        <f>IF(REGISTRO!B276="","",REGISTRO!E276)</f>
        <v/>
      </c>
      <c r="F276" s="74">
        <f>IF(REGISTRO!B276="","",REGISTRO!F276)</f>
        <v/>
      </c>
      <c r="G276" s="74">
        <f>IF(REGISTRO!B276="","",REGISTRO!G276)</f>
        <v/>
      </c>
      <c r="H276" s="74">
        <f>IF(REGISTRO!B276="","",REGISTRO!I276)</f>
        <v/>
      </c>
      <c r="I276" s="74">
        <f>IF(REGISTRO!B276="","",REGISTRO!J276)</f>
        <v/>
      </c>
      <c r="J276" s="74">
        <f>IF(REGISTRO!B276="","",REGISTRO!K276)</f>
        <v/>
      </c>
      <c r="K276" s="74">
        <f>IF(REGISTRO!B276="","",REGISTRO!N276)</f>
        <v/>
      </c>
      <c r="L276" s="75">
        <f>IF(REGISTRO!B276="","",REGISTRO!R276)</f>
        <v/>
      </c>
      <c r="M276" s="74">
        <f>IF(REGISTRO!B276="","",REGISTRO!S276)</f>
        <v/>
      </c>
    </row>
    <row r="277">
      <c r="A277" s="74">
        <f>IF(REGISTRO!B277="","",REGISTRO!A277)</f>
        <v/>
      </c>
      <c r="B277" s="74">
        <f>IF(REGISTRO!B277="","",REGISTRO!B277)</f>
        <v/>
      </c>
      <c r="C277" s="74">
        <f>IF(REGISTRO!B277="","",REGISTRO!C277)</f>
        <v/>
      </c>
      <c r="D277" s="74">
        <f>IF(REGISTRO!B277="","",REGISTRO!D277)</f>
        <v/>
      </c>
      <c r="E277" s="74">
        <f>IF(REGISTRO!B277="","",REGISTRO!E277)</f>
        <v/>
      </c>
      <c r="F277" s="74">
        <f>IF(REGISTRO!B277="","",REGISTRO!F277)</f>
        <v/>
      </c>
      <c r="G277" s="74">
        <f>IF(REGISTRO!B277="","",REGISTRO!G277)</f>
        <v/>
      </c>
      <c r="H277" s="74">
        <f>IF(REGISTRO!B277="","",REGISTRO!I277)</f>
        <v/>
      </c>
      <c r="I277" s="74">
        <f>IF(REGISTRO!B277="","",REGISTRO!J277)</f>
        <v/>
      </c>
      <c r="J277" s="74">
        <f>IF(REGISTRO!B277="","",REGISTRO!K277)</f>
        <v/>
      </c>
      <c r="K277" s="74">
        <f>IF(REGISTRO!B277="","",REGISTRO!N277)</f>
        <v/>
      </c>
      <c r="L277" s="75">
        <f>IF(REGISTRO!B277="","",REGISTRO!R277)</f>
        <v/>
      </c>
      <c r="M277" s="74">
        <f>IF(REGISTRO!B277="","",REGISTRO!S277)</f>
        <v/>
      </c>
    </row>
    <row r="278">
      <c r="A278" s="74">
        <f>IF(REGISTRO!B278="","",REGISTRO!A278)</f>
        <v/>
      </c>
      <c r="B278" s="74">
        <f>IF(REGISTRO!B278="","",REGISTRO!B278)</f>
        <v/>
      </c>
      <c r="C278" s="74">
        <f>IF(REGISTRO!B278="","",REGISTRO!C278)</f>
        <v/>
      </c>
      <c r="D278" s="74">
        <f>IF(REGISTRO!B278="","",REGISTRO!D278)</f>
        <v/>
      </c>
      <c r="E278" s="74">
        <f>IF(REGISTRO!B278="","",REGISTRO!E278)</f>
        <v/>
      </c>
      <c r="F278" s="74">
        <f>IF(REGISTRO!B278="","",REGISTRO!F278)</f>
        <v/>
      </c>
      <c r="G278" s="74">
        <f>IF(REGISTRO!B278="","",REGISTRO!G278)</f>
        <v/>
      </c>
      <c r="H278" s="74">
        <f>IF(REGISTRO!B278="","",REGISTRO!I278)</f>
        <v/>
      </c>
      <c r="I278" s="74">
        <f>IF(REGISTRO!B278="","",REGISTRO!J278)</f>
        <v/>
      </c>
      <c r="J278" s="74">
        <f>IF(REGISTRO!B278="","",REGISTRO!K278)</f>
        <v/>
      </c>
      <c r="K278" s="74">
        <f>IF(REGISTRO!B278="","",REGISTRO!N278)</f>
        <v/>
      </c>
      <c r="L278" s="75">
        <f>IF(REGISTRO!B278="","",REGISTRO!R278)</f>
        <v/>
      </c>
      <c r="M278" s="74">
        <f>IF(REGISTRO!B278="","",REGISTRO!S278)</f>
        <v/>
      </c>
    </row>
    <row r="279">
      <c r="A279" s="74">
        <f>IF(REGISTRO!B279="","",REGISTRO!A279)</f>
        <v/>
      </c>
      <c r="B279" s="74">
        <f>IF(REGISTRO!B279="","",REGISTRO!B279)</f>
        <v/>
      </c>
      <c r="C279" s="74">
        <f>IF(REGISTRO!B279="","",REGISTRO!C279)</f>
        <v/>
      </c>
      <c r="D279" s="74">
        <f>IF(REGISTRO!B279="","",REGISTRO!D279)</f>
        <v/>
      </c>
      <c r="E279" s="74">
        <f>IF(REGISTRO!B279="","",REGISTRO!E279)</f>
        <v/>
      </c>
      <c r="F279" s="74">
        <f>IF(REGISTRO!B279="","",REGISTRO!F279)</f>
        <v/>
      </c>
      <c r="G279" s="74">
        <f>IF(REGISTRO!B279="","",REGISTRO!G279)</f>
        <v/>
      </c>
      <c r="H279" s="74">
        <f>IF(REGISTRO!B279="","",REGISTRO!I279)</f>
        <v/>
      </c>
      <c r="I279" s="74">
        <f>IF(REGISTRO!B279="","",REGISTRO!J279)</f>
        <v/>
      </c>
      <c r="J279" s="74">
        <f>IF(REGISTRO!B279="","",REGISTRO!K279)</f>
        <v/>
      </c>
      <c r="K279" s="74">
        <f>IF(REGISTRO!B279="","",REGISTRO!N279)</f>
        <v/>
      </c>
      <c r="L279" s="75">
        <f>IF(REGISTRO!B279="","",REGISTRO!R279)</f>
        <v/>
      </c>
      <c r="M279" s="74">
        <f>IF(REGISTRO!B279="","",REGISTRO!S279)</f>
        <v/>
      </c>
    </row>
    <row r="280">
      <c r="A280" s="74">
        <f>IF(REGISTRO!B280="","",REGISTRO!A280)</f>
        <v/>
      </c>
      <c r="B280" s="74">
        <f>IF(REGISTRO!B280="","",REGISTRO!B280)</f>
        <v/>
      </c>
      <c r="C280" s="74">
        <f>IF(REGISTRO!B280="","",REGISTRO!C280)</f>
        <v/>
      </c>
      <c r="D280" s="74">
        <f>IF(REGISTRO!B280="","",REGISTRO!D280)</f>
        <v/>
      </c>
      <c r="E280" s="74">
        <f>IF(REGISTRO!B280="","",REGISTRO!E280)</f>
        <v/>
      </c>
      <c r="F280" s="74">
        <f>IF(REGISTRO!B280="","",REGISTRO!F280)</f>
        <v/>
      </c>
      <c r="G280" s="74">
        <f>IF(REGISTRO!B280="","",REGISTRO!G280)</f>
        <v/>
      </c>
      <c r="H280" s="74">
        <f>IF(REGISTRO!B280="","",REGISTRO!I280)</f>
        <v/>
      </c>
      <c r="I280" s="74">
        <f>IF(REGISTRO!B280="","",REGISTRO!J280)</f>
        <v/>
      </c>
      <c r="J280" s="74">
        <f>IF(REGISTRO!B280="","",REGISTRO!K280)</f>
        <v/>
      </c>
      <c r="K280" s="74">
        <f>IF(REGISTRO!B280="","",REGISTRO!N280)</f>
        <v/>
      </c>
      <c r="L280" s="75">
        <f>IF(REGISTRO!B280="","",REGISTRO!R280)</f>
        <v/>
      </c>
      <c r="M280" s="74">
        <f>IF(REGISTRO!B280="","",REGISTRO!S280)</f>
        <v/>
      </c>
    </row>
    <row r="281">
      <c r="A281" s="74">
        <f>IF(REGISTRO!B281="","",REGISTRO!A281)</f>
        <v/>
      </c>
      <c r="B281" s="74">
        <f>IF(REGISTRO!B281="","",REGISTRO!B281)</f>
        <v/>
      </c>
      <c r="C281" s="74">
        <f>IF(REGISTRO!B281="","",REGISTRO!C281)</f>
        <v/>
      </c>
      <c r="D281" s="74">
        <f>IF(REGISTRO!B281="","",REGISTRO!D281)</f>
        <v/>
      </c>
      <c r="E281" s="74">
        <f>IF(REGISTRO!B281="","",REGISTRO!E281)</f>
        <v/>
      </c>
      <c r="F281" s="74">
        <f>IF(REGISTRO!B281="","",REGISTRO!F281)</f>
        <v/>
      </c>
      <c r="G281" s="74">
        <f>IF(REGISTRO!B281="","",REGISTRO!G281)</f>
        <v/>
      </c>
      <c r="H281" s="74">
        <f>IF(REGISTRO!B281="","",REGISTRO!I281)</f>
        <v/>
      </c>
      <c r="I281" s="74">
        <f>IF(REGISTRO!B281="","",REGISTRO!J281)</f>
        <v/>
      </c>
      <c r="J281" s="74">
        <f>IF(REGISTRO!B281="","",REGISTRO!K281)</f>
        <v/>
      </c>
      <c r="K281" s="74">
        <f>IF(REGISTRO!B281="","",REGISTRO!N281)</f>
        <v/>
      </c>
      <c r="L281" s="75">
        <f>IF(REGISTRO!B281="","",REGISTRO!R281)</f>
        <v/>
      </c>
      <c r="M281" s="74">
        <f>IF(REGISTRO!B281="","",REGISTRO!S281)</f>
        <v/>
      </c>
    </row>
    <row r="282">
      <c r="A282" s="74">
        <f>IF(REGISTRO!B282="","",REGISTRO!A282)</f>
        <v/>
      </c>
      <c r="B282" s="74">
        <f>IF(REGISTRO!B282="","",REGISTRO!B282)</f>
        <v/>
      </c>
      <c r="C282" s="74">
        <f>IF(REGISTRO!B282="","",REGISTRO!C282)</f>
        <v/>
      </c>
      <c r="D282" s="74">
        <f>IF(REGISTRO!B282="","",REGISTRO!D282)</f>
        <v/>
      </c>
      <c r="E282" s="74">
        <f>IF(REGISTRO!B282="","",REGISTRO!E282)</f>
        <v/>
      </c>
      <c r="F282" s="74">
        <f>IF(REGISTRO!B282="","",REGISTRO!F282)</f>
        <v/>
      </c>
      <c r="G282" s="74">
        <f>IF(REGISTRO!B282="","",REGISTRO!G282)</f>
        <v/>
      </c>
      <c r="H282" s="74">
        <f>IF(REGISTRO!B282="","",REGISTRO!I282)</f>
        <v/>
      </c>
      <c r="I282" s="74">
        <f>IF(REGISTRO!B282="","",REGISTRO!J282)</f>
        <v/>
      </c>
      <c r="J282" s="74">
        <f>IF(REGISTRO!B282="","",REGISTRO!K282)</f>
        <v/>
      </c>
      <c r="K282" s="74">
        <f>IF(REGISTRO!B282="","",REGISTRO!N282)</f>
        <v/>
      </c>
      <c r="L282" s="75">
        <f>IF(REGISTRO!B282="","",REGISTRO!R282)</f>
        <v/>
      </c>
      <c r="M282" s="74">
        <f>IF(REGISTRO!B282="","",REGISTRO!S282)</f>
        <v/>
      </c>
    </row>
    <row r="283">
      <c r="A283" s="74">
        <f>IF(REGISTRO!B283="","",REGISTRO!A283)</f>
        <v/>
      </c>
      <c r="B283" s="74">
        <f>IF(REGISTRO!B283="","",REGISTRO!B283)</f>
        <v/>
      </c>
      <c r="C283" s="74">
        <f>IF(REGISTRO!B283="","",REGISTRO!C283)</f>
        <v/>
      </c>
      <c r="D283" s="74">
        <f>IF(REGISTRO!B283="","",REGISTRO!D283)</f>
        <v/>
      </c>
      <c r="E283" s="74">
        <f>IF(REGISTRO!B283="","",REGISTRO!E283)</f>
        <v/>
      </c>
      <c r="F283" s="74">
        <f>IF(REGISTRO!B283="","",REGISTRO!F283)</f>
        <v/>
      </c>
      <c r="G283" s="74">
        <f>IF(REGISTRO!B283="","",REGISTRO!G283)</f>
        <v/>
      </c>
      <c r="H283" s="74">
        <f>IF(REGISTRO!B283="","",REGISTRO!I283)</f>
        <v/>
      </c>
      <c r="I283" s="74">
        <f>IF(REGISTRO!B283="","",REGISTRO!J283)</f>
        <v/>
      </c>
      <c r="J283" s="74">
        <f>IF(REGISTRO!B283="","",REGISTRO!K283)</f>
        <v/>
      </c>
      <c r="K283" s="74">
        <f>IF(REGISTRO!B283="","",REGISTRO!N283)</f>
        <v/>
      </c>
      <c r="L283" s="75">
        <f>IF(REGISTRO!B283="","",REGISTRO!R283)</f>
        <v/>
      </c>
      <c r="M283" s="74">
        <f>IF(REGISTRO!B283="","",REGISTRO!S283)</f>
        <v/>
      </c>
    </row>
    <row r="284">
      <c r="A284" s="74">
        <f>IF(REGISTRO!B284="","",REGISTRO!A284)</f>
        <v/>
      </c>
      <c r="B284" s="74">
        <f>IF(REGISTRO!B284="","",REGISTRO!B284)</f>
        <v/>
      </c>
      <c r="C284" s="74">
        <f>IF(REGISTRO!B284="","",REGISTRO!C284)</f>
        <v/>
      </c>
      <c r="D284" s="74">
        <f>IF(REGISTRO!B284="","",REGISTRO!D284)</f>
        <v/>
      </c>
      <c r="E284" s="74">
        <f>IF(REGISTRO!B284="","",REGISTRO!E284)</f>
        <v/>
      </c>
      <c r="F284" s="74">
        <f>IF(REGISTRO!B284="","",REGISTRO!F284)</f>
        <v/>
      </c>
      <c r="G284" s="74">
        <f>IF(REGISTRO!B284="","",REGISTRO!G284)</f>
        <v/>
      </c>
      <c r="H284" s="74">
        <f>IF(REGISTRO!B284="","",REGISTRO!I284)</f>
        <v/>
      </c>
      <c r="I284" s="74">
        <f>IF(REGISTRO!B284="","",REGISTRO!J284)</f>
        <v/>
      </c>
      <c r="J284" s="74">
        <f>IF(REGISTRO!B284="","",REGISTRO!K284)</f>
        <v/>
      </c>
      <c r="K284" s="74">
        <f>IF(REGISTRO!B284="","",REGISTRO!N284)</f>
        <v/>
      </c>
      <c r="L284" s="75">
        <f>IF(REGISTRO!B284="","",REGISTRO!R284)</f>
        <v/>
      </c>
      <c r="M284" s="74">
        <f>IF(REGISTRO!B284="","",REGISTRO!S284)</f>
        <v/>
      </c>
    </row>
    <row r="285">
      <c r="A285" s="74">
        <f>IF(REGISTRO!B285="","",REGISTRO!A285)</f>
        <v/>
      </c>
      <c r="B285" s="74">
        <f>IF(REGISTRO!B285="","",REGISTRO!B285)</f>
        <v/>
      </c>
      <c r="C285" s="74">
        <f>IF(REGISTRO!B285="","",REGISTRO!C285)</f>
        <v/>
      </c>
      <c r="D285" s="74">
        <f>IF(REGISTRO!B285="","",REGISTRO!D285)</f>
        <v/>
      </c>
      <c r="E285" s="74">
        <f>IF(REGISTRO!B285="","",REGISTRO!E285)</f>
        <v/>
      </c>
      <c r="F285" s="74">
        <f>IF(REGISTRO!B285="","",REGISTRO!F285)</f>
        <v/>
      </c>
      <c r="G285" s="74">
        <f>IF(REGISTRO!B285="","",REGISTRO!G285)</f>
        <v/>
      </c>
      <c r="H285" s="74">
        <f>IF(REGISTRO!B285="","",REGISTRO!I285)</f>
        <v/>
      </c>
      <c r="I285" s="74">
        <f>IF(REGISTRO!B285="","",REGISTRO!J285)</f>
        <v/>
      </c>
      <c r="J285" s="74">
        <f>IF(REGISTRO!B285="","",REGISTRO!K285)</f>
        <v/>
      </c>
      <c r="K285" s="74">
        <f>IF(REGISTRO!B285="","",REGISTRO!N285)</f>
        <v/>
      </c>
      <c r="L285" s="75">
        <f>IF(REGISTRO!B285="","",REGISTRO!R285)</f>
        <v/>
      </c>
      <c r="M285" s="74">
        <f>IF(REGISTRO!B285="","",REGISTRO!S285)</f>
        <v/>
      </c>
    </row>
    <row r="286">
      <c r="A286" s="74">
        <f>IF(REGISTRO!B286="","",REGISTRO!A286)</f>
        <v/>
      </c>
      <c r="B286" s="74">
        <f>IF(REGISTRO!B286="","",REGISTRO!B286)</f>
        <v/>
      </c>
      <c r="C286" s="74">
        <f>IF(REGISTRO!B286="","",REGISTRO!C286)</f>
        <v/>
      </c>
      <c r="D286" s="74">
        <f>IF(REGISTRO!B286="","",REGISTRO!D286)</f>
        <v/>
      </c>
      <c r="E286" s="74">
        <f>IF(REGISTRO!B286="","",REGISTRO!E286)</f>
        <v/>
      </c>
      <c r="F286" s="74">
        <f>IF(REGISTRO!B286="","",REGISTRO!F286)</f>
        <v/>
      </c>
      <c r="G286" s="74">
        <f>IF(REGISTRO!B286="","",REGISTRO!G286)</f>
        <v/>
      </c>
      <c r="H286" s="74">
        <f>IF(REGISTRO!B286="","",REGISTRO!I286)</f>
        <v/>
      </c>
      <c r="I286" s="74">
        <f>IF(REGISTRO!B286="","",REGISTRO!J286)</f>
        <v/>
      </c>
      <c r="J286" s="74">
        <f>IF(REGISTRO!B286="","",REGISTRO!K286)</f>
        <v/>
      </c>
      <c r="K286" s="74">
        <f>IF(REGISTRO!B286="","",REGISTRO!N286)</f>
        <v/>
      </c>
      <c r="L286" s="75">
        <f>IF(REGISTRO!B286="","",REGISTRO!R286)</f>
        <v/>
      </c>
      <c r="M286" s="74">
        <f>IF(REGISTRO!B286="","",REGISTRO!S286)</f>
        <v/>
      </c>
    </row>
    <row r="287">
      <c r="A287" s="74">
        <f>IF(REGISTRO!B287="","",REGISTRO!A287)</f>
        <v/>
      </c>
      <c r="B287" s="74">
        <f>IF(REGISTRO!B287="","",REGISTRO!B287)</f>
        <v/>
      </c>
      <c r="C287" s="74">
        <f>IF(REGISTRO!B287="","",REGISTRO!C287)</f>
        <v/>
      </c>
      <c r="D287" s="74">
        <f>IF(REGISTRO!B287="","",REGISTRO!D287)</f>
        <v/>
      </c>
      <c r="E287" s="74">
        <f>IF(REGISTRO!B287="","",REGISTRO!E287)</f>
        <v/>
      </c>
      <c r="F287" s="74">
        <f>IF(REGISTRO!B287="","",REGISTRO!F287)</f>
        <v/>
      </c>
      <c r="G287" s="74">
        <f>IF(REGISTRO!B287="","",REGISTRO!G287)</f>
        <v/>
      </c>
      <c r="H287" s="74">
        <f>IF(REGISTRO!B287="","",REGISTRO!I287)</f>
        <v/>
      </c>
      <c r="I287" s="74">
        <f>IF(REGISTRO!B287="","",REGISTRO!J287)</f>
        <v/>
      </c>
      <c r="J287" s="74">
        <f>IF(REGISTRO!B287="","",REGISTRO!K287)</f>
        <v/>
      </c>
      <c r="K287" s="74">
        <f>IF(REGISTRO!B287="","",REGISTRO!N287)</f>
        <v/>
      </c>
      <c r="L287" s="75">
        <f>IF(REGISTRO!B287="","",REGISTRO!R287)</f>
        <v/>
      </c>
      <c r="M287" s="74">
        <f>IF(REGISTRO!B287="","",REGISTRO!S287)</f>
        <v/>
      </c>
    </row>
    <row r="288">
      <c r="A288" s="74">
        <f>IF(REGISTRO!B288="","",REGISTRO!A288)</f>
        <v/>
      </c>
      <c r="B288" s="74">
        <f>IF(REGISTRO!B288="","",REGISTRO!B288)</f>
        <v/>
      </c>
      <c r="C288" s="74">
        <f>IF(REGISTRO!B288="","",REGISTRO!C288)</f>
        <v/>
      </c>
      <c r="D288" s="74">
        <f>IF(REGISTRO!B288="","",REGISTRO!D288)</f>
        <v/>
      </c>
      <c r="E288" s="74">
        <f>IF(REGISTRO!B288="","",REGISTRO!E288)</f>
        <v/>
      </c>
      <c r="F288" s="74">
        <f>IF(REGISTRO!B288="","",REGISTRO!F288)</f>
        <v/>
      </c>
      <c r="G288" s="74">
        <f>IF(REGISTRO!B288="","",REGISTRO!G288)</f>
        <v/>
      </c>
      <c r="H288" s="74">
        <f>IF(REGISTRO!B288="","",REGISTRO!I288)</f>
        <v/>
      </c>
      <c r="I288" s="74">
        <f>IF(REGISTRO!B288="","",REGISTRO!J288)</f>
        <v/>
      </c>
      <c r="J288" s="74">
        <f>IF(REGISTRO!B288="","",REGISTRO!K288)</f>
        <v/>
      </c>
      <c r="K288" s="74">
        <f>IF(REGISTRO!B288="","",REGISTRO!N288)</f>
        <v/>
      </c>
      <c r="L288" s="75">
        <f>IF(REGISTRO!B288="","",REGISTRO!R288)</f>
        <v/>
      </c>
      <c r="M288" s="74">
        <f>IF(REGISTRO!B288="","",REGISTRO!S288)</f>
        <v/>
      </c>
    </row>
    <row r="289">
      <c r="A289" s="74">
        <f>IF(REGISTRO!B289="","",REGISTRO!A289)</f>
        <v/>
      </c>
      <c r="B289" s="74">
        <f>IF(REGISTRO!B289="","",REGISTRO!B289)</f>
        <v/>
      </c>
      <c r="C289" s="74">
        <f>IF(REGISTRO!B289="","",REGISTRO!C289)</f>
        <v/>
      </c>
      <c r="D289" s="74">
        <f>IF(REGISTRO!B289="","",REGISTRO!D289)</f>
        <v/>
      </c>
      <c r="E289" s="74">
        <f>IF(REGISTRO!B289="","",REGISTRO!E289)</f>
        <v/>
      </c>
      <c r="F289" s="74">
        <f>IF(REGISTRO!B289="","",REGISTRO!F289)</f>
        <v/>
      </c>
      <c r="G289" s="74">
        <f>IF(REGISTRO!B289="","",REGISTRO!G289)</f>
        <v/>
      </c>
      <c r="H289" s="74">
        <f>IF(REGISTRO!B289="","",REGISTRO!I289)</f>
        <v/>
      </c>
      <c r="I289" s="74">
        <f>IF(REGISTRO!B289="","",REGISTRO!J289)</f>
        <v/>
      </c>
      <c r="J289" s="74">
        <f>IF(REGISTRO!B289="","",REGISTRO!K289)</f>
        <v/>
      </c>
      <c r="K289" s="74">
        <f>IF(REGISTRO!B289="","",REGISTRO!N289)</f>
        <v/>
      </c>
      <c r="L289" s="75">
        <f>IF(REGISTRO!B289="","",REGISTRO!R289)</f>
        <v/>
      </c>
      <c r="M289" s="74">
        <f>IF(REGISTRO!B289="","",REGISTRO!S289)</f>
        <v/>
      </c>
    </row>
    <row r="290">
      <c r="A290" s="74">
        <f>IF(REGISTRO!B290="","",REGISTRO!A290)</f>
        <v/>
      </c>
      <c r="B290" s="74">
        <f>IF(REGISTRO!B290="","",REGISTRO!B290)</f>
        <v/>
      </c>
      <c r="C290" s="74">
        <f>IF(REGISTRO!B290="","",REGISTRO!C290)</f>
        <v/>
      </c>
      <c r="D290" s="74">
        <f>IF(REGISTRO!B290="","",REGISTRO!D290)</f>
        <v/>
      </c>
      <c r="E290" s="74">
        <f>IF(REGISTRO!B290="","",REGISTRO!E290)</f>
        <v/>
      </c>
      <c r="F290" s="74">
        <f>IF(REGISTRO!B290="","",REGISTRO!F290)</f>
        <v/>
      </c>
      <c r="G290" s="74">
        <f>IF(REGISTRO!B290="","",REGISTRO!G290)</f>
        <v/>
      </c>
      <c r="H290" s="74">
        <f>IF(REGISTRO!B290="","",REGISTRO!I290)</f>
        <v/>
      </c>
      <c r="I290" s="74">
        <f>IF(REGISTRO!B290="","",REGISTRO!J290)</f>
        <v/>
      </c>
      <c r="J290" s="74">
        <f>IF(REGISTRO!B290="","",REGISTRO!K290)</f>
        <v/>
      </c>
      <c r="K290" s="74">
        <f>IF(REGISTRO!B290="","",REGISTRO!N290)</f>
        <v/>
      </c>
      <c r="L290" s="75">
        <f>IF(REGISTRO!B290="","",REGISTRO!R290)</f>
        <v/>
      </c>
      <c r="M290" s="74">
        <f>IF(REGISTRO!B290="","",REGISTRO!S290)</f>
        <v/>
      </c>
    </row>
    <row r="291">
      <c r="A291" s="74">
        <f>IF(REGISTRO!B291="","",REGISTRO!A291)</f>
        <v/>
      </c>
      <c r="B291" s="74">
        <f>IF(REGISTRO!B291="","",REGISTRO!B291)</f>
        <v/>
      </c>
      <c r="C291" s="74">
        <f>IF(REGISTRO!B291="","",REGISTRO!C291)</f>
        <v/>
      </c>
      <c r="D291" s="74">
        <f>IF(REGISTRO!B291="","",REGISTRO!D291)</f>
        <v/>
      </c>
      <c r="E291" s="74">
        <f>IF(REGISTRO!B291="","",REGISTRO!E291)</f>
        <v/>
      </c>
      <c r="F291" s="74">
        <f>IF(REGISTRO!B291="","",REGISTRO!F291)</f>
        <v/>
      </c>
      <c r="G291" s="74">
        <f>IF(REGISTRO!B291="","",REGISTRO!G291)</f>
        <v/>
      </c>
      <c r="H291" s="74">
        <f>IF(REGISTRO!B291="","",REGISTRO!I291)</f>
        <v/>
      </c>
      <c r="I291" s="74">
        <f>IF(REGISTRO!B291="","",REGISTRO!J291)</f>
        <v/>
      </c>
      <c r="J291" s="74">
        <f>IF(REGISTRO!B291="","",REGISTRO!K291)</f>
        <v/>
      </c>
      <c r="K291" s="74">
        <f>IF(REGISTRO!B291="","",REGISTRO!N291)</f>
        <v/>
      </c>
      <c r="L291" s="75">
        <f>IF(REGISTRO!B291="","",REGISTRO!R291)</f>
        <v/>
      </c>
      <c r="M291" s="74">
        <f>IF(REGISTRO!B291="","",REGISTRO!S291)</f>
        <v/>
      </c>
    </row>
    <row r="292">
      <c r="A292" s="74">
        <f>IF(REGISTRO!B292="","",REGISTRO!A292)</f>
        <v/>
      </c>
      <c r="B292" s="74">
        <f>IF(REGISTRO!B292="","",REGISTRO!B292)</f>
        <v/>
      </c>
      <c r="C292" s="74">
        <f>IF(REGISTRO!B292="","",REGISTRO!C292)</f>
        <v/>
      </c>
      <c r="D292" s="74">
        <f>IF(REGISTRO!B292="","",REGISTRO!D292)</f>
        <v/>
      </c>
      <c r="E292" s="74">
        <f>IF(REGISTRO!B292="","",REGISTRO!E292)</f>
        <v/>
      </c>
      <c r="F292" s="74">
        <f>IF(REGISTRO!B292="","",REGISTRO!F292)</f>
        <v/>
      </c>
      <c r="G292" s="74">
        <f>IF(REGISTRO!B292="","",REGISTRO!G292)</f>
        <v/>
      </c>
      <c r="H292" s="74">
        <f>IF(REGISTRO!B292="","",REGISTRO!I292)</f>
        <v/>
      </c>
      <c r="I292" s="74">
        <f>IF(REGISTRO!B292="","",REGISTRO!J292)</f>
        <v/>
      </c>
      <c r="J292" s="74">
        <f>IF(REGISTRO!B292="","",REGISTRO!K292)</f>
        <v/>
      </c>
      <c r="K292" s="74">
        <f>IF(REGISTRO!B292="","",REGISTRO!N292)</f>
        <v/>
      </c>
      <c r="L292" s="75">
        <f>IF(REGISTRO!B292="","",REGISTRO!R292)</f>
        <v/>
      </c>
      <c r="M292" s="74">
        <f>IF(REGISTRO!B292="","",REGISTRO!S292)</f>
        <v/>
      </c>
    </row>
    <row r="293">
      <c r="A293" s="74">
        <f>IF(REGISTRO!B293="","",REGISTRO!A293)</f>
        <v/>
      </c>
      <c r="B293" s="74">
        <f>IF(REGISTRO!B293="","",REGISTRO!B293)</f>
        <v/>
      </c>
      <c r="C293" s="74">
        <f>IF(REGISTRO!B293="","",REGISTRO!C293)</f>
        <v/>
      </c>
      <c r="D293" s="74">
        <f>IF(REGISTRO!B293="","",REGISTRO!D293)</f>
        <v/>
      </c>
      <c r="E293" s="74">
        <f>IF(REGISTRO!B293="","",REGISTRO!E293)</f>
        <v/>
      </c>
      <c r="F293" s="74">
        <f>IF(REGISTRO!B293="","",REGISTRO!F293)</f>
        <v/>
      </c>
      <c r="G293" s="74">
        <f>IF(REGISTRO!B293="","",REGISTRO!G293)</f>
        <v/>
      </c>
      <c r="H293" s="74">
        <f>IF(REGISTRO!B293="","",REGISTRO!I293)</f>
        <v/>
      </c>
      <c r="I293" s="74">
        <f>IF(REGISTRO!B293="","",REGISTRO!J293)</f>
        <v/>
      </c>
      <c r="J293" s="74">
        <f>IF(REGISTRO!B293="","",REGISTRO!K293)</f>
        <v/>
      </c>
      <c r="K293" s="74">
        <f>IF(REGISTRO!B293="","",REGISTRO!N293)</f>
        <v/>
      </c>
      <c r="L293" s="75">
        <f>IF(REGISTRO!B293="","",REGISTRO!R293)</f>
        <v/>
      </c>
      <c r="M293" s="74">
        <f>IF(REGISTRO!B293="","",REGISTRO!S293)</f>
        <v/>
      </c>
    </row>
    <row r="294">
      <c r="A294" s="74">
        <f>IF(REGISTRO!B294="","",REGISTRO!A294)</f>
        <v/>
      </c>
      <c r="B294" s="74">
        <f>IF(REGISTRO!B294="","",REGISTRO!B294)</f>
        <v/>
      </c>
      <c r="C294" s="74">
        <f>IF(REGISTRO!B294="","",REGISTRO!C294)</f>
        <v/>
      </c>
      <c r="D294" s="74">
        <f>IF(REGISTRO!B294="","",REGISTRO!D294)</f>
        <v/>
      </c>
      <c r="E294" s="74">
        <f>IF(REGISTRO!B294="","",REGISTRO!E294)</f>
        <v/>
      </c>
      <c r="F294" s="74">
        <f>IF(REGISTRO!B294="","",REGISTRO!F294)</f>
        <v/>
      </c>
      <c r="G294" s="74">
        <f>IF(REGISTRO!B294="","",REGISTRO!G294)</f>
        <v/>
      </c>
      <c r="H294" s="74">
        <f>IF(REGISTRO!B294="","",REGISTRO!I294)</f>
        <v/>
      </c>
      <c r="I294" s="74">
        <f>IF(REGISTRO!B294="","",REGISTRO!J294)</f>
        <v/>
      </c>
      <c r="J294" s="74">
        <f>IF(REGISTRO!B294="","",REGISTRO!K294)</f>
        <v/>
      </c>
      <c r="K294" s="74">
        <f>IF(REGISTRO!B294="","",REGISTRO!N294)</f>
        <v/>
      </c>
      <c r="L294" s="75">
        <f>IF(REGISTRO!B294="","",REGISTRO!R294)</f>
        <v/>
      </c>
      <c r="M294" s="74">
        <f>IF(REGISTRO!B294="","",REGISTRO!S294)</f>
        <v/>
      </c>
    </row>
    <row r="295">
      <c r="A295" s="74">
        <f>IF(REGISTRO!B295="","",REGISTRO!A295)</f>
        <v/>
      </c>
      <c r="B295" s="74">
        <f>IF(REGISTRO!B295="","",REGISTRO!B295)</f>
        <v/>
      </c>
      <c r="C295" s="74">
        <f>IF(REGISTRO!B295="","",REGISTRO!C295)</f>
        <v/>
      </c>
      <c r="D295" s="74">
        <f>IF(REGISTRO!B295="","",REGISTRO!D295)</f>
        <v/>
      </c>
      <c r="E295" s="74">
        <f>IF(REGISTRO!B295="","",REGISTRO!E295)</f>
        <v/>
      </c>
      <c r="F295" s="74">
        <f>IF(REGISTRO!B295="","",REGISTRO!F295)</f>
        <v/>
      </c>
      <c r="G295" s="74">
        <f>IF(REGISTRO!B295="","",REGISTRO!G295)</f>
        <v/>
      </c>
      <c r="H295" s="74">
        <f>IF(REGISTRO!B295="","",REGISTRO!I295)</f>
        <v/>
      </c>
      <c r="I295" s="74">
        <f>IF(REGISTRO!B295="","",REGISTRO!J295)</f>
        <v/>
      </c>
      <c r="J295" s="74">
        <f>IF(REGISTRO!B295="","",REGISTRO!K295)</f>
        <v/>
      </c>
      <c r="K295" s="74">
        <f>IF(REGISTRO!B295="","",REGISTRO!N295)</f>
        <v/>
      </c>
      <c r="L295" s="75">
        <f>IF(REGISTRO!B295="","",REGISTRO!R295)</f>
        <v/>
      </c>
      <c r="M295" s="74">
        <f>IF(REGISTRO!B295="","",REGISTRO!S295)</f>
        <v/>
      </c>
    </row>
    <row r="296">
      <c r="A296" s="74">
        <f>IF(REGISTRO!B296="","",REGISTRO!A296)</f>
        <v/>
      </c>
      <c r="B296" s="74">
        <f>IF(REGISTRO!B296="","",REGISTRO!B296)</f>
        <v/>
      </c>
      <c r="C296" s="74">
        <f>IF(REGISTRO!B296="","",REGISTRO!C296)</f>
        <v/>
      </c>
      <c r="D296" s="74">
        <f>IF(REGISTRO!B296="","",REGISTRO!D296)</f>
        <v/>
      </c>
      <c r="E296" s="74">
        <f>IF(REGISTRO!B296="","",REGISTRO!E296)</f>
        <v/>
      </c>
      <c r="F296" s="74">
        <f>IF(REGISTRO!B296="","",REGISTRO!F296)</f>
        <v/>
      </c>
      <c r="G296" s="74">
        <f>IF(REGISTRO!B296="","",REGISTRO!G296)</f>
        <v/>
      </c>
      <c r="H296" s="74">
        <f>IF(REGISTRO!B296="","",REGISTRO!I296)</f>
        <v/>
      </c>
      <c r="I296" s="74">
        <f>IF(REGISTRO!B296="","",REGISTRO!J296)</f>
        <v/>
      </c>
      <c r="J296" s="74">
        <f>IF(REGISTRO!B296="","",REGISTRO!K296)</f>
        <v/>
      </c>
      <c r="K296" s="74">
        <f>IF(REGISTRO!B296="","",REGISTRO!N296)</f>
        <v/>
      </c>
      <c r="L296" s="75">
        <f>IF(REGISTRO!B296="","",REGISTRO!R296)</f>
        <v/>
      </c>
      <c r="M296" s="74">
        <f>IF(REGISTRO!B296="","",REGISTRO!S296)</f>
        <v/>
      </c>
    </row>
    <row r="297">
      <c r="A297" s="74">
        <f>IF(REGISTRO!B297="","",REGISTRO!A297)</f>
        <v/>
      </c>
      <c r="B297" s="74">
        <f>IF(REGISTRO!B297="","",REGISTRO!B297)</f>
        <v/>
      </c>
      <c r="C297" s="74">
        <f>IF(REGISTRO!B297="","",REGISTRO!C297)</f>
        <v/>
      </c>
      <c r="D297" s="74">
        <f>IF(REGISTRO!B297="","",REGISTRO!D297)</f>
        <v/>
      </c>
      <c r="E297" s="74">
        <f>IF(REGISTRO!B297="","",REGISTRO!E297)</f>
        <v/>
      </c>
      <c r="F297" s="74">
        <f>IF(REGISTRO!B297="","",REGISTRO!F297)</f>
        <v/>
      </c>
      <c r="G297" s="74">
        <f>IF(REGISTRO!B297="","",REGISTRO!G297)</f>
        <v/>
      </c>
      <c r="H297" s="74">
        <f>IF(REGISTRO!B297="","",REGISTRO!I297)</f>
        <v/>
      </c>
      <c r="I297" s="74">
        <f>IF(REGISTRO!B297="","",REGISTRO!J297)</f>
        <v/>
      </c>
      <c r="J297" s="74">
        <f>IF(REGISTRO!B297="","",REGISTRO!K297)</f>
        <v/>
      </c>
      <c r="K297" s="74">
        <f>IF(REGISTRO!B297="","",REGISTRO!N297)</f>
        <v/>
      </c>
      <c r="L297" s="75">
        <f>IF(REGISTRO!B297="","",REGISTRO!R297)</f>
        <v/>
      </c>
      <c r="M297" s="74">
        <f>IF(REGISTRO!B297="","",REGISTRO!S297)</f>
        <v/>
      </c>
    </row>
    <row r="298">
      <c r="A298" s="74">
        <f>IF(REGISTRO!B298="","",REGISTRO!A298)</f>
        <v/>
      </c>
      <c r="B298" s="74">
        <f>IF(REGISTRO!B298="","",REGISTRO!B298)</f>
        <v/>
      </c>
      <c r="C298" s="74">
        <f>IF(REGISTRO!B298="","",REGISTRO!C298)</f>
        <v/>
      </c>
      <c r="D298" s="74">
        <f>IF(REGISTRO!B298="","",REGISTRO!D298)</f>
        <v/>
      </c>
      <c r="E298" s="74">
        <f>IF(REGISTRO!B298="","",REGISTRO!E298)</f>
        <v/>
      </c>
      <c r="F298" s="74">
        <f>IF(REGISTRO!B298="","",REGISTRO!F298)</f>
        <v/>
      </c>
      <c r="G298" s="74">
        <f>IF(REGISTRO!B298="","",REGISTRO!G298)</f>
        <v/>
      </c>
      <c r="H298" s="74">
        <f>IF(REGISTRO!B298="","",REGISTRO!I298)</f>
        <v/>
      </c>
      <c r="I298" s="74">
        <f>IF(REGISTRO!B298="","",REGISTRO!J298)</f>
        <v/>
      </c>
      <c r="J298" s="74">
        <f>IF(REGISTRO!B298="","",REGISTRO!K298)</f>
        <v/>
      </c>
      <c r="K298" s="74">
        <f>IF(REGISTRO!B298="","",REGISTRO!N298)</f>
        <v/>
      </c>
      <c r="L298" s="75">
        <f>IF(REGISTRO!B298="","",REGISTRO!R298)</f>
        <v/>
      </c>
      <c r="M298" s="74">
        <f>IF(REGISTRO!B298="","",REGISTRO!S298)</f>
        <v/>
      </c>
    </row>
    <row r="299">
      <c r="A299" s="74">
        <f>IF(REGISTRO!B299="","",REGISTRO!A299)</f>
        <v/>
      </c>
      <c r="B299" s="74">
        <f>IF(REGISTRO!B299="","",REGISTRO!B299)</f>
        <v/>
      </c>
      <c r="C299" s="74">
        <f>IF(REGISTRO!B299="","",REGISTRO!C299)</f>
        <v/>
      </c>
      <c r="D299" s="74">
        <f>IF(REGISTRO!B299="","",REGISTRO!D299)</f>
        <v/>
      </c>
      <c r="E299" s="74">
        <f>IF(REGISTRO!B299="","",REGISTRO!E299)</f>
        <v/>
      </c>
      <c r="F299" s="74">
        <f>IF(REGISTRO!B299="","",REGISTRO!F299)</f>
        <v/>
      </c>
      <c r="G299" s="74">
        <f>IF(REGISTRO!B299="","",REGISTRO!G299)</f>
        <v/>
      </c>
      <c r="H299" s="74">
        <f>IF(REGISTRO!B299="","",REGISTRO!I299)</f>
        <v/>
      </c>
      <c r="I299" s="74">
        <f>IF(REGISTRO!B299="","",REGISTRO!J299)</f>
        <v/>
      </c>
      <c r="J299" s="74">
        <f>IF(REGISTRO!B299="","",REGISTRO!K299)</f>
        <v/>
      </c>
      <c r="K299" s="74">
        <f>IF(REGISTRO!B299="","",REGISTRO!N299)</f>
        <v/>
      </c>
      <c r="L299" s="75">
        <f>IF(REGISTRO!B299="","",REGISTRO!R299)</f>
        <v/>
      </c>
      <c r="M299" s="74">
        <f>IF(REGISTRO!B299="","",REGISTRO!S299)</f>
        <v/>
      </c>
    </row>
    <row r="300">
      <c r="A300" s="74">
        <f>IF(REGISTRO!B300="","",REGISTRO!A300)</f>
        <v/>
      </c>
      <c r="B300" s="74">
        <f>IF(REGISTRO!B300="","",REGISTRO!B300)</f>
        <v/>
      </c>
      <c r="C300" s="74">
        <f>IF(REGISTRO!B300="","",REGISTRO!C300)</f>
        <v/>
      </c>
      <c r="D300" s="74">
        <f>IF(REGISTRO!B300="","",REGISTRO!D300)</f>
        <v/>
      </c>
      <c r="E300" s="74">
        <f>IF(REGISTRO!B300="","",REGISTRO!E300)</f>
        <v/>
      </c>
      <c r="F300" s="74">
        <f>IF(REGISTRO!B300="","",REGISTRO!F300)</f>
        <v/>
      </c>
      <c r="G300" s="74">
        <f>IF(REGISTRO!B300="","",REGISTRO!G300)</f>
        <v/>
      </c>
      <c r="H300" s="74">
        <f>IF(REGISTRO!B300="","",REGISTRO!I300)</f>
        <v/>
      </c>
      <c r="I300" s="74">
        <f>IF(REGISTRO!B300="","",REGISTRO!J300)</f>
        <v/>
      </c>
      <c r="J300" s="74">
        <f>IF(REGISTRO!B300="","",REGISTRO!K300)</f>
        <v/>
      </c>
      <c r="K300" s="74">
        <f>IF(REGISTRO!B300="","",REGISTRO!N300)</f>
        <v/>
      </c>
      <c r="L300" s="75">
        <f>IF(REGISTRO!B300="","",REGISTRO!R300)</f>
        <v/>
      </c>
      <c r="M300" s="74">
        <f>IF(REGISTRO!B300="","",REGISTRO!S300)</f>
        <v/>
      </c>
    </row>
    <row r="301">
      <c r="A301" s="74">
        <f>IF(REGISTRO!B301="","",REGISTRO!A301)</f>
        <v/>
      </c>
      <c r="B301" s="74">
        <f>IF(REGISTRO!B301="","",REGISTRO!B301)</f>
        <v/>
      </c>
      <c r="C301" s="74">
        <f>IF(REGISTRO!B301="","",REGISTRO!C301)</f>
        <v/>
      </c>
      <c r="D301" s="74">
        <f>IF(REGISTRO!B301="","",REGISTRO!D301)</f>
        <v/>
      </c>
      <c r="E301" s="74">
        <f>IF(REGISTRO!B301="","",REGISTRO!E301)</f>
        <v/>
      </c>
      <c r="F301" s="74">
        <f>IF(REGISTRO!B301="","",REGISTRO!F301)</f>
        <v/>
      </c>
      <c r="G301" s="74">
        <f>IF(REGISTRO!B301="","",REGISTRO!G301)</f>
        <v/>
      </c>
      <c r="H301" s="74">
        <f>IF(REGISTRO!B301="","",REGISTRO!I301)</f>
        <v/>
      </c>
      <c r="I301" s="74">
        <f>IF(REGISTRO!B301="","",REGISTRO!J301)</f>
        <v/>
      </c>
      <c r="J301" s="74">
        <f>IF(REGISTRO!B301="","",REGISTRO!K301)</f>
        <v/>
      </c>
      <c r="K301" s="74">
        <f>IF(REGISTRO!B301="","",REGISTRO!N301)</f>
        <v/>
      </c>
      <c r="L301" s="75">
        <f>IF(REGISTRO!B301="","",REGISTRO!R301)</f>
        <v/>
      </c>
      <c r="M301" s="74">
        <f>IF(REGISTRO!B301="","",REGISTRO!S301)</f>
        <v/>
      </c>
    </row>
    <row r="302">
      <c r="A302" s="74">
        <f>IF(REGISTRO!B302="","",REGISTRO!A302)</f>
        <v/>
      </c>
      <c r="B302" s="74">
        <f>IF(REGISTRO!B302="","",REGISTRO!B302)</f>
        <v/>
      </c>
      <c r="C302" s="74">
        <f>IF(REGISTRO!B302="","",REGISTRO!C302)</f>
        <v/>
      </c>
      <c r="D302" s="74">
        <f>IF(REGISTRO!B302="","",REGISTRO!D302)</f>
        <v/>
      </c>
      <c r="E302" s="74">
        <f>IF(REGISTRO!B302="","",REGISTRO!E302)</f>
        <v/>
      </c>
      <c r="F302" s="74">
        <f>IF(REGISTRO!B302="","",REGISTRO!F302)</f>
        <v/>
      </c>
      <c r="G302" s="74">
        <f>IF(REGISTRO!B302="","",REGISTRO!G302)</f>
        <v/>
      </c>
      <c r="H302" s="74">
        <f>IF(REGISTRO!B302="","",REGISTRO!I302)</f>
        <v/>
      </c>
      <c r="I302" s="74">
        <f>IF(REGISTRO!B302="","",REGISTRO!J302)</f>
        <v/>
      </c>
      <c r="J302" s="74">
        <f>IF(REGISTRO!B302="","",REGISTRO!K302)</f>
        <v/>
      </c>
      <c r="K302" s="74">
        <f>IF(REGISTRO!B302="","",REGISTRO!N302)</f>
        <v/>
      </c>
      <c r="L302" s="75">
        <f>IF(REGISTRO!B302="","",REGISTRO!R302)</f>
        <v/>
      </c>
      <c r="M302" s="74">
        <f>IF(REGISTRO!B302="","",REGISTRO!S302)</f>
        <v/>
      </c>
    </row>
    <row r="303">
      <c r="A303" s="74">
        <f>IF(REGISTRO!B303="","",REGISTRO!A303)</f>
        <v/>
      </c>
      <c r="B303" s="74">
        <f>IF(REGISTRO!B303="","",REGISTRO!B303)</f>
        <v/>
      </c>
      <c r="C303" s="74">
        <f>IF(REGISTRO!B303="","",REGISTRO!C303)</f>
        <v/>
      </c>
      <c r="D303" s="74">
        <f>IF(REGISTRO!B303="","",REGISTRO!D303)</f>
        <v/>
      </c>
      <c r="E303" s="74">
        <f>IF(REGISTRO!B303="","",REGISTRO!E303)</f>
        <v/>
      </c>
      <c r="F303" s="74">
        <f>IF(REGISTRO!B303="","",REGISTRO!F303)</f>
        <v/>
      </c>
      <c r="G303" s="74">
        <f>IF(REGISTRO!B303="","",REGISTRO!G303)</f>
        <v/>
      </c>
      <c r="H303" s="74">
        <f>IF(REGISTRO!B303="","",REGISTRO!I303)</f>
        <v/>
      </c>
      <c r="I303" s="74">
        <f>IF(REGISTRO!B303="","",REGISTRO!J303)</f>
        <v/>
      </c>
      <c r="J303" s="74">
        <f>IF(REGISTRO!B303="","",REGISTRO!K303)</f>
        <v/>
      </c>
      <c r="K303" s="74">
        <f>IF(REGISTRO!B303="","",REGISTRO!N303)</f>
        <v/>
      </c>
      <c r="L303" s="75">
        <f>IF(REGISTRO!B303="","",REGISTRO!R303)</f>
        <v/>
      </c>
      <c r="M303" s="74">
        <f>IF(REGISTRO!B303="","",REGISTRO!S303)</f>
        <v/>
      </c>
    </row>
    <row r="304">
      <c r="A304" s="74">
        <f>IF(REGISTRO!B304="","",REGISTRO!A304)</f>
        <v/>
      </c>
      <c r="B304" s="74">
        <f>IF(REGISTRO!B304="","",REGISTRO!B304)</f>
        <v/>
      </c>
      <c r="C304" s="74">
        <f>IF(REGISTRO!B304="","",REGISTRO!C304)</f>
        <v/>
      </c>
      <c r="D304" s="74">
        <f>IF(REGISTRO!B304="","",REGISTRO!D304)</f>
        <v/>
      </c>
      <c r="E304" s="74">
        <f>IF(REGISTRO!B304="","",REGISTRO!E304)</f>
        <v/>
      </c>
      <c r="F304" s="74">
        <f>IF(REGISTRO!B304="","",REGISTRO!F304)</f>
        <v/>
      </c>
      <c r="G304" s="74">
        <f>IF(REGISTRO!B304="","",REGISTRO!G304)</f>
        <v/>
      </c>
      <c r="H304" s="74">
        <f>IF(REGISTRO!B304="","",REGISTRO!I304)</f>
        <v/>
      </c>
      <c r="I304" s="74">
        <f>IF(REGISTRO!B304="","",REGISTRO!J304)</f>
        <v/>
      </c>
      <c r="J304" s="74">
        <f>IF(REGISTRO!B304="","",REGISTRO!K304)</f>
        <v/>
      </c>
      <c r="K304" s="74">
        <f>IF(REGISTRO!B304="","",REGISTRO!N304)</f>
        <v/>
      </c>
      <c r="L304" s="75">
        <f>IF(REGISTRO!B304="","",REGISTRO!R304)</f>
        <v/>
      </c>
      <c r="M304" s="74">
        <f>IF(REGISTRO!B304="","",REGISTRO!S304)</f>
        <v/>
      </c>
    </row>
    <row r="305">
      <c r="A305" s="74">
        <f>IF(REGISTRO!B305="","",REGISTRO!A305)</f>
        <v/>
      </c>
      <c r="B305" s="74">
        <f>IF(REGISTRO!B305="","",REGISTRO!B305)</f>
        <v/>
      </c>
      <c r="C305" s="74">
        <f>IF(REGISTRO!B305="","",REGISTRO!C305)</f>
        <v/>
      </c>
      <c r="D305" s="74">
        <f>IF(REGISTRO!B305="","",REGISTRO!D305)</f>
        <v/>
      </c>
      <c r="E305" s="74">
        <f>IF(REGISTRO!B305="","",REGISTRO!E305)</f>
        <v/>
      </c>
      <c r="F305" s="74">
        <f>IF(REGISTRO!B305="","",REGISTRO!F305)</f>
        <v/>
      </c>
      <c r="G305" s="74">
        <f>IF(REGISTRO!B305="","",REGISTRO!G305)</f>
        <v/>
      </c>
      <c r="H305" s="74">
        <f>IF(REGISTRO!B305="","",REGISTRO!I305)</f>
        <v/>
      </c>
      <c r="I305" s="74">
        <f>IF(REGISTRO!B305="","",REGISTRO!J305)</f>
        <v/>
      </c>
      <c r="J305" s="74">
        <f>IF(REGISTRO!B305="","",REGISTRO!K305)</f>
        <v/>
      </c>
      <c r="K305" s="74">
        <f>IF(REGISTRO!B305="","",REGISTRO!N305)</f>
        <v/>
      </c>
      <c r="L305" s="75">
        <f>IF(REGISTRO!B305="","",REGISTRO!R305)</f>
        <v/>
      </c>
      <c r="M305" s="74">
        <f>IF(REGISTRO!B305="","",REGISTRO!S305)</f>
        <v/>
      </c>
    </row>
    <row r="306">
      <c r="A306" s="74">
        <f>IF(REGISTRO!B306="","",REGISTRO!A306)</f>
        <v/>
      </c>
      <c r="B306" s="74">
        <f>IF(REGISTRO!B306="","",REGISTRO!B306)</f>
        <v/>
      </c>
      <c r="C306" s="74">
        <f>IF(REGISTRO!B306="","",REGISTRO!C306)</f>
        <v/>
      </c>
      <c r="D306" s="74">
        <f>IF(REGISTRO!B306="","",REGISTRO!D306)</f>
        <v/>
      </c>
      <c r="E306" s="74">
        <f>IF(REGISTRO!B306="","",REGISTRO!E306)</f>
        <v/>
      </c>
      <c r="F306" s="74">
        <f>IF(REGISTRO!B306="","",REGISTRO!F306)</f>
        <v/>
      </c>
      <c r="G306" s="74">
        <f>IF(REGISTRO!B306="","",REGISTRO!G306)</f>
        <v/>
      </c>
      <c r="H306" s="74">
        <f>IF(REGISTRO!B306="","",REGISTRO!I306)</f>
        <v/>
      </c>
      <c r="I306" s="74">
        <f>IF(REGISTRO!B306="","",REGISTRO!J306)</f>
        <v/>
      </c>
      <c r="J306" s="74">
        <f>IF(REGISTRO!B306="","",REGISTRO!K306)</f>
        <v/>
      </c>
      <c r="K306" s="74">
        <f>IF(REGISTRO!B306="","",REGISTRO!N306)</f>
        <v/>
      </c>
      <c r="L306" s="75">
        <f>IF(REGISTRO!B306="","",REGISTRO!R306)</f>
        <v/>
      </c>
      <c r="M306" s="74">
        <f>IF(REGISTRO!B306="","",REGISTRO!S306)</f>
        <v/>
      </c>
    </row>
    <row r="307">
      <c r="A307" s="74">
        <f>IF(REGISTRO!B307="","",REGISTRO!A307)</f>
        <v/>
      </c>
      <c r="B307" s="74">
        <f>IF(REGISTRO!B307="","",REGISTRO!B307)</f>
        <v/>
      </c>
      <c r="C307" s="74">
        <f>IF(REGISTRO!B307="","",REGISTRO!C307)</f>
        <v/>
      </c>
      <c r="D307" s="74">
        <f>IF(REGISTRO!B307="","",REGISTRO!D307)</f>
        <v/>
      </c>
      <c r="E307" s="74">
        <f>IF(REGISTRO!B307="","",REGISTRO!E307)</f>
        <v/>
      </c>
      <c r="F307" s="74">
        <f>IF(REGISTRO!B307="","",REGISTRO!F307)</f>
        <v/>
      </c>
      <c r="G307" s="74">
        <f>IF(REGISTRO!B307="","",REGISTRO!G307)</f>
        <v/>
      </c>
      <c r="H307" s="74">
        <f>IF(REGISTRO!B307="","",REGISTRO!I307)</f>
        <v/>
      </c>
      <c r="I307" s="74">
        <f>IF(REGISTRO!B307="","",REGISTRO!J307)</f>
        <v/>
      </c>
      <c r="J307" s="74">
        <f>IF(REGISTRO!B307="","",REGISTRO!K307)</f>
        <v/>
      </c>
      <c r="K307" s="74">
        <f>IF(REGISTRO!B307="","",REGISTRO!N307)</f>
        <v/>
      </c>
      <c r="L307" s="75">
        <f>IF(REGISTRO!B307="","",REGISTRO!R307)</f>
        <v/>
      </c>
      <c r="M307" s="74">
        <f>IF(REGISTRO!B307="","",REGISTRO!S307)</f>
        <v/>
      </c>
    </row>
    <row r="308">
      <c r="A308" s="74">
        <f>IF(REGISTRO!B308="","",REGISTRO!A308)</f>
        <v/>
      </c>
      <c r="B308" s="74">
        <f>IF(REGISTRO!B308="","",REGISTRO!B308)</f>
        <v/>
      </c>
      <c r="C308" s="74">
        <f>IF(REGISTRO!B308="","",REGISTRO!C308)</f>
        <v/>
      </c>
      <c r="D308" s="74">
        <f>IF(REGISTRO!B308="","",REGISTRO!D308)</f>
        <v/>
      </c>
      <c r="E308" s="74">
        <f>IF(REGISTRO!B308="","",REGISTRO!E308)</f>
        <v/>
      </c>
      <c r="F308" s="74">
        <f>IF(REGISTRO!B308="","",REGISTRO!F308)</f>
        <v/>
      </c>
      <c r="G308" s="74">
        <f>IF(REGISTRO!B308="","",REGISTRO!G308)</f>
        <v/>
      </c>
      <c r="H308" s="74">
        <f>IF(REGISTRO!B308="","",REGISTRO!I308)</f>
        <v/>
      </c>
      <c r="I308" s="74">
        <f>IF(REGISTRO!B308="","",REGISTRO!J308)</f>
        <v/>
      </c>
      <c r="J308" s="74">
        <f>IF(REGISTRO!B308="","",REGISTRO!K308)</f>
        <v/>
      </c>
      <c r="K308" s="74">
        <f>IF(REGISTRO!B308="","",REGISTRO!N308)</f>
        <v/>
      </c>
      <c r="L308" s="75">
        <f>IF(REGISTRO!B308="","",REGISTRO!R308)</f>
        <v/>
      </c>
      <c r="M308" s="74">
        <f>IF(REGISTRO!B308="","",REGISTRO!S308)</f>
        <v/>
      </c>
    </row>
    <row r="309">
      <c r="A309" s="74">
        <f>IF(REGISTRO!B309="","",REGISTRO!A309)</f>
        <v/>
      </c>
      <c r="B309" s="74">
        <f>IF(REGISTRO!B309="","",REGISTRO!B309)</f>
        <v/>
      </c>
      <c r="C309" s="74">
        <f>IF(REGISTRO!B309="","",REGISTRO!C309)</f>
        <v/>
      </c>
      <c r="D309" s="74">
        <f>IF(REGISTRO!B309="","",REGISTRO!D309)</f>
        <v/>
      </c>
      <c r="E309" s="74">
        <f>IF(REGISTRO!B309="","",REGISTRO!E309)</f>
        <v/>
      </c>
      <c r="F309" s="74">
        <f>IF(REGISTRO!B309="","",REGISTRO!F309)</f>
        <v/>
      </c>
      <c r="G309" s="74">
        <f>IF(REGISTRO!B309="","",REGISTRO!G309)</f>
        <v/>
      </c>
      <c r="H309" s="74">
        <f>IF(REGISTRO!B309="","",REGISTRO!I309)</f>
        <v/>
      </c>
      <c r="I309" s="74">
        <f>IF(REGISTRO!B309="","",REGISTRO!J309)</f>
        <v/>
      </c>
      <c r="J309" s="74">
        <f>IF(REGISTRO!B309="","",REGISTRO!K309)</f>
        <v/>
      </c>
      <c r="K309" s="74">
        <f>IF(REGISTRO!B309="","",REGISTRO!N309)</f>
        <v/>
      </c>
      <c r="L309" s="75">
        <f>IF(REGISTRO!B309="","",REGISTRO!R309)</f>
        <v/>
      </c>
      <c r="M309" s="74">
        <f>IF(REGISTRO!B309="","",REGISTRO!S309)</f>
        <v/>
      </c>
    </row>
    <row r="310">
      <c r="A310" s="74">
        <f>IF(REGISTRO!B310="","",REGISTRO!A310)</f>
        <v/>
      </c>
      <c r="B310" s="74">
        <f>IF(REGISTRO!B310="","",REGISTRO!B310)</f>
        <v/>
      </c>
      <c r="C310" s="74">
        <f>IF(REGISTRO!B310="","",REGISTRO!C310)</f>
        <v/>
      </c>
      <c r="D310" s="74">
        <f>IF(REGISTRO!B310="","",REGISTRO!D310)</f>
        <v/>
      </c>
      <c r="E310" s="74">
        <f>IF(REGISTRO!B310="","",REGISTRO!E310)</f>
        <v/>
      </c>
      <c r="F310" s="74">
        <f>IF(REGISTRO!B310="","",REGISTRO!F310)</f>
        <v/>
      </c>
      <c r="G310" s="74">
        <f>IF(REGISTRO!B310="","",REGISTRO!G310)</f>
        <v/>
      </c>
      <c r="H310" s="74">
        <f>IF(REGISTRO!B310="","",REGISTRO!I310)</f>
        <v/>
      </c>
      <c r="I310" s="74">
        <f>IF(REGISTRO!B310="","",REGISTRO!J310)</f>
        <v/>
      </c>
      <c r="J310" s="74">
        <f>IF(REGISTRO!B310="","",REGISTRO!K310)</f>
        <v/>
      </c>
      <c r="K310" s="74">
        <f>IF(REGISTRO!B310="","",REGISTRO!N310)</f>
        <v/>
      </c>
      <c r="L310" s="75">
        <f>IF(REGISTRO!B310="","",REGISTRO!R310)</f>
        <v/>
      </c>
      <c r="M310" s="74">
        <f>IF(REGISTRO!B310="","",REGISTRO!S310)</f>
        <v/>
      </c>
    </row>
    <row r="311">
      <c r="A311" s="74">
        <f>IF(REGISTRO!B311="","",REGISTRO!A311)</f>
        <v/>
      </c>
      <c r="B311" s="74">
        <f>IF(REGISTRO!B311="","",REGISTRO!B311)</f>
        <v/>
      </c>
      <c r="C311" s="74">
        <f>IF(REGISTRO!B311="","",REGISTRO!C311)</f>
        <v/>
      </c>
      <c r="D311" s="74">
        <f>IF(REGISTRO!B311="","",REGISTRO!D311)</f>
        <v/>
      </c>
      <c r="E311" s="74">
        <f>IF(REGISTRO!B311="","",REGISTRO!E311)</f>
        <v/>
      </c>
      <c r="F311" s="74">
        <f>IF(REGISTRO!B311="","",REGISTRO!F311)</f>
        <v/>
      </c>
      <c r="G311" s="74">
        <f>IF(REGISTRO!B311="","",REGISTRO!G311)</f>
        <v/>
      </c>
      <c r="H311" s="74">
        <f>IF(REGISTRO!B311="","",REGISTRO!I311)</f>
        <v/>
      </c>
      <c r="I311" s="74">
        <f>IF(REGISTRO!B311="","",REGISTRO!J311)</f>
        <v/>
      </c>
      <c r="J311" s="74">
        <f>IF(REGISTRO!B311="","",REGISTRO!K311)</f>
        <v/>
      </c>
      <c r="K311" s="74">
        <f>IF(REGISTRO!B311="","",REGISTRO!N311)</f>
        <v/>
      </c>
      <c r="L311" s="75">
        <f>IF(REGISTRO!B311="","",REGISTRO!R311)</f>
        <v/>
      </c>
      <c r="M311" s="74">
        <f>IF(REGISTRO!B311="","",REGISTRO!S311)</f>
        <v/>
      </c>
    </row>
    <row r="312">
      <c r="A312" s="74">
        <f>IF(REGISTRO!B312="","",REGISTRO!A312)</f>
        <v/>
      </c>
      <c r="B312" s="74">
        <f>IF(REGISTRO!B312="","",REGISTRO!B312)</f>
        <v/>
      </c>
      <c r="C312" s="74">
        <f>IF(REGISTRO!B312="","",REGISTRO!C312)</f>
        <v/>
      </c>
      <c r="D312" s="74">
        <f>IF(REGISTRO!B312="","",REGISTRO!D312)</f>
        <v/>
      </c>
      <c r="E312" s="74">
        <f>IF(REGISTRO!B312="","",REGISTRO!E312)</f>
        <v/>
      </c>
      <c r="F312" s="74">
        <f>IF(REGISTRO!B312="","",REGISTRO!F312)</f>
        <v/>
      </c>
      <c r="G312" s="74">
        <f>IF(REGISTRO!B312="","",REGISTRO!G312)</f>
        <v/>
      </c>
      <c r="H312" s="74">
        <f>IF(REGISTRO!B312="","",REGISTRO!I312)</f>
        <v/>
      </c>
      <c r="I312" s="74">
        <f>IF(REGISTRO!B312="","",REGISTRO!J312)</f>
        <v/>
      </c>
      <c r="J312" s="74">
        <f>IF(REGISTRO!B312="","",REGISTRO!K312)</f>
        <v/>
      </c>
      <c r="K312" s="74">
        <f>IF(REGISTRO!B312="","",REGISTRO!N312)</f>
        <v/>
      </c>
      <c r="L312" s="75">
        <f>IF(REGISTRO!B312="","",REGISTRO!R312)</f>
        <v/>
      </c>
      <c r="M312" s="74">
        <f>IF(REGISTRO!B312="","",REGISTRO!S312)</f>
        <v/>
      </c>
    </row>
    <row r="313">
      <c r="A313" s="74">
        <f>IF(REGISTRO!B313="","",REGISTRO!A313)</f>
        <v/>
      </c>
      <c r="B313" s="74">
        <f>IF(REGISTRO!B313="","",REGISTRO!B313)</f>
        <v/>
      </c>
      <c r="C313" s="74">
        <f>IF(REGISTRO!B313="","",REGISTRO!C313)</f>
        <v/>
      </c>
      <c r="D313" s="74">
        <f>IF(REGISTRO!B313="","",REGISTRO!D313)</f>
        <v/>
      </c>
      <c r="E313" s="74">
        <f>IF(REGISTRO!B313="","",REGISTRO!E313)</f>
        <v/>
      </c>
      <c r="F313" s="74">
        <f>IF(REGISTRO!B313="","",REGISTRO!F313)</f>
        <v/>
      </c>
      <c r="G313" s="74">
        <f>IF(REGISTRO!B313="","",REGISTRO!G313)</f>
        <v/>
      </c>
      <c r="H313" s="74">
        <f>IF(REGISTRO!B313="","",REGISTRO!I313)</f>
        <v/>
      </c>
      <c r="I313" s="74">
        <f>IF(REGISTRO!B313="","",REGISTRO!J313)</f>
        <v/>
      </c>
      <c r="J313" s="74">
        <f>IF(REGISTRO!B313="","",REGISTRO!K313)</f>
        <v/>
      </c>
      <c r="K313" s="74">
        <f>IF(REGISTRO!B313="","",REGISTRO!N313)</f>
        <v/>
      </c>
      <c r="L313" s="75">
        <f>IF(REGISTRO!B313="","",REGISTRO!R313)</f>
        <v/>
      </c>
      <c r="M313" s="74">
        <f>IF(REGISTRO!B313="","",REGISTRO!S313)</f>
        <v/>
      </c>
    </row>
    <row r="314">
      <c r="A314" s="74">
        <f>IF(REGISTRO!B314="","",REGISTRO!A314)</f>
        <v/>
      </c>
      <c r="B314" s="74">
        <f>IF(REGISTRO!B314="","",REGISTRO!B314)</f>
        <v/>
      </c>
      <c r="C314" s="74">
        <f>IF(REGISTRO!B314="","",REGISTRO!C314)</f>
        <v/>
      </c>
      <c r="D314" s="74">
        <f>IF(REGISTRO!B314="","",REGISTRO!D314)</f>
        <v/>
      </c>
      <c r="E314" s="74">
        <f>IF(REGISTRO!B314="","",REGISTRO!E314)</f>
        <v/>
      </c>
      <c r="F314" s="74">
        <f>IF(REGISTRO!B314="","",REGISTRO!F314)</f>
        <v/>
      </c>
      <c r="G314" s="74">
        <f>IF(REGISTRO!B314="","",REGISTRO!G314)</f>
        <v/>
      </c>
      <c r="H314" s="74">
        <f>IF(REGISTRO!B314="","",REGISTRO!I314)</f>
        <v/>
      </c>
      <c r="I314" s="74">
        <f>IF(REGISTRO!B314="","",REGISTRO!J314)</f>
        <v/>
      </c>
      <c r="J314" s="74">
        <f>IF(REGISTRO!B314="","",REGISTRO!K314)</f>
        <v/>
      </c>
      <c r="K314" s="74">
        <f>IF(REGISTRO!B314="","",REGISTRO!N314)</f>
        <v/>
      </c>
      <c r="L314" s="75">
        <f>IF(REGISTRO!B314="","",REGISTRO!R314)</f>
        <v/>
      </c>
      <c r="M314" s="74">
        <f>IF(REGISTRO!B314="","",REGISTRO!S314)</f>
        <v/>
      </c>
    </row>
    <row r="315">
      <c r="A315" s="74">
        <f>IF(REGISTRO!B315="","",REGISTRO!A315)</f>
        <v/>
      </c>
      <c r="B315" s="74">
        <f>IF(REGISTRO!B315="","",REGISTRO!B315)</f>
        <v/>
      </c>
      <c r="C315" s="74">
        <f>IF(REGISTRO!B315="","",REGISTRO!C315)</f>
        <v/>
      </c>
      <c r="D315" s="74">
        <f>IF(REGISTRO!B315="","",REGISTRO!D315)</f>
        <v/>
      </c>
      <c r="E315" s="74">
        <f>IF(REGISTRO!B315="","",REGISTRO!E315)</f>
        <v/>
      </c>
      <c r="F315" s="74">
        <f>IF(REGISTRO!B315="","",REGISTRO!F315)</f>
        <v/>
      </c>
      <c r="G315" s="74">
        <f>IF(REGISTRO!B315="","",REGISTRO!G315)</f>
        <v/>
      </c>
      <c r="H315" s="74">
        <f>IF(REGISTRO!B315="","",REGISTRO!I315)</f>
        <v/>
      </c>
      <c r="I315" s="74">
        <f>IF(REGISTRO!B315="","",REGISTRO!J315)</f>
        <v/>
      </c>
      <c r="J315" s="74">
        <f>IF(REGISTRO!B315="","",REGISTRO!K315)</f>
        <v/>
      </c>
      <c r="K315" s="74">
        <f>IF(REGISTRO!B315="","",REGISTRO!N315)</f>
        <v/>
      </c>
      <c r="L315" s="75">
        <f>IF(REGISTRO!B315="","",REGISTRO!R315)</f>
        <v/>
      </c>
      <c r="M315" s="74">
        <f>IF(REGISTRO!B315="","",REGISTRO!S315)</f>
        <v/>
      </c>
    </row>
    <row r="316">
      <c r="A316" s="74">
        <f>IF(REGISTRO!B316="","",REGISTRO!A316)</f>
        <v/>
      </c>
      <c r="B316" s="74">
        <f>IF(REGISTRO!B316="","",REGISTRO!B316)</f>
        <v/>
      </c>
      <c r="C316" s="74">
        <f>IF(REGISTRO!B316="","",REGISTRO!C316)</f>
        <v/>
      </c>
      <c r="D316" s="74">
        <f>IF(REGISTRO!B316="","",REGISTRO!D316)</f>
        <v/>
      </c>
      <c r="E316" s="74">
        <f>IF(REGISTRO!B316="","",REGISTRO!E316)</f>
        <v/>
      </c>
      <c r="F316" s="74">
        <f>IF(REGISTRO!B316="","",REGISTRO!F316)</f>
        <v/>
      </c>
      <c r="G316" s="74">
        <f>IF(REGISTRO!B316="","",REGISTRO!G316)</f>
        <v/>
      </c>
      <c r="H316" s="74">
        <f>IF(REGISTRO!B316="","",REGISTRO!I316)</f>
        <v/>
      </c>
      <c r="I316" s="74">
        <f>IF(REGISTRO!B316="","",REGISTRO!J316)</f>
        <v/>
      </c>
      <c r="J316" s="74">
        <f>IF(REGISTRO!B316="","",REGISTRO!K316)</f>
        <v/>
      </c>
      <c r="K316" s="74">
        <f>IF(REGISTRO!B316="","",REGISTRO!N316)</f>
        <v/>
      </c>
      <c r="L316" s="75">
        <f>IF(REGISTRO!B316="","",REGISTRO!R316)</f>
        <v/>
      </c>
      <c r="M316" s="74">
        <f>IF(REGISTRO!B316="","",REGISTRO!S316)</f>
        <v/>
      </c>
    </row>
    <row r="317">
      <c r="A317" s="74">
        <f>IF(REGISTRO!B317="","",REGISTRO!A317)</f>
        <v/>
      </c>
      <c r="B317" s="74">
        <f>IF(REGISTRO!B317="","",REGISTRO!B317)</f>
        <v/>
      </c>
      <c r="C317" s="74">
        <f>IF(REGISTRO!B317="","",REGISTRO!C317)</f>
        <v/>
      </c>
      <c r="D317" s="74">
        <f>IF(REGISTRO!B317="","",REGISTRO!D317)</f>
        <v/>
      </c>
      <c r="E317" s="74">
        <f>IF(REGISTRO!B317="","",REGISTRO!E317)</f>
        <v/>
      </c>
      <c r="F317" s="74">
        <f>IF(REGISTRO!B317="","",REGISTRO!F317)</f>
        <v/>
      </c>
      <c r="G317" s="74">
        <f>IF(REGISTRO!B317="","",REGISTRO!G317)</f>
        <v/>
      </c>
      <c r="H317" s="74">
        <f>IF(REGISTRO!B317="","",REGISTRO!I317)</f>
        <v/>
      </c>
      <c r="I317" s="74">
        <f>IF(REGISTRO!B317="","",REGISTRO!J317)</f>
        <v/>
      </c>
      <c r="J317" s="74">
        <f>IF(REGISTRO!B317="","",REGISTRO!K317)</f>
        <v/>
      </c>
      <c r="K317" s="74">
        <f>IF(REGISTRO!B317="","",REGISTRO!N317)</f>
        <v/>
      </c>
      <c r="L317" s="75">
        <f>IF(REGISTRO!B317="","",REGISTRO!R317)</f>
        <v/>
      </c>
      <c r="M317" s="74">
        <f>IF(REGISTRO!B317="","",REGISTRO!S317)</f>
        <v/>
      </c>
    </row>
    <row r="318">
      <c r="A318" s="74">
        <f>IF(REGISTRO!B318="","",REGISTRO!A318)</f>
        <v/>
      </c>
      <c r="B318" s="74">
        <f>IF(REGISTRO!B318="","",REGISTRO!B318)</f>
        <v/>
      </c>
      <c r="C318" s="74">
        <f>IF(REGISTRO!B318="","",REGISTRO!C318)</f>
        <v/>
      </c>
      <c r="D318" s="74">
        <f>IF(REGISTRO!B318="","",REGISTRO!D318)</f>
        <v/>
      </c>
      <c r="E318" s="74">
        <f>IF(REGISTRO!B318="","",REGISTRO!E318)</f>
        <v/>
      </c>
      <c r="F318" s="74">
        <f>IF(REGISTRO!B318="","",REGISTRO!F318)</f>
        <v/>
      </c>
      <c r="G318" s="74">
        <f>IF(REGISTRO!B318="","",REGISTRO!G318)</f>
        <v/>
      </c>
      <c r="H318" s="74">
        <f>IF(REGISTRO!B318="","",REGISTRO!I318)</f>
        <v/>
      </c>
      <c r="I318" s="74">
        <f>IF(REGISTRO!B318="","",REGISTRO!J318)</f>
        <v/>
      </c>
      <c r="J318" s="74">
        <f>IF(REGISTRO!B318="","",REGISTRO!K318)</f>
        <v/>
      </c>
      <c r="K318" s="74">
        <f>IF(REGISTRO!B318="","",REGISTRO!N318)</f>
        <v/>
      </c>
      <c r="L318" s="75">
        <f>IF(REGISTRO!B318="","",REGISTRO!R318)</f>
        <v/>
      </c>
      <c r="M318" s="74">
        <f>IF(REGISTRO!B318="","",REGISTRO!S318)</f>
        <v/>
      </c>
    </row>
    <row r="319">
      <c r="A319" s="74">
        <f>IF(REGISTRO!B319="","",REGISTRO!A319)</f>
        <v/>
      </c>
      <c r="B319" s="74">
        <f>IF(REGISTRO!B319="","",REGISTRO!B319)</f>
        <v/>
      </c>
      <c r="C319" s="74">
        <f>IF(REGISTRO!B319="","",REGISTRO!C319)</f>
        <v/>
      </c>
      <c r="D319" s="74">
        <f>IF(REGISTRO!B319="","",REGISTRO!D319)</f>
        <v/>
      </c>
      <c r="E319" s="74">
        <f>IF(REGISTRO!B319="","",REGISTRO!E319)</f>
        <v/>
      </c>
      <c r="F319" s="74">
        <f>IF(REGISTRO!B319="","",REGISTRO!F319)</f>
        <v/>
      </c>
      <c r="G319" s="74">
        <f>IF(REGISTRO!B319="","",REGISTRO!G319)</f>
        <v/>
      </c>
      <c r="H319" s="74">
        <f>IF(REGISTRO!B319="","",REGISTRO!I319)</f>
        <v/>
      </c>
      <c r="I319" s="74">
        <f>IF(REGISTRO!B319="","",REGISTRO!J319)</f>
        <v/>
      </c>
      <c r="J319" s="74">
        <f>IF(REGISTRO!B319="","",REGISTRO!K319)</f>
        <v/>
      </c>
      <c r="K319" s="74">
        <f>IF(REGISTRO!B319="","",REGISTRO!N319)</f>
        <v/>
      </c>
      <c r="L319" s="75">
        <f>IF(REGISTRO!B319="","",REGISTRO!R319)</f>
        <v/>
      </c>
      <c r="M319" s="74">
        <f>IF(REGISTRO!B319="","",REGISTRO!S319)</f>
        <v/>
      </c>
    </row>
    <row r="320">
      <c r="A320" s="74">
        <f>IF(REGISTRO!B320="","",REGISTRO!A320)</f>
        <v/>
      </c>
      <c r="B320" s="74">
        <f>IF(REGISTRO!B320="","",REGISTRO!B320)</f>
        <v/>
      </c>
      <c r="C320" s="74">
        <f>IF(REGISTRO!B320="","",REGISTRO!C320)</f>
        <v/>
      </c>
      <c r="D320" s="74">
        <f>IF(REGISTRO!B320="","",REGISTRO!D320)</f>
        <v/>
      </c>
      <c r="E320" s="74">
        <f>IF(REGISTRO!B320="","",REGISTRO!E320)</f>
        <v/>
      </c>
      <c r="F320" s="74">
        <f>IF(REGISTRO!B320="","",REGISTRO!F320)</f>
        <v/>
      </c>
      <c r="G320" s="74">
        <f>IF(REGISTRO!B320="","",REGISTRO!G320)</f>
        <v/>
      </c>
      <c r="H320" s="74">
        <f>IF(REGISTRO!B320="","",REGISTRO!I320)</f>
        <v/>
      </c>
      <c r="I320" s="74">
        <f>IF(REGISTRO!B320="","",REGISTRO!J320)</f>
        <v/>
      </c>
      <c r="J320" s="74">
        <f>IF(REGISTRO!B320="","",REGISTRO!K320)</f>
        <v/>
      </c>
      <c r="K320" s="74">
        <f>IF(REGISTRO!B320="","",REGISTRO!N320)</f>
        <v/>
      </c>
      <c r="L320" s="75">
        <f>IF(REGISTRO!B320="","",REGISTRO!R320)</f>
        <v/>
      </c>
      <c r="M320" s="74">
        <f>IF(REGISTRO!B320="","",REGISTRO!S320)</f>
        <v/>
      </c>
    </row>
    <row r="321">
      <c r="A321" s="74">
        <f>IF(REGISTRO!B321="","",REGISTRO!A321)</f>
        <v/>
      </c>
      <c r="B321" s="74">
        <f>IF(REGISTRO!B321="","",REGISTRO!B321)</f>
        <v/>
      </c>
      <c r="C321" s="74">
        <f>IF(REGISTRO!B321="","",REGISTRO!C321)</f>
        <v/>
      </c>
      <c r="D321" s="74">
        <f>IF(REGISTRO!B321="","",REGISTRO!D321)</f>
        <v/>
      </c>
      <c r="E321" s="74">
        <f>IF(REGISTRO!B321="","",REGISTRO!E321)</f>
        <v/>
      </c>
      <c r="F321" s="74">
        <f>IF(REGISTRO!B321="","",REGISTRO!F321)</f>
        <v/>
      </c>
      <c r="G321" s="74">
        <f>IF(REGISTRO!B321="","",REGISTRO!G321)</f>
        <v/>
      </c>
      <c r="H321" s="74">
        <f>IF(REGISTRO!B321="","",REGISTRO!I321)</f>
        <v/>
      </c>
      <c r="I321" s="74">
        <f>IF(REGISTRO!B321="","",REGISTRO!J321)</f>
        <v/>
      </c>
      <c r="J321" s="74">
        <f>IF(REGISTRO!B321="","",REGISTRO!K321)</f>
        <v/>
      </c>
      <c r="K321" s="74">
        <f>IF(REGISTRO!B321="","",REGISTRO!N321)</f>
        <v/>
      </c>
      <c r="L321" s="75">
        <f>IF(REGISTRO!B321="","",REGISTRO!R321)</f>
        <v/>
      </c>
      <c r="M321" s="74">
        <f>IF(REGISTRO!B321="","",REGISTRO!S321)</f>
        <v/>
      </c>
    </row>
    <row r="322">
      <c r="A322" s="74">
        <f>IF(REGISTRO!B322="","",REGISTRO!A322)</f>
        <v/>
      </c>
      <c r="B322" s="74">
        <f>IF(REGISTRO!B322="","",REGISTRO!B322)</f>
        <v/>
      </c>
      <c r="C322" s="74">
        <f>IF(REGISTRO!B322="","",REGISTRO!C322)</f>
        <v/>
      </c>
      <c r="D322" s="74">
        <f>IF(REGISTRO!B322="","",REGISTRO!D322)</f>
        <v/>
      </c>
      <c r="E322" s="74">
        <f>IF(REGISTRO!B322="","",REGISTRO!E322)</f>
        <v/>
      </c>
      <c r="F322" s="74">
        <f>IF(REGISTRO!B322="","",REGISTRO!F322)</f>
        <v/>
      </c>
      <c r="G322" s="74">
        <f>IF(REGISTRO!B322="","",REGISTRO!G322)</f>
        <v/>
      </c>
      <c r="H322" s="74">
        <f>IF(REGISTRO!B322="","",REGISTRO!I322)</f>
        <v/>
      </c>
      <c r="I322" s="74">
        <f>IF(REGISTRO!B322="","",REGISTRO!J322)</f>
        <v/>
      </c>
      <c r="J322" s="74">
        <f>IF(REGISTRO!B322="","",REGISTRO!K322)</f>
        <v/>
      </c>
      <c r="K322" s="74">
        <f>IF(REGISTRO!B322="","",REGISTRO!N322)</f>
        <v/>
      </c>
      <c r="L322" s="75">
        <f>IF(REGISTRO!B322="","",REGISTRO!R322)</f>
        <v/>
      </c>
      <c r="M322" s="74">
        <f>IF(REGISTRO!B322="","",REGISTRO!S322)</f>
        <v/>
      </c>
    </row>
    <row r="323">
      <c r="A323" s="74">
        <f>IF(REGISTRO!B323="","",REGISTRO!A323)</f>
        <v/>
      </c>
      <c r="B323" s="74">
        <f>IF(REGISTRO!B323="","",REGISTRO!B323)</f>
        <v/>
      </c>
      <c r="C323" s="74">
        <f>IF(REGISTRO!B323="","",REGISTRO!C323)</f>
        <v/>
      </c>
      <c r="D323" s="74">
        <f>IF(REGISTRO!B323="","",REGISTRO!D323)</f>
        <v/>
      </c>
      <c r="E323" s="74">
        <f>IF(REGISTRO!B323="","",REGISTRO!E323)</f>
        <v/>
      </c>
      <c r="F323" s="74">
        <f>IF(REGISTRO!B323="","",REGISTRO!F323)</f>
        <v/>
      </c>
      <c r="G323" s="74">
        <f>IF(REGISTRO!B323="","",REGISTRO!G323)</f>
        <v/>
      </c>
      <c r="H323" s="74">
        <f>IF(REGISTRO!B323="","",REGISTRO!I323)</f>
        <v/>
      </c>
      <c r="I323" s="74">
        <f>IF(REGISTRO!B323="","",REGISTRO!J323)</f>
        <v/>
      </c>
      <c r="J323" s="74">
        <f>IF(REGISTRO!B323="","",REGISTRO!K323)</f>
        <v/>
      </c>
      <c r="K323" s="74">
        <f>IF(REGISTRO!B323="","",REGISTRO!N323)</f>
        <v/>
      </c>
      <c r="L323" s="75">
        <f>IF(REGISTRO!B323="","",REGISTRO!R323)</f>
        <v/>
      </c>
      <c r="M323" s="74">
        <f>IF(REGISTRO!B323="","",REGISTRO!S323)</f>
        <v/>
      </c>
    </row>
    <row r="324">
      <c r="A324" s="74">
        <f>IF(REGISTRO!B324="","",REGISTRO!A324)</f>
        <v/>
      </c>
      <c r="B324" s="74">
        <f>IF(REGISTRO!B324="","",REGISTRO!B324)</f>
        <v/>
      </c>
      <c r="C324" s="74">
        <f>IF(REGISTRO!B324="","",REGISTRO!C324)</f>
        <v/>
      </c>
      <c r="D324" s="74">
        <f>IF(REGISTRO!B324="","",REGISTRO!D324)</f>
        <v/>
      </c>
      <c r="E324" s="74">
        <f>IF(REGISTRO!B324="","",REGISTRO!E324)</f>
        <v/>
      </c>
      <c r="F324" s="74">
        <f>IF(REGISTRO!B324="","",REGISTRO!F324)</f>
        <v/>
      </c>
      <c r="G324" s="74">
        <f>IF(REGISTRO!B324="","",REGISTRO!G324)</f>
        <v/>
      </c>
      <c r="H324" s="74">
        <f>IF(REGISTRO!B324="","",REGISTRO!I324)</f>
        <v/>
      </c>
      <c r="I324" s="74">
        <f>IF(REGISTRO!B324="","",REGISTRO!J324)</f>
        <v/>
      </c>
      <c r="J324" s="74">
        <f>IF(REGISTRO!B324="","",REGISTRO!K324)</f>
        <v/>
      </c>
      <c r="K324" s="74">
        <f>IF(REGISTRO!B324="","",REGISTRO!N324)</f>
        <v/>
      </c>
      <c r="L324" s="75">
        <f>IF(REGISTRO!B324="","",REGISTRO!R324)</f>
        <v/>
      </c>
      <c r="M324" s="74">
        <f>IF(REGISTRO!B324="","",REGISTRO!S324)</f>
        <v/>
      </c>
    </row>
    <row r="325">
      <c r="A325" s="74">
        <f>IF(REGISTRO!B325="","",REGISTRO!A325)</f>
        <v/>
      </c>
      <c r="B325" s="74">
        <f>IF(REGISTRO!B325="","",REGISTRO!B325)</f>
        <v/>
      </c>
      <c r="C325" s="74">
        <f>IF(REGISTRO!B325="","",REGISTRO!C325)</f>
        <v/>
      </c>
      <c r="D325" s="74">
        <f>IF(REGISTRO!B325="","",REGISTRO!D325)</f>
        <v/>
      </c>
      <c r="E325" s="74">
        <f>IF(REGISTRO!B325="","",REGISTRO!E325)</f>
        <v/>
      </c>
      <c r="F325" s="74">
        <f>IF(REGISTRO!B325="","",REGISTRO!F325)</f>
        <v/>
      </c>
      <c r="G325" s="74">
        <f>IF(REGISTRO!B325="","",REGISTRO!G325)</f>
        <v/>
      </c>
      <c r="H325" s="74">
        <f>IF(REGISTRO!B325="","",REGISTRO!I325)</f>
        <v/>
      </c>
      <c r="I325" s="74">
        <f>IF(REGISTRO!B325="","",REGISTRO!J325)</f>
        <v/>
      </c>
      <c r="J325" s="74">
        <f>IF(REGISTRO!B325="","",REGISTRO!K325)</f>
        <v/>
      </c>
      <c r="K325" s="74">
        <f>IF(REGISTRO!B325="","",REGISTRO!N325)</f>
        <v/>
      </c>
      <c r="L325" s="75">
        <f>IF(REGISTRO!B325="","",REGISTRO!R325)</f>
        <v/>
      </c>
      <c r="M325" s="74">
        <f>IF(REGISTRO!B325="","",REGISTRO!S325)</f>
        <v/>
      </c>
    </row>
    <row r="326">
      <c r="A326" s="74">
        <f>IF(REGISTRO!B326="","",REGISTRO!A326)</f>
        <v/>
      </c>
      <c r="B326" s="74">
        <f>IF(REGISTRO!B326="","",REGISTRO!B326)</f>
        <v/>
      </c>
      <c r="C326" s="74">
        <f>IF(REGISTRO!B326="","",REGISTRO!C326)</f>
        <v/>
      </c>
      <c r="D326" s="74">
        <f>IF(REGISTRO!B326="","",REGISTRO!D326)</f>
        <v/>
      </c>
      <c r="E326" s="74">
        <f>IF(REGISTRO!B326="","",REGISTRO!E326)</f>
        <v/>
      </c>
      <c r="F326" s="74">
        <f>IF(REGISTRO!B326="","",REGISTRO!F326)</f>
        <v/>
      </c>
      <c r="G326" s="74">
        <f>IF(REGISTRO!B326="","",REGISTRO!G326)</f>
        <v/>
      </c>
      <c r="H326" s="74">
        <f>IF(REGISTRO!B326="","",REGISTRO!I326)</f>
        <v/>
      </c>
      <c r="I326" s="74">
        <f>IF(REGISTRO!B326="","",REGISTRO!J326)</f>
        <v/>
      </c>
      <c r="J326" s="74">
        <f>IF(REGISTRO!B326="","",REGISTRO!K326)</f>
        <v/>
      </c>
      <c r="K326" s="74">
        <f>IF(REGISTRO!B326="","",REGISTRO!N326)</f>
        <v/>
      </c>
      <c r="L326" s="75">
        <f>IF(REGISTRO!B326="","",REGISTRO!R326)</f>
        <v/>
      </c>
      <c r="M326" s="74">
        <f>IF(REGISTRO!B326="","",REGISTRO!S326)</f>
        <v/>
      </c>
    </row>
    <row r="327">
      <c r="A327" s="74">
        <f>IF(REGISTRO!B327="","",REGISTRO!A327)</f>
        <v/>
      </c>
      <c r="B327" s="74">
        <f>IF(REGISTRO!B327="","",REGISTRO!B327)</f>
        <v/>
      </c>
      <c r="C327" s="74">
        <f>IF(REGISTRO!B327="","",REGISTRO!C327)</f>
        <v/>
      </c>
      <c r="D327" s="74">
        <f>IF(REGISTRO!B327="","",REGISTRO!D327)</f>
        <v/>
      </c>
      <c r="E327" s="74">
        <f>IF(REGISTRO!B327="","",REGISTRO!E327)</f>
        <v/>
      </c>
      <c r="F327" s="74">
        <f>IF(REGISTRO!B327="","",REGISTRO!F327)</f>
        <v/>
      </c>
      <c r="G327" s="74">
        <f>IF(REGISTRO!B327="","",REGISTRO!G327)</f>
        <v/>
      </c>
      <c r="H327" s="74">
        <f>IF(REGISTRO!B327="","",REGISTRO!I327)</f>
        <v/>
      </c>
      <c r="I327" s="74">
        <f>IF(REGISTRO!B327="","",REGISTRO!J327)</f>
        <v/>
      </c>
      <c r="J327" s="74">
        <f>IF(REGISTRO!B327="","",REGISTRO!K327)</f>
        <v/>
      </c>
      <c r="K327" s="74">
        <f>IF(REGISTRO!B327="","",REGISTRO!N327)</f>
        <v/>
      </c>
      <c r="L327" s="75">
        <f>IF(REGISTRO!B327="","",REGISTRO!R327)</f>
        <v/>
      </c>
      <c r="M327" s="74">
        <f>IF(REGISTRO!B327="","",REGISTRO!S327)</f>
        <v/>
      </c>
    </row>
    <row r="328">
      <c r="A328" s="74">
        <f>IF(REGISTRO!B328="","",REGISTRO!A328)</f>
        <v/>
      </c>
      <c r="B328" s="74">
        <f>IF(REGISTRO!B328="","",REGISTRO!B328)</f>
        <v/>
      </c>
      <c r="C328" s="74">
        <f>IF(REGISTRO!B328="","",REGISTRO!C328)</f>
        <v/>
      </c>
      <c r="D328" s="74">
        <f>IF(REGISTRO!B328="","",REGISTRO!D328)</f>
        <v/>
      </c>
      <c r="E328" s="74">
        <f>IF(REGISTRO!B328="","",REGISTRO!E328)</f>
        <v/>
      </c>
      <c r="F328" s="74">
        <f>IF(REGISTRO!B328="","",REGISTRO!F328)</f>
        <v/>
      </c>
      <c r="G328" s="74">
        <f>IF(REGISTRO!B328="","",REGISTRO!G328)</f>
        <v/>
      </c>
      <c r="H328" s="74">
        <f>IF(REGISTRO!B328="","",REGISTRO!I328)</f>
        <v/>
      </c>
      <c r="I328" s="74">
        <f>IF(REGISTRO!B328="","",REGISTRO!J328)</f>
        <v/>
      </c>
      <c r="J328" s="74">
        <f>IF(REGISTRO!B328="","",REGISTRO!K328)</f>
        <v/>
      </c>
      <c r="K328" s="74">
        <f>IF(REGISTRO!B328="","",REGISTRO!N328)</f>
        <v/>
      </c>
      <c r="L328" s="75">
        <f>IF(REGISTRO!B328="","",REGISTRO!R328)</f>
        <v/>
      </c>
      <c r="M328" s="74">
        <f>IF(REGISTRO!B328="","",REGISTRO!S328)</f>
        <v/>
      </c>
    </row>
    <row r="329">
      <c r="A329" s="74">
        <f>IF(REGISTRO!B329="","",REGISTRO!A329)</f>
        <v/>
      </c>
      <c r="B329" s="74">
        <f>IF(REGISTRO!B329="","",REGISTRO!B329)</f>
        <v/>
      </c>
      <c r="C329" s="74">
        <f>IF(REGISTRO!B329="","",REGISTRO!C329)</f>
        <v/>
      </c>
      <c r="D329" s="74">
        <f>IF(REGISTRO!B329="","",REGISTRO!D329)</f>
        <v/>
      </c>
      <c r="E329" s="74">
        <f>IF(REGISTRO!B329="","",REGISTRO!E329)</f>
        <v/>
      </c>
      <c r="F329" s="74">
        <f>IF(REGISTRO!B329="","",REGISTRO!F329)</f>
        <v/>
      </c>
      <c r="G329" s="74">
        <f>IF(REGISTRO!B329="","",REGISTRO!G329)</f>
        <v/>
      </c>
      <c r="H329" s="74">
        <f>IF(REGISTRO!B329="","",REGISTRO!I329)</f>
        <v/>
      </c>
      <c r="I329" s="74">
        <f>IF(REGISTRO!B329="","",REGISTRO!J329)</f>
        <v/>
      </c>
      <c r="J329" s="74">
        <f>IF(REGISTRO!B329="","",REGISTRO!K329)</f>
        <v/>
      </c>
      <c r="K329" s="74">
        <f>IF(REGISTRO!B329="","",REGISTRO!N329)</f>
        <v/>
      </c>
      <c r="L329" s="75">
        <f>IF(REGISTRO!B329="","",REGISTRO!R329)</f>
        <v/>
      </c>
      <c r="M329" s="74">
        <f>IF(REGISTRO!B329="","",REGISTRO!S329)</f>
        <v/>
      </c>
    </row>
    <row r="330">
      <c r="A330" s="74">
        <f>IF(REGISTRO!B330="","",REGISTRO!A330)</f>
        <v/>
      </c>
      <c r="B330" s="74">
        <f>IF(REGISTRO!B330="","",REGISTRO!B330)</f>
        <v/>
      </c>
      <c r="C330" s="74">
        <f>IF(REGISTRO!B330="","",REGISTRO!C330)</f>
        <v/>
      </c>
      <c r="D330" s="74">
        <f>IF(REGISTRO!B330="","",REGISTRO!D330)</f>
        <v/>
      </c>
      <c r="E330" s="74">
        <f>IF(REGISTRO!B330="","",REGISTRO!E330)</f>
        <v/>
      </c>
      <c r="F330" s="74">
        <f>IF(REGISTRO!B330="","",REGISTRO!F330)</f>
        <v/>
      </c>
      <c r="G330" s="74">
        <f>IF(REGISTRO!B330="","",REGISTRO!G330)</f>
        <v/>
      </c>
      <c r="H330" s="74">
        <f>IF(REGISTRO!B330="","",REGISTRO!I330)</f>
        <v/>
      </c>
      <c r="I330" s="74">
        <f>IF(REGISTRO!B330="","",REGISTRO!J330)</f>
        <v/>
      </c>
      <c r="J330" s="74">
        <f>IF(REGISTRO!B330="","",REGISTRO!K330)</f>
        <v/>
      </c>
      <c r="K330" s="74">
        <f>IF(REGISTRO!B330="","",REGISTRO!N330)</f>
        <v/>
      </c>
      <c r="L330" s="75">
        <f>IF(REGISTRO!B330="","",REGISTRO!R330)</f>
        <v/>
      </c>
      <c r="M330" s="74">
        <f>IF(REGISTRO!B330="","",REGISTRO!S330)</f>
        <v/>
      </c>
    </row>
    <row r="331">
      <c r="A331" s="74">
        <f>IF(REGISTRO!B331="","",REGISTRO!A331)</f>
        <v/>
      </c>
      <c r="B331" s="74">
        <f>IF(REGISTRO!B331="","",REGISTRO!B331)</f>
        <v/>
      </c>
      <c r="C331" s="74">
        <f>IF(REGISTRO!B331="","",REGISTRO!C331)</f>
        <v/>
      </c>
      <c r="D331" s="74">
        <f>IF(REGISTRO!B331="","",REGISTRO!D331)</f>
        <v/>
      </c>
      <c r="E331" s="74">
        <f>IF(REGISTRO!B331="","",REGISTRO!E331)</f>
        <v/>
      </c>
      <c r="F331" s="74">
        <f>IF(REGISTRO!B331="","",REGISTRO!F331)</f>
        <v/>
      </c>
      <c r="G331" s="74">
        <f>IF(REGISTRO!B331="","",REGISTRO!G331)</f>
        <v/>
      </c>
      <c r="H331" s="74">
        <f>IF(REGISTRO!B331="","",REGISTRO!I331)</f>
        <v/>
      </c>
      <c r="I331" s="74">
        <f>IF(REGISTRO!B331="","",REGISTRO!J331)</f>
        <v/>
      </c>
      <c r="J331" s="74">
        <f>IF(REGISTRO!B331="","",REGISTRO!K331)</f>
        <v/>
      </c>
      <c r="K331" s="74">
        <f>IF(REGISTRO!B331="","",REGISTRO!N331)</f>
        <v/>
      </c>
      <c r="L331" s="75">
        <f>IF(REGISTRO!B331="","",REGISTRO!R331)</f>
        <v/>
      </c>
      <c r="M331" s="74">
        <f>IF(REGISTRO!B331="","",REGISTRO!S331)</f>
        <v/>
      </c>
    </row>
    <row r="332">
      <c r="A332" s="74">
        <f>IF(REGISTRO!B332="","",REGISTRO!A332)</f>
        <v/>
      </c>
      <c r="B332" s="74">
        <f>IF(REGISTRO!B332="","",REGISTRO!B332)</f>
        <v/>
      </c>
      <c r="C332" s="74">
        <f>IF(REGISTRO!B332="","",REGISTRO!C332)</f>
        <v/>
      </c>
      <c r="D332" s="74">
        <f>IF(REGISTRO!B332="","",REGISTRO!D332)</f>
        <v/>
      </c>
      <c r="E332" s="74">
        <f>IF(REGISTRO!B332="","",REGISTRO!E332)</f>
        <v/>
      </c>
      <c r="F332" s="74">
        <f>IF(REGISTRO!B332="","",REGISTRO!F332)</f>
        <v/>
      </c>
      <c r="G332" s="74">
        <f>IF(REGISTRO!B332="","",REGISTRO!G332)</f>
        <v/>
      </c>
      <c r="H332" s="74">
        <f>IF(REGISTRO!B332="","",REGISTRO!I332)</f>
        <v/>
      </c>
      <c r="I332" s="74">
        <f>IF(REGISTRO!B332="","",REGISTRO!J332)</f>
        <v/>
      </c>
      <c r="J332" s="74">
        <f>IF(REGISTRO!B332="","",REGISTRO!K332)</f>
        <v/>
      </c>
      <c r="K332" s="74">
        <f>IF(REGISTRO!B332="","",REGISTRO!N332)</f>
        <v/>
      </c>
      <c r="L332" s="75">
        <f>IF(REGISTRO!B332="","",REGISTRO!R332)</f>
        <v/>
      </c>
      <c r="M332" s="74">
        <f>IF(REGISTRO!B332="","",REGISTRO!S332)</f>
        <v/>
      </c>
    </row>
    <row r="333">
      <c r="A333" s="74">
        <f>IF(REGISTRO!B333="","",REGISTRO!A333)</f>
        <v/>
      </c>
      <c r="B333" s="74">
        <f>IF(REGISTRO!B333="","",REGISTRO!B333)</f>
        <v/>
      </c>
      <c r="C333" s="74">
        <f>IF(REGISTRO!B333="","",REGISTRO!C333)</f>
        <v/>
      </c>
      <c r="D333" s="74">
        <f>IF(REGISTRO!B333="","",REGISTRO!D333)</f>
        <v/>
      </c>
      <c r="E333" s="74">
        <f>IF(REGISTRO!B333="","",REGISTRO!E333)</f>
        <v/>
      </c>
      <c r="F333" s="74">
        <f>IF(REGISTRO!B333="","",REGISTRO!F333)</f>
        <v/>
      </c>
      <c r="G333" s="74">
        <f>IF(REGISTRO!B333="","",REGISTRO!G333)</f>
        <v/>
      </c>
      <c r="H333" s="74">
        <f>IF(REGISTRO!B333="","",REGISTRO!I333)</f>
        <v/>
      </c>
      <c r="I333" s="74">
        <f>IF(REGISTRO!B333="","",REGISTRO!J333)</f>
        <v/>
      </c>
      <c r="J333" s="74">
        <f>IF(REGISTRO!B333="","",REGISTRO!K333)</f>
        <v/>
      </c>
      <c r="K333" s="74">
        <f>IF(REGISTRO!B333="","",REGISTRO!N333)</f>
        <v/>
      </c>
      <c r="L333" s="75">
        <f>IF(REGISTRO!B333="","",REGISTRO!R333)</f>
        <v/>
      </c>
      <c r="M333" s="74">
        <f>IF(REGISTRO!B333="","",REGISTRO!S333)</f>
        <v/>
      </c>
    </row>
    <row r="334">
      <c r="A334" s="74">
        <f>IF(REGISTRO!B334="","",REGISTRO!A334)</f>
        <v/>
      </c>
      <c r="B334" s="74">
        <f>IF(REGISTRO!B334="","",REGISTRO!B334)</f>
        <v/>
      </c>
      <c r="C334" s="74">
        <f>IF(REGISTRO!B334="","",REGISTRO!C334)</f>
        <v/>
      </c>
      <c r="D334" s="74">
        <f>IF(REGISTRO!B334="","",REGISTRO!D334)</f>
        <v/>
      </c>
      <c r="E334" s="74">
        <f>IF(REGISTRO!B334="","",REGISTRO!E334)</f>
        <v/>
      </c>
      <c r="F334" s="74">
        <f>IF(REGISTRO!B334="","",REGISTRO!F334)</f>
        <v/>
      </c>
      <c r="G334" s="74">
        <f>IF(REGISTRO!B334="","",REGISTRO!G334)</f>
        <v/>
      </c>
      <c r="H334" s="74">
        <f>IF(REGISTRO!B334="","",REGISTRO!I334)</f>
        <v/>
      </c>
      <c r="I334" s="74">
        <f>IF(REGISTRO!B334="","",REGISTRO!J334)</f>
        <v/>
      </c>
      <c r="J334" s="74">
        <f>IF(REGISTRO!B334="","",REGISTRO!K334)</f>
        <v/>
      </c>
      <c r="K334" s="74">
        <f>IF(REGISTRO!B334="","",REGISTRO!N334)</f>
        <v/>
      </c>
      <c r="L334" s="75">
        <f>IF(REGISTRO!B334="","",REGISTRO!R334)</f>
        <v/>
      </c>
      <c r="M334" s="74">
        <f>IF(REGISTRO!B334="","",REGISTRO!S334)</f>
        <v/>
      </c>
    </row>
    <row r="335">
      <c r="A335" s="74">
        <f>IF(REGISTRO!B335="","",REGISTRO!A335)</f>
        <v/>
      </c>
      <c r="B335" s="74">
        <f>IF(REGISTRO!B335="","",REGISTRO!B335)</f>
        <v/>
      </c>
      <c r="C335" s="74">
        <f>IF(REGISTRO!B335="","",REGISTRO!C335)</f>
        <v/>
      </c>
      <c r="D335" s="74">
        <f>IF(REGISTRO!B335="","",REGISTRO!D335)</f>
        <v/>
      </c>
      <c r="E335" s="74">
        <f>IF(REGISTRO!B335="","",REGISTRO!E335)</f>
        <v/>
      </c>
      <c r="F335" s="74">
        <f>IF(REGISTRO!B335="","",REGISTRO!F335)</f>
        <v/>
      </c>
      <c r="G335" s="74">
        <f>IF(REGISTRO!B335="","",REGISTRO!G335)</f>
        <v/>
      </c>
      <c r="H335" s="74">
        <f>IF(REGISTRO!B335="","",REGISTRO!I335)</f>
        <v/>
      </c>
      <c r="I335" s="74">
        <f>IF(REGISTRO!B335="","",REGISTRO!J335)</f>
        <v/>
      </c>
      <c r="J335" s="74">
        <f>IF(REGISTRO!B335="","",REGISTRO!K335)</f>
        <v/>
      </c>
      <c r="K335" s="74">
        <f>IF(REGISTRO!B335="","",REGISTRO!N335)</f>
        <v/>
      </c>
      <c r="L335" s="75">
        <f>IF(REGISTRO!B335="","",REGISTRO!R335)</f>
        <v/>
      </c>
      <c r="M335" s="74">
        <f>IF(REGISTRO!B335="","",REGISTRO!S335)</f>
        <v/>
      </c>
    </row>
    <row r="336">
      <c r="A336" s="74">
        <f>IF(REGISTRO!B336="","",REGISTRO!A336)</f>
        <v/>
      </c>
      <c r="B336" s="74">
        <f>IF(REGISTRO!B336="","",REGISTRO!B336)</f>
        <v/>
      </c>
      <c r="C336" s="74">
        <f>IF(REGISTRO!B336="","",REGISTRO!C336)</f>
        <v/>
      </c>
      <c r="D336" s="74">
        <f>IF(REGISTRO!B336="","",REGISTRO!D336)</f>
        <v/>
      </c>
      <c r="E336" s="74">
        <f>IF(REGISTRO!B336="","",REGISTRO!E336)</f>
        <v/>
      </c>
      <c r="F336" s="74">
        <f>IF(REGISTRO!B336="","",REGISTRO!F336)</f>
        <v/>
      </c>
      <c r="G336" s="74">
        <f>IF(REGISTRO!B336="","",REGISTRO!G336)</f>
        <v/>
      </c>
      <c r="H336" s="74">
        <f>IF(REGISTRO!B336="","",REGISTRO!I336)</f>
        <v/>
      </c>
      <c r="I336" s="74">
        <f>IF(REGISTRO!B336="","",REGISTRO!J336)</f>
        <v/>
      </c>
      <c r="J336" s="74">
        <f>IF(REGISTRO!B336="","",REGISTRO!K336)</f>
        <v/>
      </c>
      <c r="K336" s="74">
        <f>IF(REGISTRO!B336="","",REGISTRO!N336)</f>
        <v/>
      </c>
      <c r="L336" s="75">
        <f>IF(REGISTRO!B336="","",REGISTRO!R336)</f>
        <v/>
      </c>
      <c r="M336" s="74">
        <f>IF(REGISTRO!B336="","",REGISTRO!S336)</f>
        <v/>
      </c>
    </row>
    <row r="337">
      <c r="A337" s="74">
        <f>IF(REGISTRO!B337="","",REGISTRO!A337)</f>
        <v/>
      </c>
      <c r="B337" s="74">
        <f>IF(REGISTRO!B337="","",REGISTRO!B337)</f>
        <v/>
      </c>
      <c r="C337" s="74">
        <f>IF(REGISTRO!B337="","",REGISTRO!C337)</f>
        <v/>
      </c>
      <c r="D337" s="74">
        <f>IF(REGISTRO!B337="","",REGISTRO!D337)</f>
        <v/>
      </c>
      <c r="E337" s="74">
        <f>IF(REGISTRO!B337="","",REGISTRO!E337)</f>
        <v/>
      </c>
      <c r="F337" s="74">
        <f>IF(REGISTRO!B337="","",REGISTRO!F337)</f>
        <v/>
      </c>
      <c r="G337" s="74">
        <f>IF(REGISTRO!B337="","",REGISTRO!G337)</f>
        <v/>
      </c>
      <c r="H337" s="74">
        <f>IF(REGISTRO!B337="","",REGISTRO!I337)</f>
        <v/>
      </c>
      <c r="I337" s="74">
        <f>IF(REGISTRO!B337="","",REGISTRO!J337)</f>
        <v/>
      </c>
      <c r="J337" s="74">
        <f>IF(REGISTRO!B337="","",REGISTRO!K337)</f>
        <v/>
      </c>
      <c r="K337" s="74">
        <f>IF(REGISTRO!B337="","",REGISTRO!N337)</f>
        <v/>
      </c>
      <c r="L337" s="75">
        <f>IF(REGISTRO!B337="","",REGISTRO!R337)</f>
        <v/>
      </c>
      <c r="M337" s="74">
        <f>IF(REGISTRO!B337="","",REGISTRO!S337)</f>
        <v/>
      </c>
    </row>
    <row r="338">
      <c r="A338" s="74">
        <f>IF(REGISTRO!B338="","",REGISTRO!A338)</f>
        <v/>
      </c>
      <c r="B338" s="74">
        <f>IF(REGISTRO!B338="","",REGISTRO!B338)</f>
        <v/>
      </c>
      <c r="C338" s="74">
        <f>IF(REGISTRO!B338="","",REGISTRO!C338)</f>
        <v/>
      </c>
      <c r="D338" s="74">
        <f>IF(REGISTRO!B338="","",REGISTRO!D338)</f>
        <v/>
      </c>
      <c r="E338" s="74">
        <f>IF(REGISTRO!B338="","",REGISTRO!E338)</f>
        <v/>
      </c>
      <c r="F338" s="74">
        <f>IF(REGISTRO!B338="","",REGISTRO!F338)</f>
        <v/>
      </c>
      <c r="G338" s="74">
        <f>IF(REGISTRO!B338="","",REGISTRO!G338)</f>
        <v/>
      </c>
      <c r="H338" s="74">
        <f>IF(REGISTRO!B338="","",REGISTRO!I338)</f>
        <v/>
      </c>
      <c r="I338" s="74">
        <f>IF(REGISTRO!B338="","",REGISTRO!J338)</f>
        <v/>
      </c>
      <c r="J338" s="74">
        <f>IF(REGISTRO!B338="","",REGISTRO!K338)</f>
        <v/>
      </c>
      <c r="K338" s="74">
        <f>IF(REGISTRO!B338="","",REGISTRO!N338)</f>
        <v/>
      </c>
      <c r="L338" s="75">
        <f>IF(REGISTRO!B338="","",REGISTRO!R338)</f>
        <v/>
      </c>
      <c r="M338" s="74">
        <f>IF(REGISTRO!B338="","",REGISTRO!S338)</f>
        <v/>
      </c>
    </row>
    <row r="339">
      <c r="A339" s="74">
        <f>IF(REGISTRO!B339="","",REGISTRO!A339)</f>
        <v/>
      </c>
      <c r="B339" s="74">
        <f>IF(REGISTRO!B339="","",REGISTRO!B339)</f>
        <v/>
      </c>
      <c r="C339" s="74">
        <f>IF(REGISTRO!B339="","",REGISTRO!C339)</f>
        <v/>
      </c>
      <c r="D339" s="74">
        <f>IF(REGISTRO!B339="","",REGISTRO!D339)</f>
        <v/>
      </c>
      <c r="E339" s="74">
        <f>IF(REGISTRO!B339="","",REGISTRO!E339)</f>
        <v/>
      </c>
      <c r="F339" s="74">
        <f>IF(REGISTRO!B339="","",REGISTRO!F339)</f>
        <v/>
      </c>
      <c r="G339" s="74">
        <f>IF(REGISTRO!B339="","",REGISTRO!G339)</f>
        <v/>
      </c>
      <c r="H339" s="74">
        <f>IF(REGISTRO!B339="","",REGISTRO!I339)</f>
        <v/>
      </c>
      <c r="I339" s="74">
        <f>IF(REGISTRO!B339="","",REGISTRO!J339)</f>
        <v/>
      </c>
      <c r="J339" s="74">
        <f>IF(REGISTRO!B339="","",REGISTRO!K339)</f>
        <v/>
      </c>
      <c r="K339" s="74">
        <f>IF(REGISTRO!B339="","",REGISTRO!N339)</f>
        <v/>
      </c>
      <c r="L339" s="75">
        <f>IF(REGISTRO!B339="","",REGISTRO!R339)</f>
        <v/>
      </c>
      <c r="M339" s="74">
        <f>IF(REGISTRO!B339="","",REGISTRO!S339)</f>
        <v/>
      </c>
    </row>
    <row r="340">
      <c r="A340" s="74">
        <f>IF(REGISTRO!B340="","",REGISTRO!A340)</f>
        <v/>
      </c>
      <c r="B340" s="74">
        <f>IF(REGISTRO!B340="","",REGISTRO!B340)</f>
        <v/>
      </c>
      <c r="C340" s="74">
        <f>IF(REGISTRO!B340="","",REGISTRO!C340)</f>
        <v/>
      </c>
      <c r="D340" s="74">
        <f>IF(REGISTRO!B340="","",REGISTRO!D340)</f>
        <v/>
      </c>
      <c r="E340" s="74">
        <f>IF(REGISTRO!B340="","",REGISTRO!E340)</f>
        <v/>
      </c>
      <c r="F340" s="74">
        <f>IF(REGISTRO!B340="","",REGISTRO!F340)</f>
        <v/>
      </c>
      <c r="G340" s="74">
        <f>IF(REGISTRO!B340="","",REGISTRO!G340)</f>
        <v/>
      </c>
      <c r="H340" s="74">
        <f>IF(REGISTRO!B340="","",REGISTRO!I340)</f>
        <v/>
      </c>
      <c r="I340" s="74">
        <f>IF(REGISTRO!B340="","",REGISTRO!J340)</f>
        <v/>
      </c>
      <c r="J340" s="74">
        <f>IF(REGISTRO!B340="","",REGISTRO!K340)</f>
        <v/>
      </c>
      <c r="K340" s="74">
        <f>IF(REGISTRO!B340="","",REGISTRO!N340)</f>
        <v/>
      </c>
      <c r="L340" s="75">
        <f>IF(REGISTRO!B340="","",REGISTRO!R340)</f>
        <v/>
      </c>
      <c r="M340" s="74">
        <f>IF(REGISTRO!B340="","",REGISTRO!S340)</f>
        <v/>
      </c>
    </row>
    <row r="341">
      <c r="A341" s="74">
        <f>IF(REGISTRO!B341="","",REGISTRO!A341)</f>
        <v/>
      </c>
      <c r="B341" s="74">
        <f>IF(REGISTRO!B341="","",REGISTRO!B341)</f>
        <v/>
      </c>
      <c r="C341" s="74">
        <f>IF(REGISTRO!B341="","",REGISTRO!C341)</f>
        <v/>
      </c>
      <c r="D341" s="74">
        <f>IF(REGISTRO!B341="","",REGISTRO!D341)</f>
        <v/>
      </c>
      <c r="E341" s="74">
        <f>IF(REGISTRO!B341="","",REGISTRO!E341)</f>
        <v/>
      </c>
      <c r="F341" s="74">
        <f>IF(REGISTRO!B341="","",REGISTRO!F341)</f>
        <v/>
      </c>
      <c r="G341" s="74">
        <f>IF(REGISTRO!B341="","",REGISTRO!G341)</f>
        <v/>
      </c>
      <c r="H341" s="74">
        <f>IF(REGISTRO!B341="","",REGISTRO!I341)</f>
        <v/>
      </c>
      <c r="I341" s="74">
        <f>IF(REGISTRO!B341="","",REGISTRO!J341)</f>
        <v/>
      </c>
      <c r="J341" s="74">
        <f>IF(REGISTRO!B341="","",REGISTRO!K341)</f>
        <v/>
      </c>
      <c r="K341" s="74">
        <f>IF(REGISTRO!B341="","",REGISTRO!N341)</f>
        <v/>
      </c>
      <c r="L341" s="75">
        <f>IF(REGISTRO!B341="","",REGISTRO!R341)</f>
        <v/>
      </c>
      <c r="M341" s="74">
        <f>IF(REGISTRO!B341="","",REGISTRO!S341)</f>
        <v/>
      </c>
    </row>
    <row r="342">
      <c r="A342" s="74">
        <f>IF(REGISTRO!B342="","",REGISTRO!A342)</f>
        <v/>
      </c>
      <c r="B342" s="74">
        <f>IF(REGISTRO!B342="","",REGISTRO!B342)</f>
        <v/>
      </c>
      <c r="C342" s="74">
        <f>IF(REGISTRO!B342="","",REGISTRO!C342)</f>
        <v/>
      </c>
      <c r="D342" s="74">
        <f>IF(REGISTRO!B342="","",REGISTRO!D342)</f>
        <v/>
      </c>
      <c r="E342" s="74">
        <f>IF(REGISTRO!B342="","",REGISTRO!E342)</f>
        <v/>
      </c>
      <c r="F342" s="74">
        <f>IF(REGISTRO!B342="","",REGISTRO!F342)</f>
        <v/>
      </c>
      <c r="G342" s="74">
        <f>IF(REGISTRO!B342="","",REGISTRO!G342)</f>
        <v/>
      </c>
      <c r="H342" s="74">
        <f>IF(REGISTRO!B342="","",REGISTRO!I342)</f>
        <v/>
      </c>
      <c r="I342" s="74">
        <f>IF(REGISTRO!B342="","",REGISTRO!J342)</f>
        <v/>
      </c>
      <c r="J342" s="74">
        <f>IF(REGISTRO!B342="","",REGISTRO!K342)</f>
        <v/>
      </c>
      <c r="K342" s="74">
        <f>IF(REGISTRO!B342="","",REGISTRO!N342)</f>
        <v/>
      </c>
      <c r="L342" s="75">
        <f>IF(REGISTRO!B342="","",REGISTRO!R342)</f>
        <v/>
      </c>
      <c r="M342" s="74">
        <f>IF(REGISTRO!B342="","",REGISTRO!S342)</f>
        <v/>
      </c>
    </row>
    <row r="343">
      <c r="A343" s="74">
        <f>IF(REGISTRO!B343="","",REGISTRO!A343)</f>
        <v/>
      </c>
      <c r="B343" s="74">
        <f>IF(REGISTRO!B343="","",REGISTRO!B343)</f>
        <v/>
      </c>
      <c r="C343" s="74">
        <f>IF(REGISTRO!B343="","",REGISTRO!C343)</f>
        <v/>
      </c>
      <c r="D343" s="74">
        <f>IF(REGISTRO!B343="","",REGISTRO!D343)</f>
        <v/>
      </c>
      <c r="E343" s="74">
        <f>IF(REGISTRO!B343="","",REGISTRO!E343)</f>
        <v/>
      </c>
      <c r="F343" s="74">
        <f>IF(REGISTRO!B343="","",REGISTRO!F343)</f>
        <v/>
      </c>
      <c r="G343" s="74">
        <f>IF(REGISTRO!B343="","",REGISTRO!G343)</f>
        <v/>
      </c>
      <c r="H343" s="74">
        <f>IF(REGISTRO!B343="","",REGISTRO!I343)</f>
        <v/>
      </c>
      <c r="I343" s="74">
        <f>IF(REGISTRO!B343="","",REGISTRO!J343)</f>
        <v/>
      </c>
      <c r="J343" s="74">
        <f>IF(REGISTRO!B343="","",REGISTRO!K343)</f>
        <v/>
      </c>
      <c r="K343" s="74">
        <f>IF(REGISTRO!B343="","",REGISTRO!N343)</f>
        <v/>
      </c>
      <c r="L343" s="75">
        <f>IF(REGISTRO!B343="","",REGISTRO!R343)</f>
        <v/>
      </c>
      <c r="M343" s="74">
        <f>IF(REGISTRO!B343="","",REGISTRO!S343)</f>
        <v/>
      </c>
    </row>
    <row r="344">
      <c r="A344" s="74">
        <f>IF(REGISTRO!B344="","",REGISTRO!A344)</f>
        <v/>
      </c>
      <c r="B344" s="74">
        <f>IF(REGISTRO!B344="","",REGISTRO!B344)</f>
        <v/>
      </c>
      <c r="C344" s="74">
        <f>IF(REGISTRO!B344="","",REGISTRO!C344)</f>
        <v/>
      </c>
      <c r="D344" s="74">
        <f>IF(REGISTRO!B344="","",REGISTRO!D344)</f>
        <v/>
      </c>
      <c r="E344" s="74">
        <f>IF(REGISTRO!B344="","",REGISTRO!E344)</f>
        <v/>
      </c>
      <c r="F344" s="74">
        <f>IF(REGISTRO!B344="","",REGISTRO!F344)</f>
        <v/>
      </c>
      <c r="G344" s="74">
        <f>IF(REGISTRO!B344="","",REGISTRO!G344)</f>
        <v/>
      </c>
      <c r="H344" s="74">
        <f>IF(REGISTRO!B344="","",REGISTRO!I344)</f>
        <v/>
      </c>
      <c r="I344" s="74">
        <f>IF(REGISTRO!B344="","",REGISTRO!J344)</f>
        <v/>
      </c>
      <c r="J344" s="74">
        <f>IF(REGISTRO!B344="","",REGISTRO!K344)</f>
        <v/>
      </c>
      <c r="K344" s="74">
        <f>IF(REGISTRO!B344="","",REGISTRO!N344)</f>
        <v/>
      </c>
      <c r="L344" s="75">
        <f>IF(REGISTRO!B344="","",REGISTRO!R344)</f>
        <v/>
      </c>
      <c r="M344" s="74">
        <f>IF(REGISTRO!B344="","",REGISTRO!S344)</f>
        <v/>
      </c>
    </row>
    <row r="345">
      <c r="A345" s="74">
        <f>IF(REGISTRO!B345="","",REGISTRO!A345)</f>
        <v/>
      </c>
      <c r="B345" s="74">
        <f>IF(REGISTRO!B345="","",REGISTRO!B345)</f>
        <v/>
      </c>
      <c r="C345" s="74">
        <f>IF(REGISTRO!B345="","",REGISTRO!C345)</f>
        <v/>
      </c>
      <c r="D345" s="74">
        <f>IF(REGISTRO!B345="","",REGISTRO!D345)</f>
        <v/>
      </c>
      <c r="E345" s="74">
        <f>IF(REGISTRO!B345="","",REGISTRO!E345)</f>
        <v/>
      </c>
      <c r="F345" s="74">
        <f>IF(REGISTRO!B345="","",REGISTRO!F345)</f>
        <v/>
      </c>
      <c r="G345" s="74">
        <f>IF(REGISTRO!B345="","",REGISTRO!G345)</f>
        <v/>
      </c>
      <c r="H345" s="74">
        <f>IF(REGISTRO!B345="","",REGISTRO!I345)</f>
        <v/>
      </c>
      <c r="I345" s="74">
        <f>IF(REGISTRO!B345="","",REGISTRO!J345)</f>
        <v/>
      </c>
      <c r="J345" s="74">
        <f>IF(REGISTRO!B345="","",REGISTRO!K345)</f>
        <v/>
      </c>
      <c r="K345" s="74">
        <f>IF(REGISTRO!B345="","",REGISTRO!N345)</f>
        <v/>
      </c>
      <c r="L345" s="75">
        <f>IF(REGISTRO!B345="","",REGISTRO!R345)</f>
        <v/>
      </c>
      <c r="M345" s="74">
        <f>IF(REGISTRO!B345="","",REGISTRO!S345)</f>
        <v/>
      </c>
    </row>
    <row r="346">
      <c r="A346" s="74">
        <f>IF(REGISTRO!B346="","",REGISTRO!A346)</f>
        <v/>
      </c>
      <c r="B346" s="74">
        <f>IF(REGISTRO!B346="","",REGISTRO!B346)</f>
        <v/>
      </c>
      <c r="C346" s="74">
        <f>IF(REGISTRO!B346="","",REGISTRO!C346)</f>
        <v/>
      </c>
      <c r="D346" s="74">
        <f>IF(REGISTRO!B346="","",REGISTRO!D346)</f>
        <v/>
      </c>
      <c r="E346" s="74">
        <f>IF(REGISTRO!B346="","",REGISTRO!E346)</f>
        <v/>
      </c>
      <c r="F346" s="74">
        <f>IF(REGISTRO!B346="","",REGISTRO!F346)</f>
        <v/>
      </c>
      <c r="G346" s="74">
        <f>IF(REGISTRO!B346="","",REGISTRO!G346)</f>
        <v/>
      </c>
      <c r="H346" s="74">
        <f>IF(REGISTRO!B346="","",REGISTRO!I346)</f>
        <v/>
      </c>
      <c r="I346" s="74">
        <f>IF(REGISTRO!B346="","",REGISTRO!J346)</f>
        <v/>
      </c>
      <c r="J346" s="74">
        <f>IF(REGISTRO!B346="","",REGISTRO!K346)</f>
        <v/>
      </c>
      <c r="K346" s="74">
        <f>IF(REGISTRO!B346="","",REGISTRO!N346)</f>
        <v/>
      </c>
      <c r="L346" s="75">
        <f>IF(REGISTRO!B346="","",REGISTRO!R346)</f>
        <v/>
      </c>
      <c r="M346" s="74">
        <f>IF(REGISTRO!B346="","",REGISTRO!S346)</f>
        <v/>
      </c>
    </row>
    <row r="347">
      <c r="A347" s="74">
        <f>IF(REGISTRO!B347="","",REGISTRO!A347)</f>
        <v/>
      </c>
      <c r="B347" s="74">
        <f>IF(REGISTRO!B347="","",REGISTRO!B347)</f>
        <v/>
      </c>
      <c r="C347" s="74">
        <f>IF(REGISTRO!B347="","",REGISTRO!C347)</f>
        <v/>
      </c>
      <c r="D347" s="74">
        <f>IF(REGISTRO!B347="","",REGISTRO!D347)</f>
        <v/>
      </c>
      <c r="E347" s="74">
        <f>IF(REGISTRO!B347="","",REGISTRO!E347)</f>
        <v/>
      </c>
      <c r="F347" s="74">
        <f>IF(REGISTRO!B347="","",REGISTRO!F347)</f>
        <v/>
      </c>
      <c r="G347" s="74">
        <f>IF(REGISTRO!B347="","",REGISTRO!G347)</f>
        <v/>
      </c>
      <c r="H347" s="74">
        <f>IF(REGISTRO!B347="","",REGISTRO!I347)</f>
        <v/>
      </c>
      <c r="I347" s="74">
        <f>IF(REGISTRO!B347="","",REGISTRO!J347)</f>
        <v/>
      </c>
      <c r="J347" s="74">
        <f>IF(REGISTRO!B347="","",REGISTRO!K347)</f>
        <v/>
      </c>
      <c r="K347" s="74">
        <f>IF(REGISTRO!B347="","",REGISTRO!N347)</f>
        <v/>
      </c>
      <c r="L347" s="75">
        <f>IF(REGISTRO!B347="","",REGISTRO!R347)</f>
        <v/>
      </c>
      <c r="M347" s="74">
        <f>IF(REGISTRO!B347="","",REGISTRO!S347)</f>
        <v/>
      </c>
    </row>
    <row r="348">
      <c r="A348" s="74">
        <f>IF(REGISTRO!B348="","",REGISTRO!A348)</f>
        <v/>
      </c>
      <c r="B348" s="74">
        <f>IF(REGISTRO!B348="","",REGISTRO!B348)</f>
        <v/>
      </c>
      <c r="C348" s="74">
        <f>IF(REGISTRO!B348="","",REGISTRO!C348)</f>
        <v/>
      </c>
      <c r="D348" s="74">
        <f>IF(REGISTRO!B348="","",REGISTRO!D348)</f>
        <v/>
      </c>
      <c r="E348" s="74">
        <f>IF(REGISTRO!B348="","",REGISTRO!E348)</f>
        <v/>
      </c>
      <c r="F348" s="74">
        <f>IF(REGISTRO!B348="","",REGISTRO!F348)</f>
        <v/>
      </c>
      <c r="G348" s="74">
        <f>IF(REGISTRO!B348="","",REGISTRO!G348)</f>
        <v/>
      </c>
      <c r="H348" s="74">
        <f>IF(REGISTRO!B348="","",REGISTRO!I348)</f>
        <v/>
      </c>
      <c r="I348" s="74">
        <f>IF(REGISTRO!B348="","",REGISTRO!J348)</f>
        <v/>
      </c>
      <c r="J348" s="74">
        <f>IF(REGISTRO!B348="","",REGISTRO!K348)</f>
        <v/>
      </c>
      <c r="K348" s="74">
        <f>IF(REGISTRO!B348="","",REGISTRO!N348)</f>
        <v/>
      </c>
      <c r="L348" s="75">
        <f>IF(REGISTRO!B348="","",REGISTRO!R348)</f>
        <v/>
      </c>
      <c r="M348" s="74">
        <f>IF(REGISTRO!B348="","",REGISTRO!S348)</f>
        <v/>
      </c>
    </row>
    <row r="349">
      <c r="A349" s="74">
        <f>IF(REGISTRO!B349="","",REGISTRO!A349)</f>
        <v/>
      </c>
      <c r="B349" s="74">
        <f>IF(REGISTRO!B349="","",REGISTRO!B349)</f>
        <v/>
      </c>
      <c r="C349" s="74">
        <f>IF(REGISTRO!B349="","",REGISTRO!C349)</f>
        <v/>
      </c>
      <c r="D349" s="74">
        <f>IF(REGISTRO!B349="","",REGISTRO!D349)</f>
        <v/>
      </c>
      <c r="E349" s="74">
        <f>IF(REGISTRO!B349="","",REGISTRO!E349)</f>
        <v/>
      </c>
      <c r="F349" s="74">
        <f>IF(REGISTRO!B349="","",REGISTRO!F349)</f>
        <v/>
      </c>
      <c r="G349" s="74">
        <f>IF(REGISTRO!B349="","",REGISTRO!G349)</f>
        <v/>
      </c>
      <c r="H349" s="74">
        <f>IF(REGISTRO!B349="","",REGISTRO!I349)</f>
        <v/>
      </c>
      <c r="I349" s="74">
        <f>IF(REGISTRO!B349="","",REGISTRO!J349)</f>
        <v/>
      </c>
      <c r="J349" s="74">
        <f>IF(REGISTRO!B349="","",REGISTRO!K349)</f>
        <v/>
      </c>
      <c r="K349" s="74">
        <f>IF(REGISTRO!B349="","",REGISTRO!N349)</f>
        <v/>
      </c>
      <c r="L349" s="75">
        <f>IF(REGISTRO!B349="","",REGISTRO!R349)</f>
        <v/>
      </c>
      <c r="M349" s="74">
        <f>IF(REGISTRO!B349="","",REGISTRO!S349)</f>
        <v/>
      </c>
    </row>
    <row r="350">
      <c r="A350" s="74">
        <f>IF(REGISTRO!B350="","",REGISTRO!A350)</f>
        <v/>
      </c>
      <c r="B350" s="74">
        <f>IF(REGISTRO!B350="","",REGISTRO!B350)</f>
        <v/>
      </c>
      <c r="C350" s="74">
        <f>IF(REGISTRO!B350="","",REGISTRO!C350)</f>
        <v/>
      </c>
      <c r="D350" s="74">
        <f>IF(REGISTRO!B350="","",REGISTRO!D350)</f>
        <v/>
      </c>
      <c r="E350" s="74">
        <f>IF(REGISTRO!B350="","",REGISTRO!E350)</f>
        <v/>
      </c>
      <c r="F350" s="74">
        <f>IF(REGISTRO!B350="","",REGISTRO!F350)</f>
        <v/>
      </c>
      <c r="G350" s="74">
        <f>IF(REGISTRO!B350="","",REGISTRO!G350)</f>
        <v/>
      </c>
      <c r="H350" s="74">
        <f>IF(REGISTRO!B350="","",REGISTRO!I350)</f>
        <v/>
      </c>
      <c r="I350" s="74">
        <f>IF(REGISTRO!B350="","",REGISTRO!J350)</f>
        <v/>
      </c>
      <c r="J350" s="74">
        <f>IF(REGISTRO!B350="","",REGISTRO!K350)</f>
        <v/>
      </c>
      <c r="K350" s="74">
        <f>IF(REGISTRO!B350="","",REGISTRO!N350)</f>
        <v/>
      </c>
      <c r="L350" s="75">
        <f>IF(REGISTRO!B350="","",REGISTRO!R350)</f>
        <v/>
      </c>
      <c r="M350" s="74">
        <f>IF(REGISTRO!B350="","",REGISTRO!S350)</f>
        <v/>
      </c>
    </row>
    <row r="351">
      <c r="A351" s="74">
        <f>IF(REGISTRO!B351="","",REGISTRO!A351)</f>
        <v/>
      </c>
      <c r="B351" s="74">
        <f>IF(REGISTRO!B351="","",REGISTRO!B351)</f>
        <v/>
      </c>
      <c r="C351" s="74">
        <f>IF(REGISTRO!B351="","",REGISTRO!C351)</f>
        <v/>
      </c>
      <c r="D351" s="74">
        <f>IF(REGISTRO!B351="","",REGISTRO!D351)</f>
        <v/>
      </c>
      <c r="E351" s="74">
        <f>IF(REGISTRO!B351="","",REGISTRO!E351)</f>
        <v/>
      </c>
      <c r="F351" s="74">
        <f>IF(REGISTRO!B351="","",REGISTRO!F351)</f>
        <v/>
      </c>
      <c r="G351" s="74">
        <f>IF(REGISTRO!B351="","",REGISTRO!G351)</f>
        <v/>
      </c>
      <c r="H351" s="74">
        <f>IF(REGISTRO!B351="","",REGISTRO!I351)</f>
        <v/>
      </c>
      <c r="I351" s="74">
        <f>IF(REGISTRO!B351="","",REGISTRO!J351)</f>
        <v/>
      </c>
      <c r="J351" s="74">
        <f>IF(REGISTRO!B351="","",REGISTRO!K351)</f>
        <v/>
      </c>
      <c r="K351" s="74">
        <f>IF(REGISTRO!B351="","",REGISTRO!N351)</f>
        <v/>
      </c>
      <c r="L351" s="75">
        <f>IF(REGISTRO!B351="","",REGISTRO!R351)</f>
        <v/>
      </c>
      <c r="M351" s="74">
        <f>IF(REGISTRO!B351="","",REGISTRO!S351)</f>
        <v/>
      </c>
    </row>
    <row r="352">
      <c r="A352" s="74">
        <f>IF(REGISTRO!B352="","",REGISTRO!A352)</f>
        <v/>
      </c>
      <c r="B352" s="74">
        <f>IF(REGISTRO!B352="","",REGISTRO!B352)</f>
        <v/>
      </c>
      <c r="C352" s="74">
        <f>IF(REGISTRO!B352="","",REGISTRO!C352)</f>
        <v/>
      </c>
      <c r="D352" s="74">
        <f>IF(REGISTRO!B352="","",REGISTRO!D352)</f>
        <v/>
      </c>
      <c r="E352" s="74">
        <f>IF(REGISTRO!B352="","",REGISTRO!E352)</f>
        <v/>
      </c>
      <c r="F352" s="74">
        <f>IF(REGISTRO!B352="","",REGISTRO!F352)</f>
        <v/>
      </c>
      <c r="G352" s="74">
        <f>IF(REGISTRO!B352="","",REGISTRO!G352)</f>
        <v/>
      </c>
      <c r="H352" s="74">
        <f>IF(REGISTRO!B352="","",REGISTRO!I352)</f>
        <v/>
      </c>
      <c r="I352" s="74">
        <f>IF(REGISTRO!B352="","",REGISTRO!J352)</f>
        <v/>
      </c>
      <c r="J352" s="74">
        <f>IF(REGISTRO!B352="","",REGISTRO!K352)</f>
        <v/>
      </c>
      <c r="K352" s="74">
        <f>IF(REGISTRO!B352="","",REGISTRO!N352)</f>
        <v/>
      </c>
      <c r="L352" s="75">
        <f>IF(REGISTRO!B352="","",REGISTRO!R352)</f>
        <v/>
      </c>
      <c r="M352" s="74">
        <f>IF(REGISTRO!B352="","",REGISTRO!S352)</f>
        <v/>
      </c>
    </row>
    <row r="353">
      <c r="A353" s="74">
        <f>IF(REGISTRO!B353="","",REGISTRO!A353)</f>
        <v/>
      </c>
      <c r="B353" s="74">
        <f>IF(REGISTRO!B353="","",REGISTRO!B353)</f>
        <v/>
      </c>
      <c r="C353" s="74">
        <f>IF(REGISTRO!B353="","",REGISTRO!C353)</f>
        <v/>
      </c>
      <c r="D353" s="74">
        <f>IF(REGISTRO!B353="","",REGISTRO!D353)</f>
        <v/>
      </c>
      <c r="E353" s="74">
        <f>IF(REGISTRO!B353="","",REGISTRO!E353)</f>
        <v/>
      </c>
      <c r="F353" s="74">
        <f>IF(REGISTRO!B353="","",REGISTRO!F353)</f>
        <v/>
      </c>
      <c r="G353" s="74">
        <f>IF(REGISTRO!B353="","",REGISTRO!G353)</f>
        <v/>
      </c>
      <c r="H353" s="74">
        <f>IF(REGISTRO!B353="","",REGISTRO!I353)</f>
        <v/>
      </c>
      <c r="I353" s="74">
        <f>IF(REGISTRO!B353="","",REGISTRO!J353)</f>
        <v/>
      </c>
      <c r="J353" s="74">
        <f>IF(REGISTRO!B353="","",REGISTRO!K353)</f>
        <v/>
      </c>
      <c r="K353" s="74">
        <f>IF(REGISTRO!B353="","",REGISTRO!N353)</f>
        <v/>
      </c>
      <c r="L353" s="75">
        <f>IF(REGISTRO!B353="","",REGISTRO!R353)</f>
        <v/>
      </c>
      <c r="M353" s="74">
        <f>IF(REGISTRO!B353="","",REGISTRO!S353)</f>
        <v/>
      </c>
    </row>
    <row r="354">
      <c r="A354" s="74">
        <f>IF(REGISTRO!B354="","",REGISTRO!A354)</f>
        <v/>
      </c>
      <c r="B354" s="74">
        <f>IF(REGISTRO!B354="","",REGISTRO!B354)</f>
        <v/>
      </c>
      <c r="C354" s="74">
        <f>IF(REGISTRO!B354="","",REGISTRO!C354)</f>
        <v/>
      </c>
      <c r="D354" s="74">
        <f>IF(REGISTRO!B354="","",REGISTRO!D354)</f>
        <v/>
      </c>
      <c r="E354" s="74">
        <f>IF(REGISTRO!B354="","",REGISTRO!E354)</f>
        <v/>
      </c>
      <c r="F354" s="74">
        <f>IF(REGISTRO!B354="","",REGISTRO!F354)</f>
        <v/>
      </c>
      <c r="G354" s="74">
        <f>IF(REGISTRO!B354="","",REGISTRO!G354)</f>
        <v/>
      </c>
      <c r="H354" s="74">
        <f>IF(REGISTRO!B354="","",REGISTRO!I354)</f>
        <v/>
      </c>
      <c r="I354" s="74">
        <f>IF(REGISTRO!B354="","",REGISTRO!J354)</f>
        <v/>
      </c>
      <c r="J354" s="74">
        <f>IF(REGISTRO!B354="","",REGISTRO!K354)</f>
        <v/>
      </c>
      <c r="K354" s="74">
        <f>IF(REGISTRO!B354="","",REGISTRO!N354)</f>
        <v/>
      </c>
      <c r="L354" s="75">
        <f>IF(REGISTRO!B354="","",REGISTRO!R354)</f>
        <v/>
      </c>
      <c r="M354" s="74">
        <f>IF(REGISTRO!B354="","",REGISTRO!S354)</f>
        <v/>
      </c>
    </row>
    <row r="355">
      <c r="A355" s="74">
        <f>IF(REGISTRO!B355="","",REGISTRO!A355)</f>
        <v/>
      </c>
      <c r="B355" s="74">
        <f>IF(REGISTRO!B355="","",REGISTRO!B355)</f>
        <v/>
      </c>
      <c r="C355" s="74">
        <f>IF(REGISTRO!B355="","",REGISTRO!C355)</f>
        <v/>
      </c>
      <c r="D355" s="74">
        <f>IF(REGISTRO!B355="","",REGISTRO!D355)</f>
        <v/>
      </c>
      <c r="E355" s="74">
        <f>IF(REGISTRO!B355="","",REGISTRO!E355)</f>
        <v/>
      </c>
      <c r="F355" s="74">
        <f>IF(REGISTRO!B355="","",REGISTRO!F355)</f>
        <v/>
      </c>
      <c r="G355" s="74">
        <f>IF(REGISTRO!B355="","",REGISTRO!G355)</f>
        <v/>
      </c>
      <c r="H355" s="74">
        <f>IF(REGISTRO!B355="","",REGISTRO!I355)</f>
        <v/>
      </c>
      <c r="I355" s="74">
        <f>IF(REGISTRO!B355="","",REGISTRO!J355)</f>
        <v/>
      </c>
      <c r="J355" s="74">
        <f>IF(REGISTRO!B355="","",REGISTRO!K355)</f>
        <v/>
      </c>
      <c r="K355" s="74">
        <f>IF(REGISTRO!B355="","",REGISTRO!N355)</f>
        <v/>
      </c>
      <c r="L355" s="75">
        <f>IF(REGISTRO!B355="","",REGISTRO!R355)</f>
        <v/>
      </c>
      <c r="M355" s="74">
        <f>IF(REGISTRO!B355="","",REGISTRO!S355)</f>
        <v/>
      </c>
    </row>
    <row r="356">
      <c r="A356" s="74">
        <f>IF(REGISTRO!B356="","",REGISTRO!A356)</f>
        <v/>
      </c>
      <c r="B356" s="74">
        <f>IF(REGISTRO!B356="","",REGISTRO!B356)</f>
        <v/>
      </c>
      <c r="C356" s="74">
        <f>IF(REGISTRO!B356="","",REGISTRO!C356)</f>
        <v/>
      </c>
      <c r="D356" s="74">
        <f>IF(REGISTRO!B356="","",REGISTRO!D356)</f>
        <v/>
      </c>
      <c r="E356" s="74">
        <f>IF(REGISTRO!B356="","",REGISTRO!E356)</f>
        <v/>
      </c>
      <c r="F356" s="74">
        <f>IF(REGISTRO!B356="","",REGISTRO!F356)</f>
        <v/>
      </c>
      <c r="G356" s="74">
        <f>IF(REGISTRO!B356="","",REGISTRO!G356)</f>
        <v/>
      </c>
      <c r="H356" s="74">
        <f>IF(REGISTRO!B356="","",REGISTRO!I356)</f>
        <v/>
      </c>
      <c r="I356" s="74">
        <f>IF(REGISTRO!B356="","",REGISTRO!J356)</f>
        <v/>
      </c>
      <c r="J356" s="74">
        <f>IF(REGISTRO!B356="","",REGISTRO!K356)</f>
        <v/>
      </c>
      <c r="K356" s="74">
        <f>IF(REGISTRO!B356="","",REGISTRO!N356)</f>
        <v/>
      </c>
      <c r="L356" s="75">
        <f>IF(REGISTRO!B356="","",REGISTRO!R356)</f>
        <v/>
      </c>
      <c r="M356" s="74">
        <f>IF(REGISTRO!B356="","",REGISTRO!S356)</f>
        <v/>
      </c>
    </row>
    <row r="357">
      <c r="A357" s="74">
        <f>IF(REGISTRO!B357="","",REGISTRO!A357)</f>
        <v/>
      </c>
      <c r="B357" s="74">
        <f>IF(REGISTRO!B357="","",REGISTRO!B357)</f>
        <v/>
      </c>
      <c r="C357" s="74">
        <f>IF(REGISTRO!B357="","",REGISTRO!C357)</f>
        <v/>
      </c>
      <c r="D357" s="74">
        <f>IF(REGISTRO!B357="","",REGISTRO!D357)</f>
        <v/>
      </c>
      <c r="E357" s="74">
        <f>IF(REGISTRO!B357="","",REGISTRO!E357)</f>
        <v/>
      </c>
      <c r="F357" s="74">
        <f>IF(REGISTRO!B357="","",REGISTRO!F357)</f>
        <v/>
      </c>
      <c r="G357" s="74">
        <f>IF(REGISTRO!B357="","",REGISTRO!G357)</f>
        <v/>
      </c>
      <c r="H357" s="74">
        <f>IF(REGISTRO!B357="","",REGISTRO!I357)</f>
        <v/>
      </c>
      <c r="I357" s="74">
        <f>IF(REGISTRO!B357="","",REGISTRO!J357)</f>
        <v/>
      </c>
      <c r="J357" s="74">
        <f>IF(REGISTRO!B357="","",REGISTRO!K357)</f>
        <v/>
      </c>
      <c r="K357" s="74">
        <f>IF(REGISTRO!B357="","",REGISTRO!N357)</f>
        <v/>
      </c>
      <c r="L357" s="75">
        <f>IF(REGISTRO!B357="","",REGISTRO!R357)</f>
        <v/>
      </c>
      <c r="M357" s="74">
        <f>IF(REGISTRO!B357="","",REGISTRO!S357)</f>
        <v/>
      </c>
    </row>
    <row r="358">
      <c r="A358" s="74">
        <f>IF(REGISTRO!B358="","",REGISTRO!A358)</f>
        <v/>
      </c>
      <c r="B358" s="74">
        <f>IF(REGISTRO!B358="","",REGISTRO!B358)</f>
        <v/>
      </c>
      <c r="C358" s="74">
        <f>IF(REGISTRO!B358="","",REGISTRO!C358)</f>
        <v/>
      </c>
      <c r="D358" s="74">
        <f>IF(REGISTRO!B358="","",REGISTRO!D358)</f>
        <v/>
      </c>
      <c r="E358" s="74">
        <f>IF(REGISTRO!B358="","",REGISTRO!E358)</f>
        <v/>
      </c>
      <c r="F358" s="74">
        <f>IF(REGISTRO!B358="","",REGISTRO!F358)</f>
        <v/>
      </c>
      <c r="G358" s="74">
        <f>IF(REGISTRO!B358="","",REGISTRO!G358)</f>
        <v/>
      </c>
      <c r="H358" s="74">
        <f>IF(REGISTRO!B358="","",REGISTRO!I358)</f>
        <v/>
      </c>
      <c r="I358" s="74">
        <f>IF(REGISTRO!B358="","",REGISTRO!J358)</f>
        <v/>
      </c>
      <c r="J358" s="74">
        <f>IF(REGISTRO!B358="","",REGISTRO!K358)</f>
        <v/>
      </c>
      <c r="K358" s="74">
        <f>IF(REGISTRO!B358="","",REGISTRO!N358)</f>
        <v/>
      </c>
      <c r="L358" s="75">
        <f>IF(REGISTRO!B358="","",REGISTRO!R358)</f>
        <v/>
      </c>
      <c r="M358" s="74">
        <f>IF(REGISTRO!B358="","",REGISTRO!S358)</f>
        <v/>
      </c>
    </row>
    <row r="359">
      <c r="A359" s="74">
        <f>IF(REGISTRO!B359="","",REGISTRO!A359)</f>
        <v/>
      </c>
      <c r="B359" s="74">
        <f>IF(REGISTRO!B359="","",REGISTRO!B359)</f>
        <v/>
      </c>
      <c r="C359" s="74">
        <f>IF(REGISTRO!B359="","",REGISTRO!C359)</f>
        <v/>
      </c>
      <c r="D359" s="74">
        <f>IF(REGISTRO!B359="","",REGISTRO!D359)</f>
        <v/>
      </c>
      <c r="E359" s="74">
        <f>IF(REGISTRO!B359="","",REGISTRO!E359)</f>
        <v/>
      </c>
      <c r="F359" s="74">
        <f>IF(REGISTRO!B359="","",REGISTRO!F359)</f>
        <v/>
      </c>
      <c r="G359" s="74">
        <f>IF(REGISTRO!B359="","",REGISTRO!G359)</f>
        <v/>
      </c>
      <c r="H359" s="74">
        <f>IF(REGISTRO!B359="","",REGISTRO!I359)</f>
        <v/>
      </c>
      <c r="I359" s="74">
        <f>IF(REGISTRO!B359="","",REGISTRO!J359)</f>
        <v/>
      </c>
      <c r="J359" s="74">
        <f>IF(REGISTRO!B359="","",REGISTRO!K359)</f>
        <v/>
      </c>
      <c r="K359" s="74">
        <f>IF(REGISTRO!B359="","",REGISTRO!N359)</f>
        <v/>
      </c>
      <c r="L359" s="75">
        <f>IF(REGISTRO!B359="","",REGISTRO!R359)</f>
        <v/>
      </c>
      <c r="M359" s="74">
        <f>IF(REGISTRO!B359="","",REGISTRO!S359)</f>
        <v/>
      </c>
    </row>
    <row r="360">
      <c r="A360" s="74">
        <f>IF(REGISTRO!B360="","",REGISTRO!A360)</f>
        <v/>
      </c>
      <c r="B360" s="74">
        <f>IF(REGISTRO!B360="","",REGISTRO!B360)</f>
        <v/>
      </c>
      <c r="C360" s="74">
        <f>IF(REGISTRO!B360="","",REGISTRO!C360)</f>
        <v/>
      </c>
      <c r="D360" s="74">
        <f>IF(REGISTRO!B360="","",REGISTRO!D360)</f>
        <v/>
      </c>
      <c r="E360" s="74">
        <f>IF(REGISTRO!B360="","",REGISTRO!E360)</f>
        <v/>
      </c>
      <c r="F360" s="74">
        <f>IF(REGISTRO!B360="","",REGISTRO!F360)</f>
        <v/>
      </c>
      <c r="G360" s="74">
        <f>IF(REGISTRO!B360="","",REGISTRO!G360)</f>
        <v/>
      </c>
      <c r="H360" s="74">
        <f>IF(REGISTRO!B360="","",REGISTRO!I360)</f>
        <v/>
      </c>
      <c r="I360" s="74">
        <f>IF(REGISTRO!B360="","",REGISTRO!J360)</f>
        <v/>
      </c>
      <c r="J360" s="74">
        <f>IF(REGISTRO!B360="","",REGISTRO!K360)</f>
        <v/>
      </c>
      <c r="K360" s="74">
        <f>IF(REGISTRO!B360="","",REGISTRO!N360)</f>
        <v/>
      </c>
      <c r="L360" s="75">
        <f>IF(REGISTRO!B360="","",REGISTRO!R360)</f>
        <v/>
      </c>
      <c r="M360" s="74">
        <f>IF(REGISTRO!B360="","",REGISTRO!S360)</f>
        <v/>
      </c>
    </row>
    <row r="361">
      <c r="A361" s="74">
        <f>IF(REGISTRO!B361="","",REGISTRO!A361)</f>
        <v/>
      </c>
      <c r="B361" s="74">
        <f>IF(REGISTRO!B361="","",REGISTRO!B361)</f>
        <v/>
      </c>
      <c r="C361" s="74">
        <f>IF(REGISTRO!B361="","",REGISTRO!C361)</f>
        <v/>
      </c>
      <c r="D361" s="74">
        <f>IF(REGISTRO!B361="","",REGISTRO!D361)</f>
        <v/>
      </c>
      <c r="E361" s="74">
        <f>IF(REGISTRO!B361="","",REGISTRO!E361)</f>
        <v/>
      </c>
      <c r="F361" s="74">
        <f>IF(REGISTRO!B361="","",REGISTRO!F361)</f>
        <v/>
      </c>
      <c r="G361" s="74">
        <f>IF(REGISTRO!B361="","",REGISTRO!G361)</f>
        <v/>
      </c>
      <c r="H361" s="74">
        <f>IF(REGISTRO!B361="","",REGISTRO!I361)</f>
        <v/>
      </c>
      <c r="I361" s="74">
        <f>IF(REGISTRO!B361="","",REGISTRO!J361)</f>
        <v/>
      </c>
      <c r="J361" s="74">
        <f>IF(REGISTRO!B361="","",REGISTRO!K361)</f>
        <v/>
      </c>
      <c r="K361" s="74">
        <f>IF(REGISTRO!B361="","",REGISTRO!N361)</f>
        <v/>
      </c>
      <c r="L361" s="75">
        <f>IF(REGISTRO!B361="","",REGISTRO!R361)</f>
        <v/>
      </c>
      <c r="M361" s="74">
        <f>IF(REGISTRO!B361="","",REGISTRO!S361)</f>
        <v/>
      </c>
    </row>
    <row r="362">
      <c r="A362" s="74">
        <f>IF(REGISTRO!B362="","",REGISTRO!A362)</f>
        <v/>
      </c>
      <c r="B362" s="74">
        <f>IF(REGISTRO!B362="","",REGISTRO!B362)</f>
        <v/>
      </c>
      <c r="C362" s="74">
        <f>IF(REGISTRO!B362="","",REGISTRO!C362)</f>
        <v/>
      </c>
      <c r="D362" s="74">
        <f>IF(REGISTRO!B362="","",REGISTRO!D362)</f>
        <v/>
      </c>
      <c r="E362" s="74">
        <f>IF(REGISTRO!B362="","",REGISTRO!E362)</f>
        <v/>
      </c>
      <c r="F362" s="74">
        <f>IF(REGISTRO!B362="","",REGISTRO!F362)</f>
        <v/>
      </c>
      <c r="G362" s="74">
        <f>IF(REGISTRO!B362="","",REGISTRO!G362)</f>
        <v/>
      </c>
      <c r="H362" s="74">
        <f>IF(REGISTRO!B362="","",REGISTRO!I362)</f>
        <v/>
      </c>
      <c r="I362" s="74">
        <f>IF(REGISTRO!B362="","",REGISTRO!J362)</f>
        <v/>
      </c>
      <c r="J362" s="74">
        <f>IF(REGISTRO!B362="","",REGISTRO!K362)</f>
        <v/>
      </c>
      <c r="K362" s="74">
        <f>IF(REGISTRO!B362="","",REGISTRO!N362)</f>
        <v/>
      </c>
      <c r="L362" s="75">
        <f>IF(REGISTRO!B362="","",REGISTRO!R362)</f>
        <v/>
      </c>
      <c r="M362" s="74">
        <f>IF(REGISTRO!B362="","",REGISTRO!S362)</f>
        <v/>
      </c>
    </row>
    <row r="363">
      <c r="A363" s="74">
        <f>IF(REGISTRO!B363="","",REGISTRO!A363)</f>
        <v/>
      </c>
      <c r="B363" s="74">
        <f>IF(REGISTRO!B363="","",REGISTRO!B363)</f>
        <v/>
      </c>
      <c r="C363" s="74">
        <f>IF(REGISTRO!B363="","",REGISTRO!C363)</f>
        <v/>
      </c>
      <c r="D363" s="74">
        <f>IF(REGISTRO!B363="","",REGISTRO!D363)</f>
        <v/>
      </c>
      <c r="E363" s="74">
        <f>IF(REGISTRO!B363="","",REGISTRO!E363)</f>
        <v/>
      </c>
      <c r="F363" s="74">
        <f>IF(REGISTRO!B363="","",REGISTRO!F363)</f>
        <v/>
      </c>
      <c r="G363" s="74">
        <f>IF(REGISTRO!B363="","",REGISTRO!G363)</f>
        <v/>
      </c>
      <c r="H363" s="74">
        <f>IF(REGISTRO!B363="","",REGISTRO!I363)</f>
        <v/>
      </c>
      <c r="I363" s="74">
        <f>IF(REGISTRO!B363="","",REGISTRO!J363)</f>
        <v/>
      </c>
      <c r="J363" s="74">
        <f>IF(REGISTRO!B363="","",REGISTRO!K363)</f>
        <v/>
      </c>
      <c r="K363" s="74">
        <f>IF(REGISTRO!B363="","",REGISTRO!N363)</f>
        <v/>
      </c>
      <c r="L363" s="75">
        <f>IF(REGISTRO!B363="","",REGISTRO!R363)</f>
        <v/>
      </c>
      <c r="M363" s="74">
        <f>IF(REGISTRO!B363="","",REGISTRO!S363)</f>
        <v/>
      </c>
    </row>
    <row r="364">
      <c r="A364" s="74">
        <f>IF(REGISTRO!B364="","",REGISTRO!A364)</f>
        <v/>
      </c>
      <c r="B364" s="74">
        <f>IF(REGISTRO!B364="","",REGISTRO!B364)</f>
        <v/>
      </c>
      <c r="C364" s="74">
        <f>IF(REGISTRO!B364="","",REGISTRO!C364)</f>
        <v/>
      </c>
      <c r="D364" s="74">
        <f>IF(REGISTRO!B364="","",REGISTRO!D364)</f>
        <v/>
      </c>
      <c r="E364" s="74">
        <f>IF(REGISTRO!B364="","",REGISTRO!E364)</f>
        <v/>
      </c>
      <c r="F364" s="74">
        <f>IF(REGISTRO!B364="","",REGISTRO!F364)</f>
        <v/>
      </c>
      <c r="G364" s="74">
        <f>IF(REGISTRO!B364="","",REGISTRO!G364)</f>
        <v/>
      </c>
      <c r="H364" s="74">
        <f>IF(REGISTRO!B364="","",REGISTRO!I364)</f>
        <v/>
      </c>
      <c r="I364" s="74">
        <f>IF(REGISTRO!B364="","",REGISTRO!J364)</f>
        <v/>
      </c>
      <c r="J364" s="74">
        <f>IF(REGISTRO!B364="","",REGISTRO!K364)</f>
        <v/>
      </c>
      <c r="K364" s="74">
        <f>IF(REGISTRO!B364="","",REGISTRO!N364)</f>
        <v/>
      </c>
      <c r="L364" s="75">
        <f>IF(REGISTRO!B364="","",REGISTRO!R364)</f>
        <v/>
      </c>
      <c r="M364" s="74">
        <f>IF(REGISTRO!B364="","",REGISTRO!S364)</f>
        <v/>
      </c>
    </row>
    <row r="365">
      <c r="A365" s="74">
        <f>IF(REGISTRO!B365="","",REGISTRO!A365)</f>
        <v/>
      </c>
      <c r="B365" s="74">
        <f>IF(REGISTRO!B365="","",REGISTRO!B365)</f>
        <v/>
      </c>
      <c r="C365" s="74">
        <f>IF(REGISTRO!B365="","",REGISTRO!C365)</f>
        <v/>
      </c>
      <c r="D365" s="74">
        <f>IF(REGISTRO!B365="","",REGISTRO!D365)</f>
        <v/>
      </c>
      <c r="E365" s="74">
        <f>IF(REGISTRO!B365="","",REGISTRO!E365)</f>
        <v/>
      </c>
      <c r="F365" s="74">
        <f>IF(REGISTRO!B365="","",REGISTRO!F365)</f>
        <v/>
      </c>
      <c r="G365" s="74">
        <f>IF(REGISTRO!B365="","",REGISTRO!G365)</f>
        <v/>
      </c>
      <c r="H365" s="74">
        <f>IF(REGISTRO!B365="","",REGISTRO!I365)</f>
        <v/>
      </c>
      <c r="I365" s="74">
        <f>IF(REGISTRO!B365="","",REGISTRO!J365)</f>
        <v/>
      </c>
      <c r="J365" s="74">
        <f>IF(REGISTRO!B365="","",REGISTRO!K365)</f>
        <v/>
      </c>
      <c r="K365" s="74">
        <f>IF(REGISTRO!B365="","",REGISTRO!N365)</f>
        <v/>
      </c>
      <c r="L365" s="75">
        <f>IF(REGISTRO!B365="","",REGISTRO!R365)</f>
        <v/>
      </c>
      <c r="M365" s="74">
        <f>IF(REGISTRO!B365="","",REGISTRO!S365)</f>
        <v/>
      </c>
    </row>
    <row r="366">
      <c r="A366" s="74">
        <f>IF(REGISTRO!B366="","",REGISTRO!A366)</f>
        <v/>
      </c>
      <c r="B366" s="74">
        <f>IF(REGISTRO!B366="","",REGISTRO!B366)</f>
        <v/>
      </c>
      <c r="C366" s="74">
        <f>IF(REGISTRO!B366="","",REGISTRO!C366)</f>
        <v/>
      </c>
      <c r="D366" s="74">
        <f>IF(REGISTRO!B366="","",REGISTRO!D366)</f>
        <v/>
      </c>
      <c r="E366" s="74">
        <f>IF(REGISTRO!B366="","",REGISTRO!E366)</f>
        <v/>
      </c>
      <c r="F366" s="74">
        <f>IF(REGISTRO!B366="","",REGISTRO!F366)</f>
        <v/>
      </c>
      <c r="G366" s="74">
        <f>IF(REGISTRO!B366="","",REGISTRO!G366)</f>
        <v/>
      </c>
      <c r="H366" s="74">
        <f>IF(REGISTRO!B366="","",REGISTRO!I366)</f>
        <v/>
      </c>
      <c r="I366" s="74">
        <f>IF(REGISTRO!B366="","",REGISTRO!J366)</f>
        <v/>
      </c>
      <c r="J366" s="74">
        <f>IF(REGISTRO!B366="","",REGISTRO!K366)</f>
        <v/>
      </c>
      <c r="K366" s="74">
        <f>IF(REGISTRO!B366="","",REGISTRO!N366)</f>
        <v/>
      </c>
      <c r="L366" s="75">
        <f>IF(REGISTRO!B366="","",REGISTRO!R366)</f>
        <v/>
      </c>
      <c r="M366" s="74">
        <f>IF(REGISTRO!B366="","",REGISTRO!S366)</f>
        <v/>
      </c>
    </row>
    <row r="367">
      <c r="A367" s="74">
        <f>IF(REGISTRO!B367="","",REGISTRO!A367)</f>
        <v/>
      </c>
      <c r="B367" s="74">
        <f>IF(REGISTRO!B367="","",REGISTRO!B367)</f>
        <v/>
      </c>
      <c r="C367" s="74">
        <f>IF(REGISTRO!B367="","",REGISTRO!C367)</f>
        <v/>
      </c>
      <c r="D367" s="74">
        <f>IF(REGISTRO!B367="","",REGISTRO!D367)</f>
        <v/>
      </c>
      <c r="E367" s="74">
        <f>IF(REGISTRO!B367="","",REGISTRO!E367)</f>
        <v/>
      </c>
      <c r="F367" s="74">
        <f>IF(REGISTRO!B367="","",REGISTRO!F367)</f>
        <v/>
      </c>
      <c r="G367" s="74">
        <f>IF(REGISTRO!B367="","",REGISTRO!G367)</f>
        <v/>
      </c>
      <c r="H367" s="74">
        <f>IF(REGISTRO!B367="","",REGISTRO!I367)</f>
        <v/>
      </c>
      <c r="I367" s="74">
        <f>IF(REGISTRO!B367="","",REGISTRO!J367)</f>
        <v/>
      </c>
      <c r="J367" s="74">
        <f>IF(REGISTRO!B367="","",REGISTRO!K367)</f>
        <v/>
      </c>
      <c r="K367" s="74">
        <f>IF(REGISTRO!B367="","",REGISTRO!N367)</f>
        <v/>
      </c>
      <c r="L367" s="75">
        <f>IF(REGISTRO!B367="","",REGISTRO!R367)</f>
        <v/>
      </c>
      <c r="M367" s="74">
        <f>IF(REGISTRO!B367="","",REGISTRO!S367)</f>
        <v/>
      </c>
    </row>
    <row r="368">
      <c r="A368" s="74">
        <f>IF(REGISTRO!B368="","",REGISTRO!A368)</f>
        <v/>
      </c>
      <c r="B368" s="74">
        <f>IF(REGISTRO!B368="","",REGISTRO!B368)</f>
        <v/>
      </c>
      <c r="C368" s="74">
        <f>IF(REGISTRO!B368="","",REGISTRO!C368)</f>
        <v/>
      </c>
      <c r="D368" s="74">
        <f>IF(REGISTRO!B368="","",REGISTRO!D368)</f>
        <v/>
      </c>
      <c r="E368" s="74">
        <f>IF(REGISTRO!B368="","",REGISTRO!E368)</f>
        <v/>
      </c>
      <c r="F368" s="74">
        <f>IF(REGISTRO!B368="","",REGISTRO!F368)</f>
        <v/>
      </c>
      <c r="G368" s="74">
        <f>IF(REGISTRO!B368="","",REGISTRO!G368)</f>
        <v/>
      </c>
      <c r="H368" s="74">
        <f>IF(REGISTRO!B368="","",REGISTRO!I368)</f>
        <v/>
      </c>
      <c r="I368" s="74">
        <f>IF(REGISTRO!B368="","",REGISTRO!J368)</f>
        <v/>
      </c>
      <c r="J368" s="74">
        <f>IF(REGISTRO!B368="","",REGISTRO!K368)</f>
        <v/>
      </c>
      <c r="K368" s="74">
        <f>IF(REGISTRO!B368="","",REGISTRO!N368)</f>
        <v/>
      </c>
      <c r="L368" s="75">
        <f>IF(REGISTRO!B368="","",REGISTRO!R368)</f>
        <v/>
      </c>
      <c r="M368" s="74">
        <f>IF(REGISTRO!B368="","",REGISTRO!S368)</f>
        <v/>
      </c>
    </row>
    <row r="369">
      <c r="A369" s="74">
        <f>IF(REGISTRO!B369="","",REGISTRO!A369)</f>
        <v/>
      </c>
      <c r="B369" s="74">
        <f>IF(REGISTRO!B369="","",REGISTRO!B369)</f>
        <v/>
      </c>
      <c r="C369" s="74">
        <f>IF(REGISTRO!B369="","",REGISTRO!C369)</f>
        <v/>
      </c>
      <c r="D369" s="74">
        <f>IF(REGISTRO!B369="","",REGISTRO!D369)</f>
        <v/>
      </c>
      <c r="E369" s="74">
        <f>IF(REGISTRO!B369="","",REGISTRO!E369)</f>
        <v/>
      </c>
      <c r="F369" s="74">
        <f>IF(REGISTRO!B369="","",REGISTRO!F369)</f>
        <v/>
      </c>
      <c r="G369" s="74">
        <f>IF(REGISTRO!B369="","",REGISTRO!G369)</f>
        <v/>
      </c>
      <c r="H369" s="74">
        <f>IF(REGISTRO!B369="","",REGISTRO!I369)</f>
        <v/>
      </c>
      <c r="I369" s="74">
        <f>IF(REGISTRO!B369="","",REGISTRO!J369)</f>
        <v/>
      </c>
      <c r="J369" s="74">
        <f>IF(REGISTRO!B369="","",REGISTRO!K369)</f>
        <v/>
      </c>
      <c r="K369" s="74">
        <f>IF(REGISTRO!B369="","",REGISTRO!N369)</f>
        <v/>
      </c>
      <c r="L369" s="75">
        <f>IF(REGISTRO!B369="","",REGISTRO!R369)</f>
        <v/>
      </c>
      <c r="M369" s="74">
        <f>IF(REGISTRO!B369="","",REGISTRO!S369)</f>
        <v/>
      </c>
    </row>
    <row r="370">
      <c r="A370" s="74">
        <f>IF(REGISTRO!B370="","",REGISTRO!A370)</f>
        <v/>
      </c>
      <c r="B370" s="74">
        <f>IF(REGISTRO!B370="","",REGISTRO!B370)</f>
        <v/>
      </c>
      <c r="C370" s="74">
        <f>IF(REGISTRO!B370="","",REGISTRO!C370)</f>
        <v/>
      </c>
      <c r="D370" s="74">
        <f>IF(REGISTRO!B370="","",REGISTRO!D370)</f>
        <v/>
      </c>
      <c r="E370" s="74">
        <f>IF(REGISTRO!B370="","",REGISTRO!E370)</f>
        <v/>
      </c>
      <c r="F370" s="74">
        <f>IF(REGISTRO!B370="","",REGISTRO!F370)</f>
        <v/>
      </c>
      <c r="G370" s="74">
        <f>IF(REGISTRO!B370="","",REGISTRO!G370)</f>
        <v/>
      </c>
      <c r="H370" s="74">
        <f>IF(REGISTRO!B370="","",REGISTRO!I370)</f>
        <v/>
      </c>
      <c r="I370" s="74">
        <f>IF(REGISTRO!B370="","",REGISTRO!J370)</f>
        <v/>
      </c>
      <c r="J370" s="74">
        <f>IF(REGISTRO!B370="","",REGISTRO!K370)</f>
        <v/>
      </c>
      <c r="K370" s="74">
        <f>IF(REGISTRO!B370="","",REGISTRO!N370)</f>
        <v/>
      </c>
      <c r="L370" s="75">
        <f>IF(REGISTRO!B370="","",REGISTRO!R370)</f>
        <v/>
      </c>
      <c r="M370" s="74">
        <f>IF(REGISTRO!B370="","",REGISTRO!S370)</f>
        <v/>
      </c>
    </row>
    <row r="371">
      <c r="A371" s="74">
        <f>IF(REGISTRO!B371="","",REGISTRO!A371)</f>
        <v/>
      </c>
      <c r="B371" s="74">
        <f>IF(REGISTRO!B371="","",REGISTRO!B371)</f>
        <v/>
      </c>
      <c r="C371" s="74">
        <f>IF(REGISTRO!B371="","",REGISTRO!C371)</f>
        <v/>
      </c>
      <c r="D371" s="74">
        <f>IF(REGISTRO!B371="","",REGISTRO!D371)</f>
        <v/>
      </c>
      <c r="E371" s="74">
        <f>IF(REGISTRO!B371="","",REGISTRO!E371)</f>
        <v/>
      </c>
      <c r="F371" s="74">
        <f>IF(REGISTRO!B371="","",REGISTRO!F371)</f>
        <v/>
      </c>
      <c r="G371" s="74">
        <f>IF(REGISTRO!B371="","",REGISTRO!G371)</f>
        <v/>
      </c>
      <c r="H371" s="74">
        <f>IF(REGISTRO!B371="","",REGISTRO!I371)</f>
        <v/>
      </c>
      <c r="I371" s="74">
        <f>IF(REGISTRO!B371="","",REGISTRO!J371)</f>
        <v/>
      </c>
      <c r="J371" s="74">
        <f>IF(REGISTRO!B371="","",REGISTRO!K371)</f>
        <v/>
      </c>
      <c r="K371" s="74">
        <f>IF(REGISTRO!B371="","",REGISTRO!N371)</f>
        <v/>
      </c>
      <c r="L371" s="75">
        <f>IF(REGISTRO!B371="","",REGISTRO!R371)</f>
        <v/>
      </c>
      <c r="M371" s="74">
        <f>IF(REGISTRO!B371="","",REGISTRO!S371)</f>
        <v/>
      </c>
    </row>
    <row r="372">
      <c r="A372" s="74">
        <f>IF(REGISTRO!B372="","",REGISTRO!A372)</f>
        <v/>
      </c>
      <c r="B372" s="74">
        <f>IF(REGISTRO!B372="","",REGISTRO!B372)</f>
        <v/>
      </c>
      <c r="C372" s="74">
        <f>IF(REGISTRO!B372="","",REGISTRO!C372)</f>
        <v/>
      </c>
      <c r="D372" s="74">
        <f>IF(REGISTRO!B372="","",REGISTRO!D372)</f>
        <v/>
      </c>
      <c r="E372" s="74">
        <f>IF(REGISTRO!B372="","",REGISTRO!E372)</f>
        <v/>
      </c>
      <c r="F372" s="74">
        <f>IF(REGISTRO!B372="","",REGISTRO!F372)</f>
        <v/>
      </c>
      <c r="G372" s="74">
        <f>IF(REGISTRO!B372="","",REGISTRO!G372)</f>
        <v/>
      </c>
      <c r="H372" s="74">
        <f>IF(REGISTRO!B372="","",REGISTRO!I372)</f>
        <v/>
      </c>
      <c r="I372" s="74">
        <f>IF(REGISTRO!B372="","",REGISTRO!J372)</f>
        <v/>
      </c>
      <c r="J372" s="74">
        <f>IF(REGISTRO!B372="","",REGISTRO!K372)</f>
        <v/>
      </c>
      <c r="K372" s="74">
        <f>IF(REGISTRO!B372="","",REGISTRO!N372)</f>
        <v/>
      </c>
      <c r="L372" s="75">
        <f>IF(REGISTRO!B372="","",REGISTRO!R372)</f>
        <v/>
      </c>
      <c r="M372" s="74">
        <f>IF(REGISTRO!B372="","",REGISTRO!S372)</f>
        <v/>
      </c>
    </row>
    <row r="373">
      <c r="A373" s="74">
        <f>IF(REGISTRO!B373="","",REGISTRO!A373)</f>
        <v/>
      </c>
      <c r="B373" s="74">
        <f>IF(REGISTRO!B373="","",REGISTRO!B373)</f>
        <v/>
      </c>
      <c r="C373" s="74">
        <f>IF(REGISTRO!B373="","",REGISTRO!C373)</f>
        <v/>
      </c>
      <c r="D373" s="74">
        <f>IF(REGISTRO!B373="","",REGISTRO!D373)</f>
        <v/>
      </c>
      <c r="E373" s="74">
        <f>IF(REGISTRO!B373="","",REGISTRO!E373)</f>
        <v/>
      </c>
      <c r="F373" s="74">
        <f>IF(REGISTRO!B373="","",REGISTRO!F373)</f>
        <v/>
      </c>
      <c r="G373" s="74">
        <f>IF(REGISTRO!B373="","",REGISTRO!G373)</f>
        <v/>
      </c>
      <c r="H373" s="74">
        <f>IF(REGISTRO!B373="","",REGISTRO!I373)</f>
        <v/>
      </c>
      <c r="I373" s="74">
        <f>IF(REGISTRO!B373="","",REGISTRO!J373)</f>
        <v/>
      </c>
      <c r="J373" s="74">
        <f>IF(REGISTRO!B373="","",REGISTRO!K373)</f>
        <v/>
      </c>
      <c r="K373" s="74">
        <f>IF(REGISTRO!B373="","",REGISTRO!N373)</f>
        <v/>
      </c>
      <c r="L373" s="75">
        <f>IF(REGISTRO!B373="","",REGISTRO!R373)</f>
        <v/>
      </c>
      <c r="M373" s="74">
        <f>IF(REGISTRO!B373="","",REGISTRO!S373)</f>
        <v/>
      </c>
    </row>
    <row r="374">
      <c r="A374" s="74">
        <f>IF(REGISTRO!B374="","",REGISTRO!A374)</f>
        <v/>
      </c>
      <c r="B374" s="74">
        <f>IF(REGISTRO!B374="","",REGISTRO!B374)</f>
        <v/>
      </c>
      <c r="C374" s="74">
        <f>IF(REGISTRO!B374="","",REGISTRO!C374)</f>
        <v/>
      </c>
      <c r="D374" s="74">
        <f>IF(REGISTRO!B374="","",REGISTRO!D374)</f>
        <v/>
      </c>
      <c r="E374" s="74">
        <f>IF(REGISTRO!B374="","",REGISTRO!E374)</f>
        <v/>
      </c>
      <c r="F374" s="74">
        <f>IF(REGISTRO!B374="","",REGISTRO!F374)</f>
        <v/>
      </c>
      <c r="G374" s="74">
        <f>IF(REGISTRO!B374="","",REGISTRO!G374)</f>
        <v/>
      </c>
      <c r="H374" s="74">
        <f>IF(REGISTRO!B374="","",REGISTRO!I374)</f>
        <v/>
      </c>
      <c r="I374" s="74">
        <f>IF(REGISTRO!B374="","",REGISTRO!J374)</f>
        <v/>
      </c>
      <c r="J374" s="74">
        <f>IF(REGISTRO!B374="","",REGISTRO!K374)</f>
        <v/>
      </c>
      <c r="K374" s="74">
        <f>IF(REGISTRO!B374="","",REGISTRO!N374)</f>
        <v/>
      </c>
      <c r="L374" s="75">
        <f>IF(REGISTRO!B374="","",REGISTRO!R374)</f>
        <v/>
      </c>
      <c r="M374" s="74">
        <f>IF(REGISTRO!B374="","",REGISTRO!S374)</f>
        <v/>
      </c>
    </row>
    <row r="375">
      <c r="A375" s="74">
        <f>IF(REGISTRO!B375="","",REGISTRO!A375)</f>
        <v/>
      </c>
      <c r="B375" s="74">
        <f>IF(REGISTRO!B375="","",REGISTRO!B375)</f>
        <v/>
      </c>
      <c r="C375" s="74">
        <f>IF(REGISTRO!B375="","",REGISTRO!C375)</f>
        <v/>
      </c>
      <c r="D375" s="74">
        <f>IF(REGISTRO!B375="","",REGISTRO!D375)</f>
        <v/>
      </c>
      <c r="E375" s="74">
        <f>IF(REGISTRO!B375="","",REGISTRO!E375)</f>
        <v/>
      </c>
      <c r="F375" s="74">
        <f>IF(REGISTRO!B375="","",REGISTRO!F375)</f>
        <v/>
      </c>
      <c r="G375" s="74">
        <f>IF(REGISTRO!B375="","",REGISTRO!G375)</f>
        <v/>
      </c>
      <c r="H375" s="74">
        <f>IF(REGISTRO!B375="","",REGISTRO!I375)</f>
        <v/>
      </c>
      <c r="I375" s="74">
        <f>IF(REGISTRO!B375="","",REGISTRO!J375)</f>
        <v/>
      </c>
      <c r="J375" s="74">
        <f>IF(REGISTRO!B375="","",REGISTRO!K375)</f>
        <v/>
      </c>
      <c r="K375" s="74">
        <f>IF(REGISTRO!B375="","",REGISTRO!N375)</f>
        <v/>
      </c>
      <c r="L375" s="75">
        <f>IF(REGISTRO!B375="","",REGISTRO!R375)</f>
        <v/>
      </c>
      <c r="M375" s="74">
        <f>IF(REGISTRO!B375="","",REGISTRO!S375)</f>
        <v/>
      </c>
    </row>
    <row r="376">
      <c r="A376" s="74">
        <f>IF(REGISTRO!B376="","",REGISTRO!A376)</f>
        <v/>
      </c>
      <c r="B376" s="74">
        <f>IF(REGISTRO!B376="","",REGISTRO!B376)</f>
        <v/>
      </c>
      <c r="C376" s="74">
        <f>IF(REGISTRO!B376="","",REGISTRO!C376)</f>
        <v/>
      </c>
      <c r="D376" s="74">
        <f>IF(REGISTRO!B376="","",REGISTRO!D376)</f>
        <v/>
      </c>
      <c r="E376" s="74">
        <f>IF(REGISTRO!B376="","",REGISTRO!E376)</f>
        <v/>
      </c>
      <c r="F376" s="74">
        <f>IF(REGISTRO!B376="","",REGISTRO!F376)</f>
        <v/>
      </c>
      <c r="G376" s="74">
        <f>IF(REGISTRO!B376="","",REGISTRO!G376)</f>
        <v/>
      </c>
      <c r="H376" s="74">
        <f>IF(REGISTRO!B376="","",REGISTRO!I376)</f>
        <v/>
      </c>
      <c r="I376" s="74">
        <f>IF(REGISTRO!B376="","",REGISTRO!J376)</f>
        <v/>
      </c>
      <c r="J376" s="74">
        <f>IF(REGISTRO!B376="","",REGISTRO!K376)</f>
        <v/>
      </c>
      <c r="K376" s="74">
        <f>IF(REGISTRO!B376="","",REGISTRO!N376)</f>
        <v/>
      </c>
      <c r="L376" s="75">
        <f>IF(REGISTRO!B376="","",REGISTRO!R376)</f>
        <v/>
      </c>
      <c r="M376" s="74">
        <f>IF(REGISTRO!B376="","",REGISTRO!S376)</f>
        <v/>
      </c>
    </row>
    <row r="377">
      <c r="A377" s="74">
        <f>IF(REGISTRO!B377="","",REGISTRO!A377)</f>
        <v/>
      </c>
      <c r="B377" s="74">
        <f>IF(REGISTRO!B377="","",REGISTRO!B377)</f>
        <v/>
      </c>
      <c r="C377" s="74">
        <f>IF(REGISTRO!B377="","",REGISTRO!C377)</f>
        <v/>
      </c>
      <c r="D377" s="74">
        <f>IF(REGISTRO!B377="","",REGISTRO!D377)</f>
        <v/>
      </c>
      <c r="E377" s="74">
        <f>IF(REGISTRO!B377="","",REGISTRO!E377)</f>
        <v/>
      </c>
      <c r="F377" s="74">
        <f>IF(REGISTRO!B377="","",REGISTRO!F377)</f>
        <v/>
      </c>
      <c r="G377" s="74">
        <f>IF(REGISTRO!B377="","",REGISTRO!G377)</f>
        <v/>
      </c>
      <c r="H377" s="74">
        <f>IF(REGISTRO!B377="","",REGISTRO!I377)</f>
        <v/>
      </c>
      <c r="I377" s="74">
        <f>IF(REGISTRO!B377="","",REGISTRO!J377)</f>
        <v/>
      </c>
      <c r="J377" s="74">
        <f>IF(REGISTRO!B377="","",REGISTRO!K377)</f>
        <v/>
      </c>
      <c r="K377" s="74">
        <f>IF(REGISTRO!B377="","",REGISTRO!N377)</f>
        <v/>
      </c>
      <c r="L377" s="75">
        <f>IF(REGISTRO!B377="","",REGISTRO!R377)</f>
        <v/>
      </c>
      <c r="M377" s="74">
        <f>IF(REGISTRO!B377="","",REGISTRO!S377)</f>
        <v/>
      </c>
    </row>
    <row r="378">
      <c r="A378" s="74">
        <f>IF(REGISTRO!B378="","",REGISTRO!A378)</f>
        <v/>
      </c>
      <c r="B378" s="74">
        <f>IF(REGISTRO!B378="","",REGISTRO!B378)</f>
        <v/>
      </c>
      <c r="C378" s="74">
        <f>IF(REGISTRO!B378="","",REGISTRO!C378)</f>
        <v/>
      </c>
      <c r="D378" s="74">
        <f>IF(REGISTRO!B378="","",REGISTRO!D378)</f>
        <v/>
      </c>
      <c r="E378" s="74">
        <f>IF(REGISTRO!B378="","",REGISTRO!E378)</f>
        <v/>
      </c>
      <c r="F378" s="74">
        <f>IF(REGISTRO!B378="","",REGISTRO!F378)</f>
        <v/>
      </c>
      <c r="G378" s="74">
        <f>IF(REGISTRO!B378="","",REGISTRO!G378)</f>
        <v/>
      </c>
      <c r="H378" s="74">
        <f>IF(REGISTRO!B378="","",REGISTRO!I378)</f>
        <v/>
      </c>
      <c r="I378" s="74">
        <f>IF(REGISTRO!B378="","",REGISTRO!J378)</f>
        <v/>
      </c>
      <c r="J378" s="74">
        <f>IF(REGISTRO!B378="","",REGISTRO!K378)</f>
        <v/>
      </c>
      <c r="K378" s="74">
        <f>IF(REGISTRO!B378="","",REGISTRO!N378)</f>
        <v/>
      </c>
      <c r="L378" s="75">
        <f>IF(REGISTRO!B378="","",REGISTRO!R378)</f>
        <v/>
      </c>
      <c r="M378" s="74">
        <f>IF(REGISTRO!B378="","",REGISTRO!S378)</f>
        <v/>
      </c>
    </row>
    <row r="379">
      <c r="A379" s="74">
        <f>IF(REGISTRO!B379="","",REGISTRO!A379)</f>
        <v/>
      </c>
      <c r="B379" s="74">
        <f>IF(REGISTRO!B379="","",REGISTRO!B379)</f>
        <v/>
      </c>
      <c r="C379" s="74">
        <f>IF(REGISTRO!B379="","",REGISTRO!C379)</f>
        <v/>
      </c>
      <c r="D379" s="74">
        <f>IF(REGISTRO!B379="","",REGISTRO!D379)</f>
        <v/>
      </c>
      <c r="E379" s="74">
        <f>IF(REGISTRO!B379="","",REGISTRO!E379)</f>
        <v/>
      </c>
      <c r="F379" s="74">
        <f>IF(REGISTRO!B379="","",REGISTRO!F379)</f>
        <v/>
      </c>
      <c r="G379" s="74">
        <f>IF(REGISTRO!B379="","",REGISTRO!G379)</f>
        <v/>
      </c>
      <c r="H379" s="74">
        <f>IF(REGISTRO!B379="","",REGISTRO!I379)</f>
        <v/>
      </c>
      <c r="I379" s="74">
        <f>IF(REGISTRO!B379="","",REGISTRO!J379)</f>
        <v/>
      </c>
      <c r="J379" s="74">
        <f>IF(REGISTRO!B379="","",REGISTRO!K379)</f>
        <v/>
      </c>
      <c r="K379" s="74">
        <f>IF(REGISTRO!B379="","",REGISTRO!N379)</f>
        <v/>
      </c>
      <c r="L379" s="75">
        <f>IF(REGISTRO!B379="","",REGISTRO!R379)</f>
        <v/>
      </c>
      <c r="M379" s="74">
        <f>IF(REGISTRO!B379="","",REGISTRO!S379)</f>
        <v/>
      </c>
    </row>
    <row r="380">
      <c r="A380" s="74">
        <f>IF(REGISTRO!B380="","",REGISTRO!A380)</f>
        <v/>
      </c>
      <c r="B380" s="74">
        <f>IF(REGISTRO!B380="","",REGISTRO!B380)</f>
        <v/>
      </c>
      <c r="C380" s="74">
        <f>IF(REGISTRO!B380="","",REGISTRO!C380)</f>
        <v/>
      </c>
      <c r="D380" s="74">
        <f>IF(REGISTRO!B380="","",REGISTRO!D380)</f>
        <v/>
      </c>
      <c r="E380" s="74">
        <f>IF(REGISTRO!B380="","",REGISTRO!E380)</f>
        <v/>
      </c>
      <c r="F380" s="74">
        <f>IF(REGISTRO!B380="","",REGISTRO!F380)</f>
        <v/>
      </c>
      <c r="G380" s="74">
        <f>IF(REGISTRO!B380="","",REGISTRO!G380)</f>
        <v/>
      </c>
      <c r="H380" s="74">
        <f>IF(REGISTRO!B380="","",REGISTRO!I380)</f>
        <v/>
      </c>
      <c r="I380" s="74">
        <f>IF(REGISTRO!B380="","",REGISTRO!J380)</f>
        <v/>
      </c>
      <c r="J380" s="74">
        <f>IF(REGISTRO!B380="","",REGISTRO!K380)</f>
        <v/>
      </c>
      <c r="K380" s="74">
        <f>IF(REGISTRO!B380="","",REGISTRO!N380)</f>
        <v/>
      </c>
      <c r="L380" s="75">
        <f>IF(REGISTRO!B380="","",REGISTRO!R380)</f>
        <v/>
      </c>
      <c r="M380" s="74">
        <f>IF(REGISTRO!B380="","",REGISTRO!S380)</f>
        <v/>
      </c>
    </row>
    <row r="381">
      <c r="A381" s="74">
        <f>IF(REGISTRO!B381="","",REGISTRO!A381)</f>
        <v/>
      </c>
      <c r="B381" s="74">
        <f>IF(REGISTRO!B381="","",REGISTRO!B381)</f>
        <v/>
      </c>
      <c r="C381" s="74">
        <f>IF(REGISTRO!B381="","",REGISTRO!C381)</f>
        <v/>
      </c>
      <c r="D381" s="74">
        <f>IF(REGISTRO!B381="","",REGISTRO!D381)</f>
        <v/>
      </c>
      <c r="E381" s="74">
        <f>IF(REGISTRO!B381="","",REGISTRO!E381)</f>
        <v/>
      </c>
      <c r="F381" s="74">
        <f>IF(REGISTRO!B381="","",REGISTRO!F381)</f>
        <v/>
      </c>
      <c r="G381" s="74">
        <f>IF(REGISTRO!B381="","",REGISTRO!G381)</f>
        <v/>
      </c>
      <c r="H381" s="74">
        <f>IF(REGISTRO!B381="","",REGISTRO!I381)</f>
        <v/>
      </c>
      <c r="I381" s="74">
        <f>IF(REGISTRO!B381="","",REGISTRO!J381)</f>
        <v/>
      </c>
      <c r="J381" s="74">
        <f>IF(REGISTRO!B381="","",REGISTRO!K381)</f>
        <v/>
      </c>
      <c r="K381" s="74">
        <f>IF(REGISTRO!B381="","",REGISTRO!N381)</f>
        <v/>
      </c>
      <c r="L381" s="75">
        <f>IF(REGISTRO!B381="","",REGISTRO!R381)</f>
        <v/>
      </c>
      <c r="M381" s="74">
        <f>IF(REGISTRO!B381="","",REGISTRO!S381)</f>
        <v/>
      </c>
    </row>
    <row r="382">
      <c r="A382" s="74">
        <f>IF(REGISTRO!B382="","",REGISTRO!A382)</f>
        <v/>
      </c>
      <c r="B382" s="74">
        <f>IF(REGISTRO!B382="","",REGISTRO!B382)</f>
        <v/>
      </c>
      <c r="C382" s="74">
        <f>IF(REGISTRO!B382="","",REGISTRO!C382)</f>
        <v/>
      </c>
      <c r="D382" s="74">
        <f>IF(REGISTRO!B382="","",REGISTRO!D382)</f>
        <v/>
      </c>
      <c r="E382" s="74">
        <f>IF(REGISTRO!B382="","",REGISTRO!E382)</f>
        <v/>
      </c>
      <c r="F382" s="74">
        <f>IF(REGISTRO!B382="","",REGISTRO!F382)</f>
        <v/>
      </c>
      <c r="G382" s="74">
        <f>IF(REGISTRO!B382="","",REGISTRO!G382)</f>
        <v/>
      </c>
      <c r="H382" s="74">
        <f>IF(REGISTRO!B382="","",REGISTRO!I382)</f>
        <v/>
      </c>
      <c r="I382" s="74">
        <f>IF(REGISTRO!B382="","",REGISTRO!J382)</f>
        <v/>
      </c>
      <c r="J382" s="74">
        <f>IF(REGISTRO!B382="","",REGISTRO!K382)</f>
        <v/>
      </c>
      <c r="K382" s="74">
        <f>IF(REGISTRO!B382="","",REGISTRO!N382)</f>
        <v/>
      </c>
      <c r="L382" s="75">
        <f>IF(REGISTRO!B382="","",REGISTRO!R382)</f>
        <v/>
      </c>
      <c r="M382" s="74">
        <f>IF(REGISTRO!B382="","",REGISTRO!S382)</f>
        <v/>
      </c>
    </row>
    <row r="383">
      <c r="A383" s="74">
        <f>IF(REGISTRO!B383="","",REGISTRO!A383)</f>
        <v/>
      </c>
      <c r="B383" s="74">
        <f>IF(REGISTRO!B383="","",REGISTRO!B383)</f>
        <v/>
      </c>
      <c r="C383" s="74">
        <f>IF(REGISTRO!B383="","",REGISTRO!C383)</f>
        <v/>
      </c>
      <c r="D383" s="74">
        <f>IF(REGISTRO!B383="","",REGISTRO!D383)</f>
        <v/>
      </c>
      <c r="E383" s="74">
        <f>IF(REGISTRO!B383="","",REGISTRO!E383)</f>
        <v/>
      </c>
      <c r="F383" s="74">
        <f>IF(REGISTRO!B383="","",REGISTRO!F383)</f>
        <v/>
      </c>
      <c r="G383" s="74">
        <f>IF(REGISTRO!B383="","",REGISTRO!G383)</f>
        <v/>
      </c>
      <c r="H383" s="74">
        <f>IF(REGISTRO!B383="","",REGISTRO!I383)</f>
        <v/>
      </c>
      <c r="I383" s="74">
        <f>IF(REGISTRO!B383="","",REGISTRO!J383)</f>
        <v/>
      </c>
      <c r="J383" s="74">
        <f>IF(REGISTRO!B383="","",REGISTRO!K383)</f>
        <v/>
      </c>
      <c r="K383" s="74">
        <f>IF(REGISTRO!B383="","",REGISTRO!N383)</f>
        <v/>
      </c>
      <c r="L383" s="75">
        <f>IF(REGISTRO!B383="","",REGISTRO!R383)</f>
        <v/>
      </c>
      <c r="M383" s="74">
        <f>IF(REGISTRO!B383="","",REGISTRO!S383)</f>
        <v/>
      </c>
    </row>
    <row r="384">
      <c r="A384" s="74">
        <f>IF(REGISTRO!B384="","",REGISTRO!A384)</f>
        <v/>
      </c>
      <c r="B384" s="74">
        <f>IF(REGISTRO!B384="","",REGISTRO!B384)</f>
        <v/>
      </c>
      <c r="C384" s="74">
        <f>IF(REGISTRO!B384="","",REGISTRO!C384)</f>
        <v/>
      </c>
      <c r="D384" s="74">
        <f>IF(REGISTRO!B384="","",REGISTRO!D384)</f>
        <v/>
      </c>
      <c r="E384" s="74">
        <f>IF(REGISTRO!B384="","",REGISTRO!E384)</f>
        <v/>
      </c>
      <c r="F384" s="74">
        <f>IF(REGISTRO!B384="","",REGISTRO!F384)</f>
        <v/>
      </c>
      <c r="G384" s="74">
        <f>IF(REGISTRO!B384="","",REGISTRO!G384)</f>
        <v/>
      </c>
      <c r="H384" s="74">
        <f>IF(REGISTRO!B384="","",REGISTRO!I384)</f>
        <v/>
      </c>
      <c r="I384" s="74">
        <f>IF(REGISTRO!B384="","",REGISTRO!J384)</f>
        <v/>
      </c>
      <c r="J384" s="74">
        <f>IF(REGISTRO!B384="","",REGISTRO!K384)</f>
        <v/>
      </c>
      <c r="K384" s="74">
        <f>IF(REGISTRO!B384="","",REGISTRO!N384)</f>
        <v/>
      </c>
      <c r="L384" s="75">
        <f>IF(REGISTRO!B384="","",REGISTRO!R384)</f>
        <v/>
      </c>
      <c r="M384" s="74">
        <f>IF(REGISTRO!B384="","",REGISTRO!S384)</f>
        <v/>
      </c>
    </row>
    <row r="385">
      <c r="A385" s="74">
        <f>IF(REGISTRO!B385="","",REGISTRO!A385)</f>
        <v/>
      </c>
      <c r="B385" s="74">
        <f>IF(REGISTRO!B385="","",REGISTRO!B385)</f>
        <v/>
      </c>
      <c r="C385" s="74">
        <f>IF(REGISTRO!B385="","",REGISTRO!C385)</f>
        <v/>
      </c>
      <c r="D385" s="74">
        <f>IF(REGISTRO!B385="","",REGISTRO!D385)</f>
        <v/>
      </c>
      <c r="E385" s="74">
        <f>IF(REGISTRO!B385="","",REGISTRO!E385)</f>
        <v/>
      </c>
      <c r="F385" s="74">
        <f>IF(REGISTRO!B385="","",REGISTRO!F385)</f>
        <v/>
      </c>
      <c r="G385" s="74">
        <f>IF(REGISTRO!B385="","",REGISTRO!G385)</f>
        <v/>
      </c>
      <c r="H385" s="74">
        <f>IF(REGISTRO!B385="","",REGISTRO!I385)</f>
        <v/>
      </c>
      <c r="I385" s="74">
        <f>IF(REGISTRO!B385="","",REGISTRO!J385)</f>
        <v/>
      </c>
      <c r="J385" s="74">
        <f>IF(REGISTRO!B385="","",REGISTRO!K385)</f>
        <v/>
      </c>
      <c r="K385" s="74">
        <f>IF(REGISTRO!B385="","",REGISTRO!N385)</f>
        <v/>
      </c>
      <c r="L385" s="75">
        <f>IF(REGISTRO!B385="","",REGISTRO!R385)</f>
        <v/>
      </c>
      <c r="M385" s="74">
        <f>IF(REGISTRO!B385="","",REGISTRO!S385)</f>
        <v/>
      </c>
    </row>
    <row r="386">
      <c r="A386" s="74">
        <f>IF(REGISTRO!B386="","",REGISTRO!A386)</f>
        <v/>
      </c>
      <c r="B386" s="74">
        <f>IF(REGISTRO!B386="","",REGISTRO!B386)</f>
        <v/>
      </c>
      <c r="C386" s="74">
        <f>IF(REGISTRO!B386="","",REGISTRO!C386)</f>
        <v/>
      </c>
      <c r="D386" s="74">
        <f>IF(REGISTRO!B386="","",REGISTRO!D386)</f>
        <v/>
      </c>
      <c r="E386" s="74">
        <f>IF(REGISTRO!B386="","",REGISTRO!E386)</f>
        <v/>
      </c>
      <c r="F386" s="74">
        <f>IF(REGISTRO!B386="","",REGISTRO!F386)</f>
        <v/>
      </c>
      <c r="G386" s="74">
        <f>IF(REGISTRO!B386="","",REGISTRO!G386)</f>
        <v/>
      </c>
      <c r="H386" s="74">
        <f>IF(REGISTRO!B386="","",REGISTRO!I386)</f>
        <v/>
      </c>
      <c r="I386" s="74">
        <f>IF(REGISTRO!B386="","",REGISTRO!J386)</f>
        <v/>
      </c>
      <c r="J386" s="74">
        <f>IF(REGISTRO!B386="","",REGISTRO!K386)</f>
        <v/>
      </c>
      <c r="K386" s="74">
        <f>IF(REGISTRO!B386="","",REGISTRO!N386)</f>
        <v/>
      </c>
      <c r="L386" s="75">
        <f>IF(REGISTRO!B386="","",REGISTRO!R386)</f>
        <v/>
      </c>
      <c r="M386" s="74">
        <f>IF(REGISTRO!B386="","",REGISTRO!S386)</f>
        <v/>
      </c>
    </row>
    <row r="387">
      <c r="A387" s="74">
        <f>IF(REGISTRO!B387="","",REGISTRO!A387)</f>
        <v/>
      </c>
      <c r="B387" s="74">
        <f>IF(REGISTRO!B387="","",REGISTRO!B387)</f>
        <v/>
      </c>
      <c r="C387" s="74">
        <f>IF(REGISTRO!B387="","",REGISTRO!C387)</f>
        <v/>
      </c>
      <c r="D387" s="74">
        <f>IF(REGISTRO!B387="","",REGISTRO!D387)</f>
        <v/>
      </c>
      <c r="E387" s="74">
        <f>IF(REGISTRO!B387="","",REGISTRO!E387)</f>
        <v/>
      </c>
      <c r="F387" s="74">
        <f>IF(REGISTRO!B387="","",REGISTRO!F387)</f>
        <v/>
      </c>
      <c r="G387" s="74">
        <f>IF(REGISTRO!B387="","",REGISTRO!G387)</f>
        <v/>
      </c>
      <c r="H387" s="74">
        <f>IF(REGISTRO!B387="","",REGISTRO!I387)</f>
        <v/>
      </c>
      <c r="I387" s="74">
        <f>IF(REGISTRO!B387="","",REGISTRO!J387)</f>
        <v/>
      </c>
      <c r="J387" s="74">
        <f>IF(REGISTRO!B387="","",REGISTRO!K387)</f>
        <v/>
      </c>
      <c r="K387" s="74">
        <f>IF(REGISTRO!B387="","",REGISTRO!N387)</f>
        <v/>
      </c>
      <c r="L387" s="75">
        <f>IF(REGISTRO!B387="","",REGISTRO!R387)</f>
        <v/>
      </c>
      <c r="M387" s="74">
        <f>IF(REGISTRO!B387="","",REGISTRO!S387)</f>
        <v/>
      </c>
    </row>
    <row r="388">
      <c r="A388" s="74">
        <f>IF(REGISTRO!B388="","",REGISTRO!A388)</f>
        <v/>
      </c>
      <c r="B388" s="74">
        <f>IF(REGISTRO!B388="","",REGISTRO!B388)</f>
        <v/>
      </c>
      <c r="C388" s="74">
        <f>IF(REGISTRO!B388="","",REGISTRO!C388)</f>
        <v/>
      </c>
      <c r="D388" s="74">
        <f>IF(REGISTRO!B388="","",REGISTRO!D388)</f>
        <v/>
      </c>
      <c r="E388" s="74">
        <f>IF(REGISTRO!B388="","",REGISTRO!E388)</f>
        <v/>
      </c>
      <c r="F388" s="74">
        <f>IF(REGISTRO!B388="","",REGISTRO!F388)</f>
        <v/>
      </c>
      <c r="G388" s="74">
        <f>IF(REGISTRO!B388="","",REGISTRO!G388)</f>
        <v/>
      </c>
      <c r="H388" s="74">
        <f>IF(REGISTRO!B388="","",REGISTRO!I388)</f>
        <v/>
      </c>
      <c r="I388" s="74">
        <f>IF(REGISTRO!B388="","",REGISTRO!J388)</f>
        <v/>
      </c>
      <c r="J388" s="74">
        <f>IF(REGISTRO!B388="","",REGISTRO!K388)</f>
        <v/>
      </c>
      <c r="K388" s="74">
        <f>IF(REGISTRO!B388="","",REGISTRO!N388)</f>
        <v/>
      </c>
      <c r="L388" s="75">
        <f>IF(REGISTRO!B388="","",REGISTRO!R388)</f>
        <v/>
      </c>
      <c r="M388" s="74">
        <f>IF(REGISTRO!B388="","",REGISTRO!S388)</f>
        <v/>
      </c>
    </row>
    <row r="389">
      <c r="A389" s="74">
        <f>IF(REGISTRO!B389="","",REGISTRO!A389)</f>
        <v/>
      </c>
      <c r="B389" s="74">
        <f>IF(REGISTRO!B389="","",REGISTRO!B389)</f>
        <v/>
      </c>
      <c r="C389" s="74">
        <f>IF(REGISTRO!B389="","",REGISTRO!C389)</f>
        <v/>
      </c>
      <c r="D389" s="74">
        <f>IF(REGISTRO!B389="","",REGISTRO!D389)</f>
        <v/>
      </c>
      <c r="E389" s="74">
        <f>IF(REGISTRO!B389="","",REGISTRO!E389)</f>
        <v/>
      </c>
      <c r="F389" s="74">
        <f>IF(REGISTRO!B389="","",REGISTRO!F389)</f>
        <v/>
      </c>
      <c r="G389" s="74">
        <f>IF(REGISTRO!B389="","",REGISTRO!G389)</f>
        <v/>
      </c>
      <c r="H389" s="74">
        <f>IF(REGISTRO!B389="","",REGISTRO!I389)</f>
        <v/>
      </c>
      <c r="I389" s="74">
        <f>IF(REGISTRO!B389="","",REGISTRO!J389)</f>
        <v/>
      </c>
      <c r="J389" s="74">
        <f>IF(REGISTRO!B389="","",REGISTRO!K389)</f>
        <v/>
      </c>
      <c r="K389" s="74">
        <f>IF(REGISTRO!B389="","",REGISTRO!N389)</f>
        <v/>
      </c>
      <c r="L389" s="75">
        <f>IF(REGISTRO!B389="","",REGISTRO!R389)</f>
        <v/>
      </c>
      <c r="M389" s="74">
        <f>IF(REGISTRO!B389="","",REGISTRO!S389)</f>
        <v/>
      </c>
    </row>
    <row r="390">
      <c r="A390" s="74">
        <f>IF(REGISTRO!B390="","",REGISTRO!A390)</f>
        <v/>
      </c>
      <c r="B390" s="74">
        <f>IF(REGISTRO!B390="","",REGISTRO!B390)</f>
        <v/>
      </c>
      <c r="C390" s="74">
        <f>IF(REGISTRO!B390="","",REGISTRO!C390)</f>
        <v/>
      </c>
      <c r="D390" s="74">
        <f>IF(REGISTRO!B390="","",REGISTRO!D390)</f>
        <v/>
      </c>
      <c r="E390" s="74">
        <f>IF(REGISTRO!B390="","",REGISTRO!E390)</f>
        <v/>
      </c>
      <c r="F390" s="74">
        <f>IF(REGISTRO!B390="","",REGISTRO!F390)</f>
        <v/>
      </c>
      <c r="G390" s="74">
        <f>IF(REGISTRO!B390="","",REGISTRO!G390)</f>
        <v/>
      </c>
      <c r="H390" s="74">
        <f>IF(REGISTRO!B390="","",REGISTRO!I390)</f>
        <v/>
      </c>
      <c r="I390" s="74">
        <f>IF(REGISTRO!B390="","",REGISTRO!J390)</f>
        <v/>
      </c>
      <c r="J390" s="74">
        <f>IF(REGISTRO!B390="","",REGISTRO!K390)</f>
        <v/>
      </c>
      <c r="K390" s="74">
        <f>IF(REGISTRO!B390="","",REGISTRO!N390)</f>
        <v/>
      </c>
      <c r="L390" s="75">
        <f>IF(REGISTRO!B390="","",REGISTRO!R390)</f>
        <v/>
      </c>
      <c r="M390" s="74">
        <f>IF(REGISTRO!B390="","",REGISTRO!S390)</f>
        <v/>
      </c>
    </row>
    <row r="391">
      <c r="A391" s="74">
        <f>IF(REGISTRO!B391="","",REGISTRO!A391)</f>
        <v/>
      </c>
      <c r="B391" s="74">
        <f>IF(REGISTRO!B391="","",REGISTRO!B391)</f>
        <v/>
      </c>
      <c r="C391" s="74">
        <f>IF(REGISTRO!B391="","",REGISTRO!C391)</f>
        <v/>
      </c>
      <c r="D391" s="74">
        <f>IF(REGISTRO!B391="","",REGISTRO!D391)</f>
        <v/>
      </c>
      <c r="E391" s="74">
        <f>IF(REGISTRO!B391="","",REGISTRO!E391)</f>
        <v/>
      </c>
      <c r="F391" s="74">
        <f>IF(REGISTRO!B391="","",REGISTRO!F391)</f>
        <v/>
      </c>
      <c r="G391" s="74">
        <f>IF(REGISTRO!B391="","",REGISTRO!G391)</f>
        <v/>
      </c>
      <c r="H391" s="74">
        <f>IF(REGISTRO!B391="","",REGISTRO!I391)</f>
        <v/>
      </c>
      <c r="I391" s="74">
        <f>IF(REGISTRO!B391="","",REGISTRO!J391)</f>
        <v/>
      </c>
      <c r="J391" s="74">
        <f>IF(REGISTRO!B391="","",REGISTRO!K391)</f>
        <v/>
      </c>
      <c r="K391" s="74">
        <f>IF(REGISTRO!B391="","",REGISTRO!N391)</f>
        <v/>
      </c>
      <c r="L391" s="75">
        <f>IF(REGISTRO!B391="","",REGISTRO!R391)</f>
        <v/>
      </c>
      <c r="M391" s="74">
        <f>IF(REGISTRO!B391="","",REGISTRO!S391)</f>
        <v/>
      </c>
    </row>
    <row r="392">
      <c r="A392" s="74">
        <f>IF(REGISTRO!B392="","",REGISTRO!A392)</f>
        <v/>
      </c>
      <c r="B392" s="74">
        <f>IF(REGISTRO!B392="","",REGISTRO!B392)</f>
        <v/>
      </c>
      <c r="C392" s="74">
        <f>IF(REGISTRO!B392="","",REGISTRO!C392)</f>
        <v/>
      </c>
      <c r="D392" s="74">
        <f>IF(REGISTRO!B392="","",REGISTRO!D392)</f>
        <v/>
      </c>
      <c r="E392" s="74">
        <f>IF(REGISTRO!B392="","",REGISTRO!E392)</f>
        <v/>
      </c>
      <c r="F392" s="74">
        <f>IF(REGISTRO!B392="","",REGISTRO!F392)</f>
        <v/>
      </c>
      <c r="G392" s="74">
        <f>IF(REGISTRO!B392="","",REGISTRO!G392)</f>
        <v/>
      </c>
      <c r="H392" s="74">
        <f>IF(REGISTRO!B392="","",REGISTRO!I392)</f>
        <v/>
      </c>
      <c r="I392" s="74">
        <f>IF(REGISTRO!B392="","",REGISTRO!J392)</f>
        <v/>
      </c>
      <c r="J392" s="74">
        <f>IF(REGISTRO!B392="","",REGISTRO!K392)</f>
        <v/>
      </c>
      <c r="K392" s="74">
        <f>IF(REGISTRO!B392="","",REGISTRO!N392)</f>
        <v/>
      </c>
      <c r="L392" s="75">
        <f>IF(REGISTRO!B392="","",REGISTRO!R392)</f>
        <v/>
      </c>
      <c r="M392" s="74">
        <f>IF(REGISTRO!B392="","",REGISTRO!S392)</f>
        <v/>
      </c>
    </row>
    <row r="393">
      <c r="A393" s="74">
        <f>IF(REGISTRO!B393="","",REGISTRO!A393)</f>
        <v/>
      </c>
      <c r="B393" s="74">
        <f>IF(REGISTRO!B393="","",REGISTRO!B393)</f>
        <v/>
      </c>
      <c r="C393" s="74">
        <f>IF(REGISTRO!B393="","",REGISTRO!C393)</f>
        <v/>
      </c>
      <c r="D393" s="74">
        <f>IF(REGISTRO!B393="","",REGISTRO!D393)</f>
        <v/>
      </c>
      <c r="E393" s="74">
        <f>IF(REGISTRO!B393="","",REGISTRO!E393)</f>
        <v/>
      </c>
      <c r="F393" s="74">
        <f>IF(REGISTRO!B393="","",REGISTRO!F393)</f>
        <v/>
      </c>
      <c r="G393" s="74">
        <f>IF(REGISTRO!B393="","",REGISTRO!G393)</f>
        <v/>
      </c>
      <c r="H393" s="74">
        <f>IF(REGISTRO!B393="","",REGISTRO!I393)</f>
        <v/>
      </c>
      <c r="I393" s="74">
        <f>IF(REGISTRO!B393="","",REGISTRO!J393)</f>
        <v/>
      </c>
      <c r="J393" s="74">
        <f>IF(REGISTRO!B393="","",REGISTRO!K393)</f>
        <v/>
      </c>
      <c r="K393" s="74">
        <f>IF(REGISTRO!B393="","",REGISTRO!N393)</f>
        <v/>
      </c>
      <c r="L393" s="75">
        <f>IF(REGISTRO!B393="","",REGISTRO!R393)</f>
        <v/>
      </c>
      <c r="M393" s="74">
        <f>IF(REGISTRO!B393="","",REGISTRO!S393)</f>
        <v/>
      </c>
    </row>
    <row r="394">
      <c r="A394" s="74">
        <f>IF(REGISTRO!B394="","",REGISTRO!A394)</f>
        <v/>
      </c>
      <c r="B394" s="74">
        <f>IF(REGISTRO!B394="","",REGISTRO!B394)</f>
        <v/>
      </c>
      <c r="C394" s="74">
        <f>IF(REGISTRO!B394="","",REGISTRO!C394)</f>
        <v/>
      </c>
      <c r="D394" s="74">
        <f>IF(REGISTRO!B394="","",REGISTRO!D394)</f>
        <v/>
      </c>
      <c r="E394" s="74">
        <f>IF(REGISTRO!B394="","",REGISTRO!E394)</f>
        <v/>
      </c>
      <c r="F394" s="74">
        <f>IF(REGISTRO!B394="","",REGISTRO!F394)</f>
        <v/>
      </c>
      <c r="G394" s="74">
        <f>IF(REGISTRO!B394="","",REGISTRO!G394)</f>
        <v/>
      </c>
      <c r="H394" s="74">
        <f>IF(REGISTRO!B394="","",REGISTRO!I394)</f>
        <v/>
      </c>
      <c r="I394" s="74">
        <f>IF(REGISTRO!B394="","",REGISTRO!J394)</f>
        <v/>
      </c>
      <c r="J394" s="74">
        <f>IF(REGISTRO!B394="","",REGISTRO!K394)</f>
        <v/>
      </c>
      <c r="K394" s="74">
        <f>IF(REGISTRO!B394="","",REGISTRO!N394)</f>
        <v/>
      </c>
      <c r="L394" s="75">
        <f>IF(REGISTRO!B394="","",REGISTRO!R394)</f>
        <v/>
      </c>
      <c r="M394" s="74">
        <f>IF(REGISTRO!B394="","",REGISTRO!S394)</f>
        <v/>
      </c>
    </row>
    <row r="395">
      <c r="A395" s="74">
        <f>IF(REGISTRO!B395="","",REGISTRO!A395)</f>
        <v/>
      </c>
      <c r="B395" s="74">
        <f>IF(REGISTRO!B395="","",REGISTRO!B395)</f>
        <v/>
      </c>
      <c r="C395" s="74">
        <f>IF(REGISTRO!B395="","",REGISTRO!C395)</f>
        <v/>
      </c>
      <c r="D395" s="74">
        <f>IF(REGISTRO!B395="","",REGISTRO!D395)</f>
        <v/>
      </c>
      <c r="E395" s="74">
        <f>IF(REGISTRO!B395="","",REGISTRO!E395)</f>
        <v/>
      </c>
      <c r="F395" s="74">
        <f>IF(REGISTRO!B395="","",REGISTRO!F395)</f>
        <v/>
      </c>
      <c r="G395" s="74">
        <f>IF(REGISTRO!B395="","",REGISTRO!G395)</f>
        <v/>
      </c>
      <c r="H395" s="74">
        <f>IF(REGISTRO!B395="","",REGISTRO!I395)</f>
        <v/>
      </c>
      <c r="I395" s="74">
        <f>IF(REGISTRO!B395="","",REGISTRO!J395)</f>
        <v/>
      </c>
      <c r="J395" s="74">
        <f>IF(REGISTRO!B395="","",REGISTRO!K395)</f>
        <v/>
      </c>
      <c r="K395" s="74">
        <f>IF(REGISTRO!B395="","",REGISTRO!N395)</f>
        <v/>
      </c>
      <c r="L395" s="75">
        <f>IF(REGISTRO!B395="","",REGISTRO!R395)</f>
        <v/>
      </c>
      <c r="M395" s="74">
        <f>IF(REGISTRO!B395="","",REGISTRO!S395)</f>
        <v/>
      </c>
    </row>
    <row r="396">
      <c r="A396" s="74">
        <f>IF(REGISTRO!B396="","",REGISTRO!A396)</f>
        <v/>
      </c>
      <c r="B396" s="74">
        <f>IF(REGISTRO!B396="","",REGISTRO!B396)</f>
        <v/>
      </c>
      <c r="C396" s="74">
        <f>IF(REGISTRO!B396="","",REGISTRO!C396)</f>
        <v/>
      </c>
      <c r="D396" s="74">
        <f>IF(REGISTRO!B396="","",REGISTRO!D396)</f>
        <v/>
      </c>
      <c r="E396" s="74">
        <f>IF(REGISTRO!B396="","",REGISTRO!E396)</f>
        <v/>
      </c>
      <c r="F396" s="74">
        <f>IF(REGISTRO!B396="","",REGISTRO!F396)</f>
        <v/>
      </c>
      <c r="G396" s="74">
        <f>IF(REGISTRO!B396="","",REGISTRO!G396)</f>
        <v/>
      </c>
      <c r="H396" s="74">
        <f>IF(REGISTRO!B396="","",REGISTRO!I396)</f>
        <v/>
      </c>
      <c r="I396" s="74">
        <f>IF(REGISTRO!B396="","",REGISTRO!J396)</f>
        <v/>
      </c>
      <c r="J396" s="74">
        <f>IF(REGISTRO!B396="","",REGISTRO!K396)</f>
        <v/>
      </c>
      <c r="K396" s="74">
        <f>IF(REGISTRO!B396="","",REGISTRO!N396)</f>
        <v/>
      </c>
      <c r="L396" s="75">
        <f>IF(REGISTRO!B396="","",REGISTRO!R396)</f>
        <v/>
      </c>
      <c r="M396" s="74">
        <f>IF(REGISTRO!B396="","",REGISTRO!S396)</f>
        <v/>
      </c>
    </row>
    <row r="397">
      <c r="A397" s="74">
        <f>IF(REGISTRO!B397="","",REGISTRO!A397)</f>
        <v/>
      </c>
      <c r="B397" s="74">
        <f>IF(REGISTRO!B397="","",REGISTRO!B397)</f>
        <v/>
      </c>
      <c r="C397" s="74">
        <f>IF(REGISTRO!B397="","",REGISTRO!C397)</f>
        <v/>
      </c>
      <c r="D397" s="74">
        <f>IF(REGISTRO!B397="","",REGISTRO!D397)</f>
        <v/>
      </c>
      <c r="E397" s="74">
        <f>IF(REGISTRO!B397="","",REGISTRO!E397)</f>
        <v/>
      </c>
      <c r="F397" s="74">
        <f>IF(REGISTRO!B397="","",REGISTRO!F397)</f>
        <v/>
      </c>
      <c r="G397" s="74">
        <f>IF(REGISTRO!B397="","",REGISTRO!G397)</f>
        <v/>
      </c>
      <c r="H397" s="74">
        <f>IF(REGISTRO!B397="","",REGISTRO!I397)</f>
        <v/>
      </c>
      <c r="I397" s="74">
        <f>IF(REGISTRO!B397="","",REGISTRO!J397)</f>
        <v/>
      </c>
      <c r="J397" s="74">
        <f>IF(REGISTRO!B397="","",REGISTRO!K397)</f>
        <v/>
      </c>
      <c r="K397" s="74">
        <f>IF(REGISTRO!B397="","",REGISTRO!N397)</f>
        <v/>
      </c>
      <c r="L397" s="75">
        <f>IF(REGISTRO!B397="","",REGISTRO!R397)</f>
        <v/>
      </c>
      <c r="M397" s="74">
        <f>IF(REGISTRO!B397="","",REGISTRO!S397)</f>
        <v/>
      </c>
    </row>
    <row r="398">
      <c r="A398" s="74">
        <f>IF(REGISTRO!B398="","",REGISTRO!A398)</f>
        <v/>
      </c>
      <c r="B398" s="74">
        <f>IF(REGISTRO!B398="","",REGISTRO!B398)</f>
        <v/>
      </c>
      <c r="C398" s="74">
        <f>IF(REGISTRO!B398="","",REGISTRO!C398)</f>
        <v/>
      </c>
      <c r="D398" s="74">
        <f>IF(REGISTRO!B398="","",REGISTRO!D398)</f>
        <v/>
      </c>
      <c r="E398" s="74">
        <f>IF(REGISTRO!B398="","",REGISTRO!E398)</f>
        <v/>
      </c>
      <c r="F398" s="74">
        <f>IF(REGISTRO!B398="","",REGISTRO!F398)</f>
        <v/>
      </c>
      <c r="G398" s="74">
        <f>IF(REGISTRO!B398="","",REGISTRO!G398)</f>
        <v/>
      </c>
      <c r="H398" s="74">
        <f>IF(REGISTRO!B398="","",REGISTRO!I398)</f>
        <v/>
      </c>
      <c r="I398" s="74">
        <f>IF(REGISTRO!B398="","",REGISTRO!J398)</f>
        <v/>
      </c>
      <c r="J398" s="74">
        <f>IF(REGISTRO!B398="","",REGISTRO!K398)</f>
        <v/>
      </c>
      <c r="K398" s="74">
        <f>IF(REGISTRO!B398="","",REGISTRO!N398)</f>
        <v/>
      </c>
      <c r="L398" s="75">
        <f>IF(REGISTRO!B398="","",REGISTRO!R398)</f>
        <v/>
      </c>
      <c r="M398" s="74">
        <f>IF(REGISTRO!B398="","",REGISTRO!S398)</f>
        <v/>
      </c>
    </row>
    <row r="399">
      <c r="A399" s="74">
        <f>IF(REGISTRO!B399="","",REGISTRO!A399)</f>
        <v/>
      </c>
      <c r="B399" s="74">
        <f>IF(REGISTRO!B399="","",REGISTRO!B399)</f>
        <v/>
      </c>
      <c r="C399" s="74">
        <f>IF(REGISTRO!B399="","",REGISTRO!C399)</f>
        <v/>
      </c>
      <c r="D399" s="74">
        <f>IF(REGISTRO!B399="","",REGISTRO!D399)</f>
        <v/>
      </c>
      <c r="E399" s="74">
        <f>IF(REGISTRO!B399="","",REGISTRO!E399)</f>
        <v/>
      </c>
      <c r="F399" s="74">
        <f>IF(REGISTRO!B399="","",REGISTRO!F399)</f>
        <v/>
      </c>
      <c r="G399" s="74">
        <f>IF(REGISTRO!B399="","",REGISTRO!G399)</f>
        <v/>
      </c>
      <c r="H399" s="74">
        <f>IF(REGISTRO!B399="","",REGISTRO!I399)</f>
        <v/>
      </c>
      <c r="I399" s="74">
        <f>IF(REGISTRO!B399="","",REGISTRO!J399)</f>
        <v/>
      </c>
      <c r="J399" s="74">
        <f>IF(REGISTRO!B399="","",REGISTRO!K399)</f>
        <v/>
      </c>
      <c r="K399" s="74">
        <f>IF(REGISTRO!B399="","",REGISTRO!N399)</f>
        <v/>
      </c>
      <c r="L399" s="75">
        <f>IF(REGISTRO!B399="","",REGISTRO!R399)</f>
        <v/>
      </c>
      <c r="M399" s="74">
        <f>IF(REGISTRO!B399="","",REGISTRO!S399)</f>
        <v/>
      </c>
    </row>
    <row r="400">
      <c r="A400" s="74">
        <f>IF(REGISTRO!B400="","",REGISTRO!A400)</f>
        <v/>
      </c>
      <c r="B400" s="74">
        <f>IF(REGISTRO!B400="","",REGISTRO!B400)</f>
        <v/>
      </c>
      <c r="C400" s="74">
        <f>IF(REGISTRO!B400="","",REGISTRO!C400)</f>
        <v/>
      </c>
      <c r="D400" s="74">
        <f>IF(REGISTRO!B400="","",REGISTRO!D400)</f>
        <v/>
      </c>
      <c r="E400" s="74">
        <f>IF(REGISTRO!B400="","",REGISTRO!E400)</f>
        <v/>
      </c>
      <c r="F400" s="74">
        <f>IF(REGISTRO!B400="","",REGISTRO!F400)</f>
        <v/>
      </c>
      <c r="G400" s="74">
        <f>IF(REGISTRO!B400="","",REGISTRO!G400)</f>
        <v/>
      </c>
      <c r="H400" s="74">
        <f>IF(REGISTRO!B400="","",REGISTRO!I400)</f>
        <v/>
      </c>
      <c r="I400" s="74">
        <f>IF(REGISTRO!B400="","",REGISTRO!J400)</f>
        <v/>
      </c>
      <c r="J400" s="74">
        <f>IF(REGISTRO!B400="","",REGISTRO!K400)</f>
        <v/>
      </c>
      <c r="K400" s="74">
        <f>IF(REGISTRO!B400="","",REGISTRO!N400)</f>
        <v/>
      </c>
      <c r="L400" s="75">
        <f>IF(REGISTRO!B400="","",REGISTRO!R400)</f>
        <v/>
      </c>
      <c r="M400" s="74">
        <f>IF(REGISTRO!B400="","",REGISTRO!S400)</f>
        <v/>
      </c>
    </row>
    <row r="401">
      <c r="A401" s="74">
        <f>IF(REGISTRO!B401="","",REGISTRO!A401)</f>
        <v/>
      </c>
      <c r="B401" s="74">
        <f>IF(REGISTRO!B401="","",REGISTRO!B401)</f>
        <v/>
      </c>
      <c r="C401" s="74">
        <f>IF(REGISTRO!B401="","",REGISTRO!C401)</f>
        <v/>
      </c>
      <c r="D401" s="74">
        <f>IF(REGISTRO!B401="","",REGISTRO!D401)</f>
        <v/>
      </c>
      <c r="E401" s="74">
        <f>IF(REGISTRO!B401="","",REGISTRO!E401)</f>
        <v/>
      </c>
      <c r="F401" s="74">
        <f>IF(REGISTRO!B401="","",REGISTRO!F401)</f>
        <v/>
      </c>
      <c r="G401" s="74">
        <f>IF(REGISTRO!B401="","",REGISTRO!G401)</f>
        <v/>
      </c>
      <c r="H401" s="74">
        <f>IF(REGISTRO!B401="","",REGISTRO!I401)</f>
        <v/>
      </c>
      <c r="I401" s="74">
        <f>IF(REGISTRO!B401="","",REGISTRO!J401)</f>
        <v/>
      </c>
      <c r="J401" s="74">
        <f>IF(REGISTRO!B401="","",REGISTRO!K401)</f>
        <v/>
      </c>
      <c r="K401" s="74">
        <f>IF(REGISTRO!B401="","",REGISTRO!N401)</f>
        <v/>
      </c>
      <c r="L401" s="75">
        <f>IF(REGISTRO!B401="","",REGISTRO!R401)</f>
        <v/>
      </c>
      <c r="M401" s="74">
        <f>IF(REGISTRO!B401="","",REGISTRO!S401)</f>
        <v/>
      </c>
    </row>
    <row r="402">
      <c r="A402" s="74">
        <f>IF(REGISTRO!B402="","",REGISTRO!A402)</f>
        <v/>
      </c>
      <c r="B402" s="74">
        <f>IF(REGISTRO!B402="","",REGISTRO!B402)</f>
        <v/>
      </c>
      <c r="C402" s="74">
        <f>IF(REGISTRO!B402="","",REGISTRO!C402)</f>
        <v/>
      </c>
      <c r="D402" s="74">
        <f>IF(REGISTRO!B402="","",REGISTRO!D402)</f>
        <v/>
      </c>
      <c r="E402" s="74">
        <f>IF(REGISTRO!B402="","",REGISTRO!E402)</f>
        <v/>
      </c>
      <c r="F402" s="74">
        <f>IF(REGISTRO!B402="","",REGISTRO!F402)</f>
        <v/>
      </c>
      <c r="G402" s="74">
        <f>IF(REGISTRO!B402="","",REGISTRO!G402)</f>
        <v/>
      </c>
      <c r="H402" s="74">
        <f>IF(REGISTRO!B402="","",REGISTRO!I402)</f>
        <v/>
      </c>
      <c r="I402" s="74">
        <f>IF(REGISTRO!B402="","",REGISTRO!J402)</f>
        <v/>
      </c>
      <c r="J402" s="74">
        <f>IF(REGISTRO!B402="","",REGISTRO!K402)</f>
        <v/>
      </c>
      <c r="K402" s="74">
        <f>IF(REGISTRO!B402="","",REGISTRO!N402)</f>
        <v/>
      </c>
      <c r="L402" s="75">
        <f>IF(REGISTRO!B402="","",REGISTRO!R402)</f>
        <v/>
      </c>
      <c r="M402" s="74">
        <f>IF(REGISTRO!B402="","",REGISTRO!S402)</f>
        <v/>
      </c>
    </row>
    <row r="403">
      <c r="A403" s="74">
        <f>IF(REGISTRO!B403="","",REGISTRO!A403)</f>
        <v/>
      </c>
      <c r="B403" s="74">
        <f>IF(REGISTRO!B403="","",REGISTRO!B403)</f>
        <v/>
      </c>
      <c r="C403" s="74">
        <f>IF(REGISTRO!B403="","",REGISTRO!C403)</f>
        <v/>
      </c>
      <c r="D403" s="74">
        <f>IF(REGISTRO!B403="","",REGISTRO!D403)</f>
        <v/>
      </c>
      <c r="E403" s="74">
        <f>IF(REGISTRO!B403="","",REGISTRO!E403)</f>
        <v/>
      </c>
      <c r="F403" s="74">
        <f>IF(REGISTRO!B403="","",REGISTRO!F403)</f>
        <v/>
      </c>
      <c r="G403" s="74">
        <f>IF(REGISTRO!B403="","",REGISTRO!G403)</f>
        <v/>
      </c>
      <c r="H403" s="74">
        <f>IF(REGISTRO!B403="","",REGISTRO!I403)</f>
        <v/>
      </c>
      <c r="I403" s="74">
        <f>IF(REGISTRO!B403="","",REGISTRO!J403)</f>
        <v/>
      </c>
      <c r="J403" s="74">
        <f>IF(REGISTRO!B403="","",REGISTRO!K403)</f>
        <v/>
      </c>
      <c r="K403" s="74">
        <f>IF(REGISTRO!B403="","",REGISTRO!N403)</f>
        <v/>
      </c>
      <c r="L403" s="75">
        <f>IF(REGISTRO!B403="","",REGISTRO!R403)</f>
        <v/>
      </c>
      <c r="M403" s="74">
        <f>IF(REGISTRO!B403="","",REGISTRO!S403)</f>
        <v/>
      </c>
    </row>
    <row r="404">
      <c r="A404" s="74">
        <f>IF(REGISTRO!B404="","",REGISTRO!A404)</f>
        <v/>
      </c>
      <c r="B404" s="74">
        <f>IF(REGISTRO!B404="","",REGISTRO!B404)</f>
        <v/>
      </c>
      <c r="C404" s="74">
        <f>IF(REGISTRO!B404="","",REGISTRO!C404)</f>
        <v/>
      </c>
      <c r="D404" s="74">
        <f>IF(REGISTRO!B404="","",REGISTRO!D404)</f>
        <v/>
      </c>
      <c r="E404" s="74">
        <f>IF(REGISTRO!B404="","",REGISTRO!E404)</f>
        <v/>
      </c>
      <c r="F404" s="74">
        <f>IF(REGISTRO!B404="","",REGISTRO!F404)</f>
        <v/>
      </c>
      <c r="G404" s="74">
        <f>IF(REGISTRO!B404="","",REGISTRO!G404)</f>
        <v/>
      </c>
      <c r="H404" s="74">
        <f>IF(REGISTRO!B404="","",REGISTRO!I404)</f>
        <v/>
      </c>
      <c r="I404" s="74">
        <f>IF(REGISTRO!B404="","",REGISTRO!J404)</f>
        <v/>
      </c>
      <c r="J404" s="74">
        <f>IF(REGISTRO!B404="","",REGISTRO!K404)</f>
        <v/>
      </c>
      <c r="K404" s="74">
        <f>IF(REGISTRO!B404="","",REGISTRO!N404)</f>
        <v/>
      </c>
      <c r="L404" s="75">
        <f>IF(REGISTRO!B404="","",REGISTRO!R404)</f>
        <v/>
      </c>
      <c r="M404" s="74">
        <f>IF(REGISTRO!B404="","",REGISTRO!S404)</f>
        <v/>
      </c>
    </row>
    <row r="405">
      <c r="A405" s="74">
        <f>IF(REGISTRO!B405="","",REGISTRO!A405)</f>
        <v/>
      </c>
      <c r="B405" s="74">
        <f>IF(REGISTRO!B405="","",REGISTRO!B405)</f>
        <v/>
      </c>
      <c r="C405" s="74">
        <f>IF(REGISTRO!B405="","",REGISTRO!C405)</f>
        <v/>
      </c>
      <c r="D405" s="74">
        <f>IF(REGISTRO!B405="","",REGISTRO!D405)</f>
        <v/>
      </c>
      <c r="E405" s="74">
        <f>IF(REGISTRO!B405="","",REGISTRO!E405)</f>
        <v/>
      </c>
      <c r="F405" s="74">
        <f>IF(REGISTRO!B405="","",REGISTRO!F405)</f>
        <v/>
      </c>
      <c r="G405" s="74">
        <f>IF(REGISTRO!B405="","",REGISTRO!G405)</f>
        <v/>
      </c>
      <c r="H405" s="74">
        <f>IF(REGISTRO!B405="","",REGISTRO!I405)</f>
        <v/>
      </c>
      <c r="I405" s="74">
        <f>IF(REGISTRO!B405="","",REGISTRO!J405)</f>
        <v/>
      </c>
      <c r="J405" s="74">
        <f>IF(REGISTRO!B405="","",REGISTRO!K405)</f>
        <v/>
      </c>
      <c r="K405" s="74">
        <f>IF(REGISTRO!B405="","",REGISTRO!N405)</f>
        <v/>
      </c>
      <c r="L405" s="75">
        <f>IF(REGISTRO!B405="","",REGISTRO!R405)</f>
        <v/>
      </c>
      <c r="M405" s="74">
        <f>IF(REGISTRO!B405="","",REGISTRO!S405)</f>
        <v/>
      </c>
    </row>
    <row r="406">
      <c r="A406" s="74">
        <f>IF(REGISTRO!B406="","",REGISTRO!A406)</f>
        <v/>
      </c>
      <c r="B406" s="74">
        <f>IF(REGISTRO!B406="","",REGISTRO!B406)</f>
        <v/>
      </c>
      <c r="C406" s="74">
        <f>IF(REGISTRO!B406="","",REGISTRO!C406)</f>
        <v/>
      </c>
      <c r="D406" s="74">
        <f>IF(REGISTRO!B406="","",REGISTRO!D406)</f>
        <v/>
      </c>
      <c r="E406" s="74">
        <f>IF(REGISTRO!B406="","",REGISTRO!E406)</f>
        <v/>
      </c>
      <c r="F406" s="74">
        <f>IF(REGISTRO!B406="","",REGISTRO!F406)</f>
        <v/>
      </c>
      <c r="G406" s="74">
        <f>IF(REGISTRO!B406="","",REGISTRO!G406)</f>
        <v/>
      </c>
      <c r="H406" s="74">
        <f>IF(REGISTRO!B406="","",REGISTRO!I406)</f>
        <v/>
      </c>
      <c r="I406" s="74">
        <f>IF(REGISTRO!B406="","",REGISTRO!J406)</f>
        <v/>
      </c>
      <c r="J406" s="74">
        <f>IF(REGISTRO!B406="","",REGISTRO!K406)</f>
        <v/>
      </c>
      <c r="K406" s="74">
        <f>IF(REGISTRO!B406="","",REGISTRO!N406)</f>
        <v/>
      </c>
      <c r="L406" s="75">
        <f>IF(REGISTRO!B406="","",REGISTRO!R406)</f>
        <v/>
      </c>
      <c r="M406" s="74">
        <f>IF(REGISTRO!B406="","",REGISTRO!S406)</f>
        <v/>
      </c>
    </row>
    <row r="407">
      <c r="A407" s="74">
        <f>IF(REGISTRO!B407="","",REGISTRO!A407)</f>
        <v/>
      </c>
      <c r="B407" s="74">
        <f>IF(REGISTRO!B407="","",REGISTRO!B407)</f>
        <v/>
      </c>
      <c r="C407" s="74">
        <f>IF(REGISTRO!B407="","",REGISTRO!C407)</f>
        <v/>
      </c>
      <c r="D407" s="74">
        <f>IF(REGISTRO!B407="","",REGISTRO!D407)</f>
        <v/>
      </c>
      <c r="E407" s="74">
        <f>IF(REGISTRO!B407="","",REGISTRO!E407)</f>
        <v/>
      </c>
      <c r="F407" s="74">
        <f>IF(REGISTRO!B407="","",REGISTRO!F407)</f>
        <v/>
      </c>
      <c r="G407" s="74">
        <f>IF(REGISTRO!B407="","",REGISTRO!G407)</f>
        <v/>
      </c>
      <c r="H407" s="74">
        <f>IF(REGISTRO!B407="","",REGISTRO!I407)</f>
        <v/>
      </c>
      <c r="I407" s="74">
        <f>IF(REGISTRO!B407="","",REGISTRO!J407)</f>
        <v/>
      </c>
      <c r="J407" s="74">
        <f>IF(REGISTRO!B407="","",REGISTRO!K407)</f>
        <v/>
      </c>
      <c r="K407" s="74">
        <f>IF(REGISTRO!B407="","",REGISTRO!N407)</f>
        <v/>
      </c>
      <c r="L407" s="75">
        <f>IF(REGISTRO!B407="","",REGISTRO!R407)</f>
        <v/>
      </c>
      <c r="M407" s="74">
        <f>IF(REGISTRO!B407="","",REGISTRO!S407)</f>
        <v/>
      </c>
    </row>
    <row r="408">
      <c r="A408" s="74">
        <f>IF(REGISTRO!B408="","",REGISTRO!A408)</f>
        <v/>
      </c>
      <c r="B408" s="74">
        <f>IF(REGISTRO!B408="","",REGISTRO!B408)</f>
        <v/>
      </c>
      <c r="C408" s="74">
        <f>IF(REGISTRO!B408="","",REGISTRO!C408)</f>
        <v/>
      </c>
      <c r="D408" s="74">
        <f>IF(REGISTRO!B408="","",REGISTRO!D408)</f>
        <v/>
      </c>
      <c r="E408" s="74">
        <f>IF(REGISTRO!B408="","",REGISTRO!E408)</f>
        <v/>
      </c>
      <c r="F408" s="74">
        <f>IF(REGISTRO!B408="","",REGISTRO!F408)</f>
        <v/>
      </c>
      <c r="G408" s="74">
        <f>IF(REGISTRO!B408="","",REGISTRO!G408)</f>
        <v/>
      </c>
      <c r="H408" s="74">
        <f>IF(REGISTRO!B408="","",REGISTRO!I408)</f>
        <v/>
      </c>
      <c r="I408" s="74">
        <f>IF(REGISTRO!B408="","",REGISTRO!J408)</f>
        <v/>
      </c>
      <c r="J408" s="74">
        <f>IF(REGISTRO!B408="","",REGISTRO!K408)</f>
        <v/>
      </c>
      <c r="K408" s="74">
        <f>IF(REGISTRO!B408="","",REGISTRO!N408)</f>
        <v/>
      </c>
      <c r="L408" s="75">
        <f>IF(REGISTRO!B408="","",REGISTRO!R408)</f>
        <v/>
      </c>
      <c r="M408" s="74">
        <f>IF(REGISTRO!B408="","",REGISTRO!S408)</f>
        <v/>
      </c>
    </row>
    <row r="409">
      <c r="A409" s="74">
        <f>IF(REGISTRO!B409="","",REGISTRO!A409)</f>
        <v/>
      </c>
      <c r="B409" s="74">
        <f>IF(REGISTRO!B409="","",REGISTRO!B409)</f>
        <v/>
      </c>
      <c r="C409" s="74">
        <f>IF(REGISTRO!B409="","",REGISTRO!C409)</f>
        <v/>
      </c>
      <c r="D409" s="74">
        <f>IF(REGISTRO!B409="","",REGISTRO!D409)</f>
        <v/>
      </c>
      <c r="E409" s="74">
        <f>IF(REGISTRO!B409="","",REGISTRO!E409)</f>
        <v/>
      </c>
      <c r="F409" s="74">
        <f>IF(REGISTRO!B409="","",REGISTRO!F409)</f>
        <v/>
      </c>
      <c r="G409" s="74">
        <f>IF(REGISTRO!B409="","",REGISTRO!G409)</f>
        <v/>
      </c>
      <c r="H409" s="74">
        <f>IF(REGISTRO!B409="","",REGISTRO!I409)</f>
        <v/>
      </c>
      <c r="I409" s="74">
        <f>IF(REGISTRO!B409="","",REGISTRO!J409)</f>
        <v/>
      </c>
      <c r="J409" s="74">
        <f>IF(REGISTRO!B409="","",REGISTRO!K409)</f>
        <v/>
      </c>
      <c r="K409" s="74">
        <f>IF(REGISTRO!B409="","",REGISTRO!N409)</f>
        <v/>
      </c>
      <c r="L409" s="75">
        <f>IF(REGISTRO!B409="","",REGISTRO!R409)</f>
        <v/>
      </c>
      <c r="M409" s="74">
        <f>IF(REGISTRO!B409="","",REGISTRO!S409)</f>
        <v/>
      </c>
    </row>
    <row r="410">
      <c r="A410" s="74">
        <f>IF(REGISTRO!B410="","",REGISTRO!A410)</f>
        <v/>
      </c>
      <c r="B410" s="74">
        <f>IF(REGISTRO!B410="","",REGISTRO!B410)</f>
        <v/>
      </c>
      <c r="C410" s="74">
        <f>IF(REGISTRO!B410="","",REGISTRO!C410)</f>
        <v/>
      </c>
      <c r="D410" s="74">
        <f>IF(REGISTRO!B410="","",REGISTRO!D410)</f>
        <v/>
      </c>
      <c r="E410" s="74">
        <f>IF(REGISTRO!B410="","",REGISTRO!E410)</f>
        <v/>
      </c>
      <c r="F410" s="74">
        <f>IF(REGISTRO!B410="","",REGISTRO!F410)</f>
        <v/>
      </c>
      <c r="G410" s="74">
        <f>IF(REGISTRO!B410="","",REGISTRO!G410)</f>
        <v/>
      </c>
      <c r="H410" s="74">
        <f>IF(REGISTRO!B410="","",REGISTRO!I410)</f>
        <v/>
      </c>
      <c r="I410" s="74">
        <f>IF(REGISTRO!B410="","",REGISTRO!J410)</f>
        <v/>
      </c>
      <c r="J410" s="74">
        <f>IF(REGISTRO!B410="","",REGISTRO!K410)</f>
        <v/>
      </c>
      <c r="K410" s="74">
        <f>IF(REGISTRO!B410="","",REGISTRO!N410)</f>
        <v/>
      </c>
      <c r="L410" s="75">
        <f>IF(REGISTRO!B410="","",REGISTRO!R410)</f>
        <v/>
      </c>
      <c r="M410" s="74">
        <f>IF(REGISTRO!B410="","",REGISTRO!S410)</f>
        <v/>
      </c>
    </row>
    <row r="411">
      <c r="A411" s="74">
        <f>IF(REGISTRO!B411="","",REGISTRO!A411)</f>
        <v/>
      </c>
      <c r="B411" s="74">
        <f>IF(REGISTRO!B411="","",REGISTRO!B411)</f>
        <v/>
      </c>
      <c r="C411" s="74">
        <f>IF(REGISTRO!B411="","",REGISTRO!C411)</f>
        <v/>
      </c>
      <c r="D411" s="74">
        <f>IF(REGISTRO!B411="","",REGISTRO!D411)</f>
        <v/>
      </c>
      <c r="E411" s="74">
        <f>IF(REGISTRO!B411="","",REGISTRO!E411)</f>
        <v/>
      </c>
      <c r="F411" s="74">
        <f>IF(REGISTRO!B411="","",REGISTRO!F411)</f>
        <v/>
      </c>
      <c r="G411" s="74">
        <f>IF(REGISTRO!B411="","",REGISTRO!G411)</f>
        <v/>
      </c>
      <c r="H411" s="74">
        <f>IF(REGISTRO!B411="","",REGISTRO!I411)</f>
        <v/>
      </c>
      <c r="I411" s="74">
        <f>IF(REGISTRO!B411="","",REGISTRO!J411)</f>
        <v/>
      </c>
      <c r="J411" s="74">
        <f>IF(REGISTRO!B411="","",REGISTRO!K411)</f>
        <v/>
      </c>
      <c r="K411" s="74">
        <f>IF(REGISTRO!B411="","",REGISTRO!N411)</f>
        <v/>
      </c>
      <c r="L411" s="75">
        <f>IF(REGISTRO!B411="","",REGISTRO!R411)</f>
        <v/>
      </c>
      <c r="M411" s="74">
        <f>IF(REGISTRO!B411="","",REGISTRO!S411)</f>
        <v/>
      </c>
    </row>
    <row r="412">
      <c r="A412" s="74">
        <f>IF(REGISTRO!B412="","",REGISTRO!A412)</f>
        <v/>
      </c>
      <c r="B412" s="74">
        <f>IF(REGISTRO!B412="","",REGISTRO!B412)</f>
        <v/>
      </c>
      <c r="C412" s="74">
        <f>IF(REGISTRO!B412="","",REGISTRO!C412)</f>
        <v/>
      </c>
      <c r="D412" s="74">
        <f>IF(REGISTRO!B412="","",REGISTRO!D412)</f>
        <v/>
      </c>
      <c r="E412" s="74">
        <f>IF(REGISTRO!B412="","",REGISTRO!E412)</f>
        <v/>
      </c>
      <c r="F412" s="74">
        <f>IF(REGISTRO!B412="","",REGISTRO!F412)</f>
        <v/>
      </c>
      <c r="G412" s="74">
        <f>IF(REGISTRO!B412="","",REGISTRO!G412)</f>
        <v/>
      </c>
      <c r="H412" s="74">
        <f>IF(REGISTRO!B412="","",REGISTRO!I412)</f>
        <v/>
      </c>
      <c r="I412" s="74">
        <f>IF(REGISTRO!B412="","",REGISTRO!J412)</f>
        <v/>
      </c>
      <c r="J412" s="74">
        <f>IF(REGISTRO!B412="","",REGISTRO!K412)</f>
        <v/>
      </c>
      <c r="K412" s="74">
        <f>IF(REGISTRO!B412="","",REGISTRO!N412)</f>
        <v/>
      </c>
      <c r="L412" s="75">
        <f>IF(REGISTRO!B412="","",REGISTRO!R412)</f>
        <v/>
      </c>
      <c r="M412" s="74">
        <f>IF(REGISTRO!B412="","",REGISTRO!S412)</f>
        <v/>
      </c>
    </row>
    <row r="413">
      <c r="A413" s="74">
        <f>IF(REGISTRO!B413="","",REGISTRO!A413)</f>
        <v/>
      </c>
      <c r="B413" s="74">
        <f>IF(REGISTRO!B413="","",REGISTRO!B413)</f>
        <v/>
      </c>
      <c r="C413" s="74">
        <f>IF(REGISTRO!B413="","",REGISTRO!C413)</f>
        <v/>
      </c>
      <c r="D413" s="74">
        <f>IF(REGISTRO!B413="","",REGISTRO!D413)</f>
        <v/>
      </c>
      <c r="E413" s="74">
        <f>IF(REGISTRO!B413="","",REGISTRO!E413)</f>
        <v/>
      </c>
      <c r="F413" s="74">
        <f>IF(REGISTRO!B413="","",REGISTRO!F413)</f>
        <v/>
      </c>
      <c r="G413" s="74">
        <f>IF(REGISTRO!B413="","",REGISTRO!G413)</f>
        <v/>
      </c>
      <c r="H413" s="74">
        <f>IF(REGISTRO!B413="","",REGISTRO!I413)</f>
        <v/>
      </c>
      <c r="I413" s="74">
        <f>IF(REGISTRO!B413="","",REGISTRO!J413)</f>
        <v/>
      </c>
      <c r="J413" s="74">
        <f>IF(REGISTRO!B413="","",REGISTRO!K413)</f>
        <v/>
      </c>
      <c r="K413" s="74">
        <f>IF(REGISTRO!B413="","",REGISTRO!N413)</f>
        <v/>
      </c>
      <c r="L413" s="75">
        <f>IF(REGISTRO!B413="","",REGISTRO!R413)</f>
        <v/>
      </c>
      <c r="M413" s="74">
        <f>IF(REGISTRO!B413="","",REGISTRO!S413)</f>
        <v/>
      </c>
    </row>
    <row r="414">
      <c r="A414" s="74">
        <f>IF(REGISTRO!B414="","",REGISTRO!A414)</f>
        <v/>
      </c>
      <c r="B414" s="74">
        <f>IF(REGISTRO!B414="","",REGISTRO!B414)</f>
        <v/>
      </c>
      <c r="C414" s="74">
        <f>IF(REGISTRO!B414="","",REGISTRO!C414)</f>
        <v/>
      </c>
      <c r="D414" s="74">
        <f>IF(REGISTRO!B414="","",REGISTRO!D414)</f>
        <v/>
      </c>
      <c r="E414" s="74">
        <f>IF(REGISTRO!B414="","",REGISTRO!E414)</f>
        <v/>
      </c>
      <c r="F414" s="74">
        <f>IF(REGISTRO!B414="","",REGISTRO!F414)</f>
        <v/>
      </c>
      <c r="G414" s="74">
        <f>IF(REGISTRO!B414="","",REGISTRO!G414)</f>
        <v/>
      </c>
      <c r="H414" s="74">
        <f>IF(REGISTRO!B414="","",REGISTRO!I414)</f>
        <v/>
      </c>
      <c r="I414" s="74">
        <f>IF(REGISTRO!B414="","",REGISTRO!J414)</f>
        <v/>
      </c>
      <c r="J414" s="74">
        <f>IF(REGISTRO!B414="","",REGISTRO!K414)</f>
        <v/>
      </c>
      <c r="K414" s="74">
        <f>IF(REGISTRO!B414="","",REGISTRO!N414)</f>
        <v/>
      </c>
      <c r="L414" s="75">
        <f>IF(REGISTRO!B414="","",REGISTRO!R414)</f>
        <v/>
      </c>
      <c r="M414" s="74">
        <f>IF(REGISTRO!B414="","",REGISTRO!S414)</f>
        <v/>
      </c>
    </row>
    <row r="415">
      <c r="A415" s="74">
        <f>IF(REGISTRO!B415="","",REGISTRO!A415)</f>
        <v/>
      </c>
      <c r="B415" s="74">
        <f>IF(REGISTRO!B415="","",REGISTRO!B415)</f>
        <v/>
      </c>
      <c r="C415" s="74">
        <f>IF(REGISTRO!B415="","",REGISTRO!C415)</f>
        <v/>
      </c>
      <c r="D415" s="74">
        <f>IF(REGISTRO!B415="","",REGISTRO!D415)</f>
        <v/>
      </c>
      <c r="E415" s="74">
        <f>IF(REGISTRO!B415="","",REGISTRO!E415)</f>
        <v/>
      </c>
      <c r="F415" s="74">
        <f>IF(REGISTRO!B415="","",REGISTRO!F415)</f>
        <v/>
      </c>
      <c r="G415" s="74">
        <f>IF(REGISTRO!B415="","",REGISTRO!G415)</f>
        <v/>
      </c>
      <c r="H415" s="74">
        <f>IF(REGISTRO!B415="","",REGISTRO!I415)</f>
        <v/>
      </c>
      <c r="I415" s="74">
        <f>IF(REGISTRO!B415="","",REGISTRO!J415)</f>
        <v/>
      </c>
      <c r="J415" s="74">
        <f>IF(REGISTRO!B415="","",REGISTRO!K415)</f>
        <v/>
      </c>
      <c r="K415" s="74">
        <f>IF(REGISTRO!B415="","",REGISTRO!N415)</f>
        <v/>
      </c>
      <c r="L415" s="75">
        <f>IF(REGISTRO!B415="","",REGISTRO!R415)</f>
        <v/>
      </c>
      <c r="M415" s="74">
        <f>IF(REGISTRO!B415="","",REGISTRO!S415)</f>
        <v/>
      </c>
    </row>
    <row r="416">
      <c r="A416" s="74">
        <f>IF(REGISTRO!B416="","",REGISTRO!A416)</f>
        <v/>
      </c>
      <c r="B416" s="74">
        <f>IF(REGISTRO!B416="","",REGISTRO!B416)</f>
        <v/>
      </c>
      <c r="C416" s="74">
        <f>IF(REGISTRO!B416="","",REGISTRO!C416)</f>
        <v/>
      </c>
      <c r="D416" s="74">
        <f>IF(REGISTRO!B416="","",REGISTRO!D416)</f>
        <v/>
      </c>
      <c r="E416" s="74">
        <f>IF(REGISTRO!B416="","",REGISTRO!E416)</f>
        <v/>
      </c>
      <c r="F416" s="74">
        <f>IF(REGISTRO!B416="","",REGISTRO!F416)</f>
        <v/>
      </c>
      <c r="G416" s="74">
        <f>IF(REGISTRO!B416="","",REGISTRO!G416)</f>
        <v/>
      </c>
      <c r="H416" s="74">
        <f>IF(REGISTRO!B416="","",REGISTRO!I416)</f>
        <v/>
      </c>
      <c r="I416" s="74">
        <f>IF(REGISTRO!B416="","",REGISTRO!J416)</f>
        <v/>
      </c>
      <c r="J416" s="74">
        <f>IF(REGISTRO!B416="","",REGISTRO!K416)</f>
        <v/>
      </c>
      <c r="K416" s="74">
        <f>IF(REGISTRO!B416="","",REGISTRO!N416)</f>
        <v/>
      </c>
      <c r="L416" s="75">
        <f>IF(REGISTRO!B416="","",REGISTRO!R416)</f>
        <v/>
      </c>
      <c r="M416" s="74">
        <f>IF(REGISTRO!B416="","",REGISTRO!S416)</f>
        <v/>
      </c>
    </row>
    <row r="417">
      <c r="A417" s="74">
        <f>IF(REGISTRO!B417="","",REGISTRO!A417)</f>
        <v/>
      </c>
      <c r="B417" s="74">
        <f>IF(REGISTRO!B417="","",REGISTRO!B417)</f>
        <v/>
      </c>
      <c r="C417" s="74">
        <f>IF(REGISTRO!B417="","",REGISTRO!C417)</f>
        <v/>
      </c>
      <c r="D417" s="74">
        <f>IF(REGISTRO!B417="","",REGISTRO!D417)</f>
        <v/>
      </c>
      <c r="E417" s="74">
        <f>IF(REGISTRO!B417="","",REGISTRO!E417)</f>
        <v/>
      </c>
      <c r="F417" s="74">
        <f>IF(REGISTRO!B417="","",REGISTRO!F417)</f>
        <v/>
      </c>
      <c r="G417" s="74">
        <f>IF(REGISTRO!B417="","",REGISTRO!G417)</f>
        <v/>
      </c>
      <c r="H417" s="74">
        <f>IF(REGISTRO!B417="","",REGISTRO!I417)</f>
        <v/>
      </c>
      <c r="I417" s="74">
        <f>IF(REGISTRO!B417="","",REGISTRO!J417)</f>
        <v/>
      </c>
      <c r="J417" s="74">
        <f>IF(REGISTRO!B417="","",REGISTRO!K417)</f>
        <v/>
      </c>
      <c r="K417" s="74">
        <f>IF(REGISTRO!B417="","",REGISTRO!N417)</f>
        <v/>
      </c>
      <c r="L417" s="75">
        <f>IF(REGISTRO!B417="","",REGISTRO!R417)</f>
        <v/>
      </c>
      <c r="M417" s="74">
        <f>IF(REGISTRO!B417="","",REGISTRO!S417)</f>
        <v/>
      </c>
    </row>
    <row r="418">
      <c r="A418" s="74">
        <f>IF(REGISTRO!B418="","",REGISTRO!A418)</f>
        <v/>
      </c>
      <c r="B418" s="74">
        <f>IF(REGISTRO!B418="","",REGISTRO!B418)</f>
        <v/>
      </c>
      <c r="C418" s="74">
        <f>IF(REGISTRO!B418="","",REGISTRO!C418)</f>
        <v/>
      </c>
      <c r="D418" s="74">
        <f>IF(REGISTRO!B418="","",REGISTRO!D418)</f>
        <v/>
      </c>
      <c r="E418" s="74">
        <f>IF(REGISTRO!B418="","",REGISTRO!E418)</f>
        <v/>
      </c>
      <c r="F418" s="74">
        <f>IF(REGISTRO!B418="","",REGISTRO!F418)</f>
        <v/>
      </c>
      <c r="G418" s="74">
        <f>IF(REGISTRO!B418="","",REGISTRO!G418)</f>
        <v/>
      </c>
      <c r="H418" s="74">
        <f>IF(REGISTRO!B418="","",REGISTRO!I418)</f>
        <v/>
      </c>
      <c r="I418" s="74">
        <f>IF(REGISTRO!B418="","",REGISTRO!J418)</f>
        <v/>
      </c>
      <c r="J418" s="74">
        <f>IF(REGISTRO!B418="","",REGISTRO!K418)</f>
        <v/>
      </c>
      <c r="K418" s="74">
        <f>IF(REGISTRO!B418="","",REGISTRO!N418)</f>
        <v/>
      </c>
      <c r="L418" s="75">
        <f>IF(REGISTRO!B418="","",REGISTRO!R418)</f>
        <v/>
      </c>
      <c r="M418" s="74">
        <f>IF(REGISTRO!B418="","",REGISTRO!S418)</f>
        <v/>
      </c>
    </row>
    <row r="419">
      <c r="A419" s="74">
        <f>IF(REGISTRO!B419="","",REGISTRO!A419)</f>
        <v/>
      </c>
      <c r="B419" s="74">
        <f>IF(REGISTRO!B419="","",REGISTRO!B419)</f>
        <v/>
      </c>
      <c r="C419" s="74">
        <f>IF(REGISTRO!B419="","",REGISTRO!C419)</f>
        <v/>
      </c>
      <c r="D419" s="74">
        <f>IF(REGISTRO!B419="","",REGISTRO!D419)</f>
        <v/>
      </c>
      <c r="E419" s="74">
        <f>IF(REGISTRO!B419="","",REGISTRO!E419)</f>
        <v/>
      </c>
      <c r="F419" s="74">
        <f>IF(REGISTRO!B419="","",REGISTRO!F419)</f>
        <v/>
      </c>
      <c r="G419" s="74">
        <f>IF(REGISTRO!B419="","",REGISTRO!G419)</f>
        <v/>
      </c>
      <c r="H419" s="74">
        <f>IF(REGISTRO!B419="","",REGISTRO!I419)</f>
        <v/>
      </c>
      <c r="I419" s="74">
        <f>IF(REGISTRO!B419="","",REGISTRO!J419)</f>
        <v/>
      </c>
      <c r="J419" s="74">
        <f>IF(REGISTRO!B419="","",REGISTRO!K419)</f>
        <v/>
      </c>
      <c r="K419" s="74">
        <f>IF(REGISTRO!B419="","",REGISTRO!N419)</f>
        <v/>
      </c>
      <c r="L419" s="75">
        <f>IF(REGISTRO!B419="","",REGISTRO!R419)</f>
        <v/>
      </c>
      <c r="M419" s="74">
        <f>IF(REGISTRO!B419="","",REGISTRO!S419)</f>
        <v/>
      </c>
    </row>
    <row r="420">
      <c r="A420" s="74">
        <f>IF(REGISTRO!B420="","",REGISTRO!A420)</f>
        <v/>
      </c>
      <c r="B420" s="74">
        <f>IF(REGISTRO!B420="","",REGISTRO!B420)</f>
        <v/>
      </c>
      <c r="C420" s="74">
        <f>IF(REGISTRO!B420="","",REGISTRO!C420)</f>
        <v/>
      </c>
      <c r="D420" s="74">
        <f>IF(REGISTRO!B420="","",REGISTRO!D420)</f>
        <v/>
      </c>
      <c r="E420" s="74">
        <f>IF(REGISTRO!B420="","",REGISTRO!E420)</f>
        <v/>
      </c>
      <c r="F420" s="74">
        <f>IF(REGISTRO!B420="","",REGISTRO!F420)</f>
        <v/>
      </c>
      <c r="G420" s="74">
        <f>IF(REGISTRO!B420="","",REGISTRO!G420)</f>
        <v/>
      </c>
      <c r="H420" s="74">
        <f>IF(REGISTRO!B420="","",REGISTRO!I420)</f>
        <v/>
      </c>
      <c r="I420" s="74">
        <f>IF(REGISTRO!B420="","",REGISTRO!J420)</f>
        <v/>
      </c>
      <c r="J420" s="74">
        <f>IF(REGISTRO!B420="","",REGISTRO!K420)</f>
        <v/>
      </c>
      <c r="K420" s="74">
        <f>IF(REGISTRO!B420="","",REGISTRO!N420)</f>
        <v/>
      </c>
      <c r="L420" s="75">
        <f>IF(REGISTRO!B420="","",REGISTRO!R420)</f>
        <v/>
      </c>
      <c r="M420" s="74">
        <f>IF(REGISTRO!B420="","",REGISTRO!S420)</f>
        <v/>
      </c>
    </row>
    <row r="421">
      <c r="A421" s="74">
        <f>IF(REGISTRO!B421="","",REGISTRO!A421)</f>
        <v/>
      </c>
      <c r="B421" s="74">
        <f>IF(REGISTRO!B421="","",REGISTRO!B421)</f>
        <v/>
      </c>
      <c r="C421" s="74">
        <f>IF(REGISTRO!B421="","",REGISTRO!C421)</f>
        <v/>
      </c>
      <c r="D421" s="74">
        <f>IF(REGISTRO!B421="","",REGISTRO!D421)</f>
        <v/>
      </c>
      <c r="E421" s="74">
        <f>IF(REGISTRO!B421="","",REGISTRO!E421)</f>
        <v/>
      </c>
      <c r="F421" s="74">
        <f>IF(REGISTRO!B421="","",REGISTRO!F421)</f>
        <v/>
      </c>
      <c r="G421" s="74">
        <f>IF(REGISTRO!B421="","",REGISTRO!G421)</f>
        <v/>
      </c>
      <c r="H421" s="74">
        <f>IF(REGISTRO!B421="","",REGISTRO!I421)</f>
        <v/>
      </c>
      <c r="I421" s="74">
        <f>IF(REGISTRO!B421="","",REGISTRO!J421)</f>
        <v/>
      </c>
      <c r="J421" s="74">
        <f>IF(REGISTRO!B421="","",REGISTRO!K421)</f>
        <v/>
      </c>
      <c r="K421" s="74">
        <f>IF(REGISTRO!B421="","",REGISTRO!N421)</f>
        <v/>
      </c>
      <c r="L421" s="75">
        <f>IF(REGISTRO!B421="","",REGISTRO!R421)</f>
        <v/>
      </c>
      <c r="M421" s="74">
        <f>IF(REGISTRO!B421="","",REGISTRO!S421)</f>
        <v/>
      </c>
    </row>
    <row r="422">
      <c r="A422" s="74">
        <f>IF(REGISTRO!B422="","",REGISTRO!A422)</f>
        <v/>
      </c>
      <c r="B422" s="74">
        <f>IF(REGISTRO!B422="","",REGISTRO!B422)</f>
        <v/>
      </c>
      <c r="C422" s="74">
        <f>IF(REGISTRO!B422="","",REGISTRO!C422)</f>
        <v/>
      </c>
      <c r="D422" s="74">
        <f>IF(REGISTRO!B422="","",REGISTRO!D422)</f>
        <v/>
      </c>
      <c r="E422" s="74">
        <f>IF(REGISTRO!B422="","",REGISTRO!E422)</f>
        <v/>
      </c>
      <c r="F422" s="74">
        <f>IF(REGISTRO!B422="","",REGISTRO!F422)</f>
        <v/>
      </c>
      <c r="G422" s="74">
        <f>IF(REGISTRO!B422="","",REGISTRO!G422)</f>
        <v/>
      </c>
      <c r="H422" s="74">
        <f>IF(REGISTRO!B422="","",REGISTRO!I422)</f>
        <v/>
      </c>
      <c r="I422" s="74">
        <f>IF(REGISTRO!B422="","",REGISTRO!J422)</f>
        <v/>
      </c>
      <c r="J422" s="74">
        <f>IF(REGISTRO!B422="","",REGISTRO!K422)</f>
        <v/>
      </c>
      <c r="K422" s="74">
        <f>IF(REGISTRO!B422="","",REGISTRO!N422)</f>
        <v/>
      </c>
      <c r="L422" s="75">
        <f>IF(REGISTRO!B422="","",REGISTRO!R422)</f>
        <v/>
      </c>
      <c r="M422" s="74">
        <f>IF(REGISTRO!B422="","",REGISTRO!S422)</f>
        <v/>
      </c>
    </row>
    <row r="423">
      <c r="A423" s="74">
        <f>IF(REGISTRO!B423="","",REGISTRO!A423)</f>
        <v/>
      </c>
      <c r="B423" s="74">
        <f>IF(REGISTRO!B423="","",REGISTRO!B423)</f>
        <v/>
      </c>
      <c r="C423" s="74">
        <f>IF(REGISTRO!B423="","",REGISTRO!C423)</f>
        <v/>
      </c>
      <c r="D423" s="74">
        <f>IF(REGISTRO!B423="","",REGISTRO!D423)</f>
        <v/>
      </c>
      <c r="E423" s="74">
        <f>IF(REGISTRO!B423="","",REGISTRO!E423)</f>
        <v/>
      </c>
      <c r="F423" s="74">
        <f>IF(REGISTRO!B423="","",REGISTRO!F423)</f>
        <v/>
      </c>
      <c r="G423" s="74">
        <f>IF(REGISTRO!B423="","",REGISTRO!G423)</f>
        <v/>
      </c>
      <c r="H423" s="74">
        <f>IF(REGISTRO!B423="","",REGISTRO!I423)</f>
        <v/>
      </c>
      <c r="I423" s="74">
        <f>IF(REGISTRO!B423="","",REGISTRO!J423)</f>
        <v/>
      </c>
      <c r="J423" s="74">
        <f>IF(REGISTRO!B423="","",REGISTRO!K423)</f>
        <v/>
      </c>
      <c r="K423" s="74">
        <f>IF(REGISTRO!B423="","",REGISTRO!N423)</f>
        <v/>
      </c>
      <c r="L423" s="75">
        <f>IF(REGISTRO!B423="","",REGISTRO!R423)</f>
        <v/>
      </c>
      <c r="M423" s="74">
        <f>IF(REGISTRO!B423="","",REGISTRO!S423)</f>
        <v/>
      </c>
    </row>
    <row r="424">
      <c r="A424" s="74">
        <f>IF(REGISTRO!B424="","",REGISTRO!A424)</f>
        <v/>
      </c>
      <c r="B424" s="74">
        <f>IF(REGISTRO!B424="","",REGISTRO!B424)</f>
        <v/>
      </c>
      <c r="C424" s="74">
        <f>IF(REGISTRO!B424="","",REGISTRO!C424)</f>
        <v/>
      </c>
      <c r="D424" s="74">
        <f>IF(REGISTRO!B424="","",REGISTRO!D424)</f>
        <v/>
      </c>
      <c r="E424" s="74">
        <f>IF(REGISTRO!B424="","",REGISTRO!E424)</f>
        <v/>
      </c>
      <c r="F424" s="74">
        <f>IF(REGISTRO!B424="","",REGISTRO!F424)</f>
        <v/>
      </c>
      <c r="G424" s="74">
        <f>IF(REGISTRO!B424="","",REGISTRO!G424)</f>
        <v/>
      </c>
      <c r="H424" s="74">
        <f>IF(REGISTRO!B424="","",REGISTRO!I424)</f>
        <v/>
      </c>
      <c r="I424" s="74">
        <f>IF(REGISTRO!B424="","",REGISTRO!J424)</f>
        <v/>
      </c>
      <c r="J424" s="74">
        <f>IF(REGISTRO!B424="","",REGISTRO!K424)</f>
        <v/>
      </c>
      <c r="K424" s="74">
        <f>IF(REGISTRO!B424="","",REGISTRO!N424)</f>
        <v/>
      </c>
      <c r="L424" s="75">
        <f>IF(REGISTRO!B424="","",REGISTRO!R424)</f>
        <v/>
      </c>
      <c r="M424" s="74">
        <f>IF(REGISTRO!B424="","",REGISTRO!S424)</f>
        <v/>
      </c>
    </row>
    <row r="425">
      <c r="A425" s="74">
        <f>IF(REGISTRO!B425="","",REGISTRO!A425)</f>
        <v/>
      </c>
      <c r="B425" s="74">
        <f>IF(REGISTRO!B425="","",REGISTRO!B425)</f>
        <v/>
      </c>
      <c r="C425" s="74">
        <f>IF(REGISTRO!B425="","",REGISTRO!C425)</f>
        <v/>
      </c>
      <c r="D425" s="74">
        <f>IF(REGISTRO!B425="","",REGISTRO!D425)</f>
        <v/>
      </c>
      <c r="E425" s="74">
        <f>IF(REGISTRO!B425="","",REGISTRO!E425)</f>
        <v/>
      </c>
      <c r="F425" s="74">
        <f>IF(REGISTRO!B425="","",REGISTRO!F425)</f>
        <v/>
      </c>
      <c r="G425" s="74">
        <f>IF(REGISTRO!B425="","",REGISTRO!G425)</f>
        <v/>
      </c>
      <c r="H425" s="74">
        <f>IF(REGISTRO!B425="","",REGISTRO!I425)</f>
        <v/>
      </c>
      <c r="I425" s="74">
        <f>IF(REGISTRO!B425="","",REGISTRO!J425)</f>
        <v/>
      </c>
      <c r="J425" s="74">
        <f>IF(REGISTRO!B425="","",REGISTRO!K425)</f>
        <v/>
      </c>
      <c r="K425" s="74">
        <f>IF(REGISTRO!B425="","",REGISTRO!N425)</f>
        <v/>
      </c>
      <c r="L425" s="75">
        <f>IF(REGISTRO!B425="","",REGISTRO!R425)</f>
        <v/>
      </c>
      <c r="M425" s="74">
        <f>IF(REGISTRO!B425="","",REGISTRO!S425)</f>
        <v/>
      </c>
    </row>
    <row r="426">
      <c r="A426" s="74">
        <f>IF(REGISTRO!B426="","",REGISTRO!A426)</f>
        <v/>
      </c>
      <c r="B426" s="74">
        <f>IF(REGISTRO!B426="","",REGISTRO!B426)</f>
        <v/>
      </c>
      <c r="C426" s="74">
        <f>IF(REGISTRO!B426="","",REGISTRO!C426)</f>
        <v/>
      </c>
      <c r="D426" s="74">
        <f>IF(REGISTRO!B426="","",REGISTRO!D426)</f>
        <v/>
      </c>
      <c r="E426" s="74">
        <f>IF(REGISTRO!B426="","",REGISTRO!E426)</f>
        <v/>
      </c>
      <c r="F426" s="74">
        <f>IF(REGISTRO!B426="","",REGISTRO!F426)</f>
        <v/>
      </c>
      <c r="G426" s="74">
        <f>IF(REGISTRO!B426="","",REGISTRO!G426)</f>
        <v/>
      </c>
      <c r="H426" s="74">
        <f>IF(REGISTRO!B426="","",REGISTRO!I426)</f>
        <v/>
      </c>
      <c r="I426" s="74">
        <f>IF(REGISTRO!B426="","",REGISTRO!J426)</f>
        <v/>
      </c>
      <c r="J426" s="74">
        <f>IF(REGISTRO!B426="","",REGISTRO!K426)</f>
        <v/>
      </c>
      <c r="K426" s="74">
        <f>IF(REGISTRO!B426="","",REGISTRO!N426)</f>
        <v/>
      </c>
      <c r="L426" s="75">
        <f>IF(REGISTRO!B426="","",REGISTRO!R426)</f>
        <v/>
      </c>
      <c r="M426" s="74">
        <f>IF(REGISTRO!B426="","",REGISTRO!S426)</f>
        <v/>
      </c>
    </row>
    <row r="427">
      <c r="A427" s="74">
        <f>IF(REGISTRO!B427="","",REGISTRO!A427)</f>
        <v/>
      </c>
      <c r="B427" s="74">
        <f>IF(REGISTRO!B427="","",REGISTRO!B427)</f>
        <v/>
      </c>
      <c r="C427" s="74">
        <f>IF(REGISTRO!B427="","",REGISTRO!C427)</f>
        <v/>
      </c>
      <c r="D427" s="74">
        <f>IF(REGISTRO!B427="","",REGISTRO!D427)</f>
        <v/>
      </c>
      <c r="E427" s="74">
        <f>IF(REGISTRO!B427="","",REGISTRO!E427)</f>
        <v/>
      </c>
      <c r="F427" s="74">
        <f>IF(REGISTRO!B427="","",REGISTRO!F427)</f>
        <v/>
      </c>
      <c r="G427" s="74">
        <f>IF(REGISTRO!B427="","",REGISTRO!G427)</f>
        <v/>
      </c>
      <c r="H427" s="74">
        <f>IF(REGISTRO!B427="","",REGISTRO!I427)</f>
        <v/>
      </c>
      <c r="I427" s="74">
        <f>IF(REGISTRO!B427="","",REGISTRO!J427)</f>
        <v/>
      </c>
      <c r="J427" s="74">
        <f>IF(REGISTRO!B427="","",REGISTRO!K427)</f>
        <v/>
      </c>
      <c r="K427" s="74">
        <f>IF(REGISTRO!B427="","",REGISTRO!N427)</f>
        <v/>
      </c>
      <c r="L427" s="75">
        <f>IF(REGISTRO!B427="","",REGISTRO!R427)</f>
        <v/>
      </c>
      <c r="M427" s="74">
        <f>IF(REGISTRO!B427="","",REGISTRO!S427)</f>
        <v/>
      </c>
    </row>
    <row r="428">
      <c r="A428" s="74">
        <f>IF(REGISTRO!B428="","",REGISTRO!A428)</f>
        <v/>
      </c>
      <c r="B428" s="74">
        <f>IF(REGISTRO!B428="","",REGISTRO!B428)</f>
        <v/>
      </c>
      <c r="C428" s="74">
        <f>IF(REGISTRO!B428="","",REGISTRO!C428)</f>
        <v/>
      </c>
      <c r="D428" s="74">
        <f>IF(REGISTRO!B428="","",REGISTRO!D428)</f>
        <v/>
      </c>
      <c r="E428" s="74">
        <f>IF(REGISTRO!B428="","",REGISTRO!E428)</f>
        <v/>
      </c>
      <c r="F428" s="74">
        <f>IF(REGISTRO!B428="","",REGISTRO!F428)</f>
        <v/>
      </c>
      <c r="G428" s="74">
        <f>IF(REGISTRO!B428="","",REGISTRO!G428)</f>
        <v/>
      </c>
      <c r="H428" s="74">
        <f>IF(REGISTRO!B428="","",REGISTRO!I428)</f>
        <v/>
      </c>
      <c r="I428" s="74">
        <f>IF(REGISTRO!B428="","",REGISTRO!J428)</f>
        <v/>
      </c>
      <c r="J428" s="74">
        <f>IF(REGISTRO!B428="","",REGISTRO!K428)</f>
        <v/>
      </c>
      <c r="K428" s="74">
        <f>IF(REGISTRO!B428="","",REGISTRO!N428)</f>
        <v/>
      </c>
      <c r="L428" s="75">
        <f>IF(REGISTRO!B428="","",REGISTRO!R428)</f>
        <v/>
      </c>
      <c r="M428" s="74">
        <f>IF(REGISTRO!B428="","",REGISTRO!S428)</f>
        <v/>
      </c>
    </row>
    <row r="429">
      <c r="A429" s="74">
        <f>IF(REGISTRO!B429="","",REGISTRO!A429)</f>
        <v/>
      </c>
      <c r="B429" s="74">
        <f>IF(REGISTRO!B429="","",REGISTRO!B429)</f>
        <v/>
      </c>
      <c r="C429" s="74">
        <f>IF(REGISTRO!B429="","",REGISTRO!C429)</f>
        <v/>
      </c>
      <c r="D429" s="74">
        <f>IF(REGISTRO!B429="","",REGISTRO!D429)</f>
        <v/>
      </c>
      <c r="E429" s="74">
        <f>IF(REGISTRO!B429="","",REGISTRO!E429)</f>
        <v/>
      </c>
      <c r="F429" s="74">
        <f>IF(REGISTRO!B429="","",REGISTRO!F429)</f>
        <v/>
      </c>
      <c r="G429" s="74">
        <f>IF(REGISTRO!B429="","",REGISTRO!G429)</f>
        <v/>
      </c>
      <c r="H429" s="74">
        <f>IF(REGISTRO!B429="","",REGISTRO!I429)</f>
        <v/>
      </c>
      <c r="I429" s="74">
        <f>IF(REGISTRO!B429="","",REGISTRO!J429)</f>
        <v/>
      </c>
      <c r="J429" s="74">
        <f>IF(REGISTRO!B429="","",REGISTRO!K429)</f>
        <v/>
      </c>
      <c r="K429" s="74">
        <f>IF(REGISTRO!B429="","",REGISTRO!N429)</f>
        <v/>
      </c>
      <c r="L429" s="75">
        <f>IF(REGISTRO!B429="","",REGISTRO!R429)</f>
        <v/>
      </c>
      <c r="M429" s="74">
        <f>IF(REGISTRO!B429="","",REGISTRO!S429)</f>
        <v/>
      </c>
    </row>
    <row r="430">
      <c r="A430" s="74">
        <f>IF(REGISTRO!B430="","",REGISTRO!A430)</f>
        <v/>
      </c>
      <c r="B430" s="74">
        <f>IF(REGISTRO!B430="","",REGISTRO!B430)</f>
        <v/>
      </c>
      <c r="C430" s="74">
        <f>IF(REGISTRO!B430="","",REGISTRO!C430)</f>
        <v/>
      </c>
      <c r="D430" s="74">
        <f>IF(REGISTRO!B430="","",REGISTRO!D430)</f>
        <v/>
      </c>
      <c r="E430" s="74">
        <f>IF(REGISTRO!B430="","",REGISTRO!E430)</f>
        <v/>
      </c>
      <c r="F430" s="74">
        <f>IF(REGISTRO!B430="","",REGISTRO!F430)</f>
        <v/>
      </c>
      <c r="G430" s="74">
        <f>IF(REGISTRO!B430="","",REGISTRO!G430)</f>
        <v/>
      </c>
      <c r="H430" s="74">
        <f>IF(REGISTRO!B430="","",REGISTRO!I430)</f>
        <v/>
      </c>
      <c r="I430" s="74">
        <f>IF(REGISTRO!B430="","",REGISTRO!J430)</f>
        <v/>
      </c>
      <c r="J430" s="74">
        <f>IF(REGISTRO!B430="","",REGISTRO!K430)</f>
        <v/>
      </c>
      <c r="K430" s="74">
        <f>IF(REGISTRO!B430="","",REGISTRO!N430)</f>
        <v/>
      </c>
      <c r="L430" s="75">
        <f>IF(REGISTRO!B430="","",REGISTRO!R430)</f>
        <v/>
      </c>
      <c r="M430" s="74">
        <f>IF(REGISTRO!B430="","",REGISTRO!S430)</f>
        <v/>
      </c>
    </row>
    <row r="431">
      <c r="A431" s="74">
        <f>IF(REGISTRO!B431="","",REGISTRO!A431)</f>
        <v/>
      </c>
      <c r="B431" s="74">
        <f>IF(REGISTRO!B431="","",REGISTRO!B431)</f>
        <v/>
      </c>
      <c r="C431" s="74">
        <f>IF(REGISTRO!B431="","",REGISTRO!C431)</f>
        <v/>
      </c>
      <c r="D431" s="74">
        <f>IF(REGISTRO!B431="","",REGISTRO!D431)</f>
        <v/>
      </c>
      <c r="E431" s="74">
        <f>IF(REGISTRO!B431="","",REGISTRO!E431)</f>
        <v/>
      </c>
      <c r="F431" s="74">
        <f>IF(REGISTRO!B431="","",REGISTRO!F431)</f>
        <v/>
      </c>
      <c r="G431" s="74">
        <f>IF(REGISTRO!B431="","",REGISTRO!G431)</f>
        <v/>
      </c>
      <c r="H431" s="74">
        <f>IF(REGISTRO!B431="","",REGISTRO!I431)</f>
        <v/>
      </c>
      <c r="I431" s="74">
        <f>IF(REGISTRO!B431="","",REGISTRO!J431)</f>
        <v/>
      </c>
      <c r="J431" s="74">
        <f>IF(REGISTRO!B431="","",REGISTRO!K431)</f>
        <v/>
      </c>
      <c r="K431" s="74">
        <f>IF(REGISTRO!B431="","",REGISTRO!N431)</f>
        <v/>
      </c>
      <c r="L431" s="75">
        <f>IF(REGISTRO!B431="","",REGISTRO!R431)</f>
        <v/>
      </c>
      <c r="M431" s="74">
        <f>IF(REGISTRO!B431="","",REGISTRO!S431)</f>
        <v/>
      </c>
    </row>
    <row r="432">
      <c r="A432" s="74">
        <f>IF(REGISTRO!B432="","",REGISTRO!A432)</f>
        <v/>
      </c>
      <c r="B432" s="74">
        <f>IF(REGISTRO!B432="","",REGISTRO!B432)</f>
        <v/>
      </c>
      <c r="C432" s="74">
        <f>IF(REGISTRO!B432="","",REGISTRO!C432)</f>
        <v/>
      </c>
      <c r="D432" s="74">
        <f>IF(REGISTRO!B432="","",REGISTRO!D432)</f>
        <v/>
      </c>
      <c r="E432" s="74">
        <f>IF(REGISTRO!B432="","",REGISTRO!E432)</f>
        <v/>
      </c>
      <c r="F432" s="74">
        <f>IF(REGISTRO!B432="","",REGISTRO!F432)</f>
        <v/>
      </c>
      <c r="G432" s="74">
        <f>IF(REGISTRO!B432="","",REGISTRO!G432)</f>
        <v/>
      </c>
      <c r="H432" s="74">
        <f>IF(REGISTRO!B432="","",REGISTRO!I432)</f>
        <v/>
      </c>
      <c r="I432" s="74">
        <f>IF(REGISTRO!B432="","",REGISTRO!J432)</f>
        <v/>
      </c>
      <c r="J432" s="74">
        <f>IF(REGISTRO!B432="","",REGISTRO!K432)</f>
        <v/>
      </c>
      <c r="K432" s="74">
        <f>IF(REGISTRO!B432="","",REGISTRO!N432)</f>
        <v/>
      </c>
      <c r="L432" s="75">
        <f>IF(REGISTRO!B432="","",REGISTRO!R432)</f>
        <v/>
      </c>
      <c r="M432" s="74">
        <f>IF(REGISTRO!B432="","",REGISTRO!S432)</f>
        <v/>
      </c>
    </row>
    <row r="433">
      <c r="A433" s="74">
        <f>IF(REGISTRO!B433="","",REGISTRO!A433)</f>
        <v/>
      </c>
      <c r="B433" s="74">
        <f>IF(REGISTRO!B433="","",REGISTRO!B433)</f>
        <v/>
      </c>
      <c r="C433" s="74">
        <f>IF(REGISTRO!B433="","",REGISTRO!C433)</f>
        <v/>
      </c>
      <c r="D433" s="74">
        <f>IF(REGISTRO!B433="","",REGISTRO!D433)</f>
        <v/>
      </c>
      <c r="E433" s="74">
        <f>IF(REGISTRO!B433="","",REGISTRO!E433)</f>
        <v/>
      </c>
      <c r="F433" s="74">
        <f>IF(REGISTRO!B433="","",REGISTRO!F433)</f>
        <v/>
      </c>
      <c r="G433" s="74">
        <f>IF(REGISTRO!B433="","",REGISTRO!G433)</f>
        <v/>
      </c>
      <c r="H433" s="74">
        <f>IF(REGISTRO!B433="","",REGISTRO!I433)</f>
        <v/>
      </c>
      <c r="I433" s="74">
        <f>IF(REGISTRO!B433="","",REGISTRO!J433)</f>
        <v/>
      </c>
      <c r="J433" s="74">
        <f>IF(REGISTRO!B433="","",REGISTRO!K433)</f>
        <v/>
      </c>
      <c r="K433" s="74">
        <f>IF(REGISTRO!B433="","",REGISTRO!N433)</f>
        <v/>
      </c>
      <c r="L433" s="75">
        <f>IF(REGISTRO!B433="","",REGISTRO!R433)</f>
        <v/>
      </c>
      <c r="M433" s="74">
        <f>IF(REGISTRO!B433="","",REGISTRO!S433)</f>
        <v/>
      </c>
    </row>
    <row r="434">
      <c r="A434" s="74">
        <f>IF(REGISTRO!B434="","",REGISTRO!A434)</f>
        <v/>
      </c>
      <c r="B434" s="74">
        <f>IF(REGISTRO!B434="","",REGISTRO!B434)</f>
        <v/>
      </c>
      <c r="C434" s="74">
        <f>IF(REGISTRO!B434="","",REGISTRO!C434)</f>
        <v/>
      </c>
      <c r="D434" s="74">
        <f>IF(REGISTRO!B434="","",REGISTRO!D434)</f>
        <v/>
      </c>
      <c r="E434" s="74">
        <f>IF(REGISTRO!B434="","",REGISTRO!E434)</f>
        <v/>
      </c>
      <c r="F434" s="74">
        <f>IF(REGISTRO!B434="","",REGISTRO!F434)</f>
        <v/>
      </c>
      <c r="G434" s="74">
        <f>IF(REGISTRO!B434="","",REGISTRO!G434)</f>
        <v/>
      </c>
      <c r="H434" s="74">
        <f>IF(REGISTRO!B434="","",REGISTRO!I434)</f>
        <v/>
      </c>
      <c r="I434" s="74">
        <f>IF(REGISTRO!B434="","",REGISTRO!J434)</f>
        <v/>
      </c>
      <c r="J434" s="74">
        <f>IF(REGISTRO!B434="","",REGISTRO!K434)</f>
        <v/>
      </c>
      <c r="K434" s="74">
        <f>IF(REGISTRO!B434="","",REGISTRO!N434)</f>
        <v/>
      </c>
      <c r="L434" s="75">
        <f>IF(REGISTRO!B434="","",REGISTRO!R434)</f>
        <v/>
      </c>
      <c r="M434" s="74">
        <f>IF(REGISTRO!B434="","",REGISTRO!S434)</f>
        <v/>
      </c>
    </row>
    <row r="435">
      <c r="A435" s="74">
        <f>IF(REGISTRO!B435="","",REGISTRO!A435)</f>
        <v/>
      </c>
      <c r="B435" s="74">
        <f>IF(REGISTRO!B435="","",REGISTRO!B435)</f>
        <v/>
      </c>
      <c r="C435" s="74">
        <f>IF(REGISTRO!B435="","",REGISTRO!C435)</f>
        <v/>
      </c>
      <c r="D435" s="74">
        <f>IF(REGISTRO!B435="","",REGISTRO!D435)</f>
        <v/>
      </c>
      <c r="E435" s="74">
        <f>IF(REGISTRO!B435="","",REGISTRO!E435)</f>
        <v/>
      </c>
      <c r="F435" s="74">
        <f>IF(REGISTRO!B435="","",REGISTRO!F435)</f>
        <v/>
      </c>
      <c r="G435" s="74">
        <f>IF(REGISTRO!B435="","",REGISTRO!G435)</f>
        <v/>
      </c>
      <c r="H435" s="74">
        <f>IF(REGISTRO!B435="","",REGISTRO!I435)</f>
        <v/>
      </c>
      <c r="I435" s="74">
        <f>IF(REGISTRO!B435="","",REGISTRO!J435)</f>
        <v/>
      </c>
      <c r="J435" s="74">
        <f>IF(REGISTRO!B435="","",REGISTRO!K435)</f>
        <v/>
      </c>
      <c r="K435" s="74">
        <f>IF(REGISTRO!B435="","",REGISTRO!N435)</f>
        <v/>
      </c>
      <c r="L435" s="75">
        <f>IF(REGISTRO!B435="","",REGISTRO!R435)</f>
        <v/>
      </c>
      <c r="M435" s="74">
        <f>IF(REGISTRO!B435="","",REGISTRO!S435)</f>
        <v/>
      </c>
    </row>
    <row r="436">
      <c r="A436" s="74">
        <f>IF(REGISTRO!B436="","",REGISTRO!A436)</f>
        <v/>
      </c>
      <c r="B436" s="74">
        <f>IF(REGISTRO!B436="","",REGISTRO!B436)</f>
        <v/>
      </c>
      <c r="C436" s="74">
        <f>IF(REGISTRO!B436="","",REGISTRO!C436)</f>
        <v/>
      </c>
      <c r="D436" s="74">
        <f>IF(REGISTRO!B436="","",REGISTRO!D436)</f>
        <v/>
      </c>
      <c r="E436" s="74">
        <f>IF(REGISTRO!B436="","",REGISTRO!E436)</f>
        <v/>
      </c>
      <c r="F436" s="74">
        <f>IF(REGISTRO!B436="","",REGISTRO!F436)</f>
        <v/>
      </c>
      <c r="G436" s="74">
        <f>IF(REGISTRO!B436="","",REGISTRO!G436)</f>
        <v/>
      </c>
      <c r="H436" s="74">
        <f>IF(REGISTRO!B436="","",REGISTRO!I436)</f>
        <v/>
      </c>
      <c r="I436" s="74">
        <f>IF(REGISTRO!B436="","",REGISTRO!J436)</f>
        <v/>
      </c>
      <c r="J436" s="74">
        <f>IF(REGISTRO!B436="","",REGISTRO!K436)</f>
        <v/>
      </c>
      <c r="K436" s="74">
        <f>IF(REGISTRO!B436="","",REGISTRO!N436)</f>
        <v/>
      </c>
      <c r="L436" s="75">
        <f>IF(REGISTRO!B436="","",REGISTRO!R436)</f>
        <v/>
      </c>
      <c r="M436" s="74">
        <f>IF(REGISTRO!B436="","",REGISTRO!S436)</f>
        <v/>
      </c>
    </row>
    <row r="437">
      <c r="A437" s="74">
        <f>IF(REGISTRO!B437="","",REGISTRO!A437)</f>
        <v/>
      </c>
      <c r="B437" s="74">
        <f>IF(REGISTRO!B437="","",REGISTRO!B437)</f>
        <v/>
      </c>
      <c r="C437" s="74">
        <f>IF(REGISTRO!B437="","",REGISTRO!C437)</f>
        <v/>
      </c>
      <c r="D437" s="74">
        <f>IF(REGISTRO!B437="","",REGISTRO!D437)</f>
        <v/>
      </c>
      <c r="E437" s="74">
        <f>IF(REGISTRO!B437="","",REGISTRO!E437)</f>
        <v/>
      </c>
      <c r="F437" s="74">
        <f>IF(REGISTRO!B437="","",REGISTRO!F437)</f>
        <v/>
      </c>
      <c r="G437" s="74">
        <f>IF(REGISTRO!B437="","",REGISTRO!G437)</f>
        <v/>
      </c>
      <c r="H437" s="74">
        <f>IF(REGISTRO!B437="","",REGISTRO!I437)</f>
        <v/>
      </c>
      <c r="I437" s="74">
        <f>IF(REGISTRO!B437="","",REGISTRO!J437)</f>
        <v/>
      </c>
      <c r="J437" s="74">
        <f>IF(REGISTRO!B437="","",REGISTRO!K437)</f>
        <v/>
      </c>
      <c r="K437" s="74">
        <f>IF(REGISTRO!B437="","",REGISTRO!N437)</f>
        <v/>
      </c>
      <c r="L437" s="75">
        <f>IF(REGISTRO!B437="","",REGISTRO!R437)</f>
        <v/>
      </c>
      <c r="M437" s="74">
        <f>IF(REGISTRO!B437="","",REGISTRO!S437)</f>
        <v/>
      </c>
    </row>
    <row r="438">
      <c r="A438" s="74">
        <f>IF(REGISTRO!B438="","",REGISTRO!A438)</f>
        <v/>
      </c>
      <c r="B438" s="74">
        <f>IF(REGISTRO!B438="","",REGISTRO!B438)</f>
        <v/>
      </c>
      <c r="C438" s="74">
        <f>IF(REGISTRO!B438="","",REGISTRO!C438)</f>
        <v/>
      </c>
      <c r="D438" s="74">
        <f>IF(REGISTRO!B438="","",REGISTRO!D438)</f>
        <v/>
      </c>
      <c r="E438" s="74">
        <f>IF(REGISTRO!B438="","",REGISTRO!E438)</f>
        <v/>
      </c>
      <c r="F438" s="74">
        <f>IF(REGISTRO!B438="","",REGISTRO!F438)</f>
        <v/>
      </c>
      <c r="G438" s="74">
        <f>IF(REGISTRO!B438="","",REGISTRO!G438)</f>
        <v/>
      </c>
      <c r="H438" s="74">
        <f>IF(REGISTRO!B438="","",REGISTRO!I438)</f>
        <v/>
      </c>
      <c r="I438" s="74">
        <f>IF(REGISTRO!B438="","",REGISTRO!J438)</f>
        <v/>
      </c>
      <c r="J438" s="74">
        <f>IF(REGISTRO!B438="","",REGISTRO!K438)</f>
        <v/>
      </c>
      <c r="K438" s="74">
        <f>IF(REGISTRO!B438="","",REGISTRO!N438)</f>
        <v/>
      </c>
      <c r="L438" s="75">
        <f>IF(REGISTRO!B438="","",REGISTRO!R438)</f>
        <v/>
      </c>
      <c r="M438" s="74">
        <f>IF(REGISTRO!B438="","",REGISTRO!S438)</f>
        <v/>
      </c>
    </row>
    <row r="439">
      <c r="A439" s="74">
        <f>IF(REGISTRO!B439="","",REGISTRO!A439)</f>
        <v/>
      </c>
      <c r="B439" s="74">
        <f>IF(REGISTRO!B439="","",REGISTRO!B439)</f>
        <v/>
      </c>
      <c r="C439" s="74">
        <f>IF(REGISTRO!B439="","",REGISTRO!C439)</f>
        <v/>
      </c>
      <c r="D439" s="74">
        <f>IF(REGISTRO!B439="","",REGISTRO!D439)</f>
        <v/>
      </c>
      <c r="E439" s="74">
        <f>IF(REGISTRO!B439="","",REGISTRO!E439)</f>
        <v/>
      </c>
      <c r="F439" s="74">
        <f>IF(REGISTRO!B439="","",REGISTRO!F439)</f>
        <v/>
      </c>
      <c r="G439" s="74">
        <f>IF(REGISTRO!B439="","",REGISTRO!G439)</f>
        <v/>
      </c>
      <c r="H439" s="74">
        <f>IF(REGISTRO!B439="","",REGISTRO!I439)</f>
        <v/>
      </c>
      <c r="I439" s="74">
        <f>IF(REGISTRO!B439="","",REGISTRO!J439)</f>
        <v/>
      </c>
      <c r="J439" s="74">
        <f>IF(REGISTRO!B439="","",REGISTRO!K439)</f>
        <v/>
      </c>
      <c r="K439" s="74">
        <f>IF(REGISTRO!B439="","",REGISTRO!N439)</f>
        <v/>
      </c>
      <c r="L439" s="75">
        <f>IF(REGISTRO!B439="","",REGISTRO!R439)</f>
        <v/>
      </c>
      <c r="M439" s="74">
        <f>IF(REGISTRO!B439="","",REGISTRO!S439)</f>
        <v/>
      </c>
    </row>
    <row r="440">
      <c r="A440" s="74">
        <f>IF(REGISTRO!B440="","",REGISTRO!A440)</f>
        <v/>
      </c>
      <c r="B440" s="74">
        <f>IF(REGISTRO!B440="","",REGISTRO!B440)</f>
        <v/>
      </c>
      <c r="C440" s="74">
        <f>IF(REGISTRO!B440="","",REGISTRO!C440)</f>
        <v/>
      </c>
      <c r="D440" s="74">
        <f>IF(REGISTRO!B440="","",REGISTRO!D440)</f>
        <v/>
      </c>
      <c r="E440" s="74">
        <f>IF(REGISTRO!B440="","",REGISTRO!E440)</f>
        <v/>
      </c>
      <c r="F440" s="74">
        <f>IF(REGISTRO!B440="","",REGISTRO!F440)</f>
        <v/>
      </c>
      <c r="G440" s="74">
        <f>IF(REGISTRO!B440="","",REGISTRO!G440)</f>
        <v/>
      </c>
      <c r="H440" s="74">
        <f>IF(REGISTRO!B440="","",REGISTRO!I440)</f>
        <v/>
      </c>
      <c r="I440" s="74">
        <f>IF(REGISTRO!B440="","",REGISTRO!J440)</f>
        <v/>
      </c>
      <c r="J440" s="74">
        <f>IF(REGISTRO!B440="","",REGISTRO!K440)</f>
        <v/>
      </c>
      <c r="K440" s="74">
        <f>IF(REGISTRO!B440="","",REGISTRO!N440)</f>
        <v/>
      </c>
      <c r="L440" s="75">
        <f>IF(REGISTRO!B440="","",REGISTRO!R440)</f>
        <v/>
      </c>
      <c r="M440" s="74">
        <f>IF(REGISTRO!B440="","",REGISTRO!S440)</f>
        <v/>
      </c>
    </row>
    <row r="441">
      <c r="A441" s="74">
        <f>IF(REGISTRO!B441="","",REGISTRO!A441)</f>
        <v/>
      </c>
      <c r="B441" s="74">
        <f>IF(REGISTRO!B441="","",REGISTRO!B441)</f>
        <v/>
      </c>
      <c r="C441" s="74">
        <f>IF(REGISTRO!B441="","",REGISTRO!C441)</f>
        <v/>
      </c>
      <c r="D441" s="74">
        <f>IF(REGISTRO!B441="","",REGISTRO!D441)</f>
        <v/>
      </c>
      <c r="E441" s="74">
        <f>IF(REGISTRO!B441="","",REGISTRO!E441)</f>
        <v/>
      </c>
      <c r="F441" s="74">
        <f>IF(REGISTRO!B441="","",REGISTRO!F441)</f>
        <v/>
      </c>
      <c r="G441" s="74">
        <f>IF(REGISTRO!B441="","",REGISTRO!G441)</f>
        <v/>
      </c>
      <c r="H441" s="74">
        <f>IF(REGISTRO!B441="","",REGISTRO!I441)</f>
        <v/>
      </c>
      <c r="I441" s="74">
        <f>IF(REGISTRO!B441="","",REGISTRO!J441)</f>
        <v/>
      </c>
      <c r="J441" s="74">
        <f>IF(REGISTRO!B441="","",REGISTRO!K441)</f>
        <v/>
      </c>
      <c r="K441" s="74">
        <f>IF(REGISTRO!B441="","",REGISTRO!N441)</f>
        <v/>
      </c>
      <c r="L441" s="75">
        <f>IF(REGISTRO!B441="","",REGISTRO!R441)</f>
        <v/>
      </c>
      <c r="M441" s="74">
        <f>IF(REGISTRO!B441="","",REGISTRO!S441)</f>
        <v/>
      </c>
    </row>
    <row r="442">
      <c r="A442" s="74">
        <f>IF(REGISTRO!B442="","",REGISTRO!A442)</f>
        <v/>
      </c>
      <c r="B442" s="74">
        <f>IF(REGISTRO!B442="","",REGISTRO!B442)</f>
        <v/>
      </c>
      <c r="C442" s="74">
        <f>IF(REGISTRO!B442="","",REGISTRO!C442)</f>
        <v/>
      </c>
      <c r="D442" s="74">
        <f>IF(REGISTRO!B442="","",REGISTRO!D442)</f>
        <v/>
      </c>
      <c r="E442" s="74">
        <f>IF(REGISTRO!B442="","",REGISTRO!E442)</f>
        <v/>
      </c>
      <c r="F442" s="74">
        <f>IF(REGISTRO!B442="","",REGISTRO!F442)</f>
        <v/>
      </c>
      <c r="G442" s="74">
        <f>IF(REGISTRO!B442="","",REGISTRO!G442)</f>
        <v/>
      </c>
      <c r="H442" s="74">
        <f>IF(REGISTRO!B442="","",REGISTRO!I442)</f>
        <v/>
      </c>
      <c r="I442" s="74">
        <f>IF(REGISTRO!B442="","",REGISTRO!J442)</f>
        <v/>
      </c>
      <c r="J442" s="74">
        <f>IF(REGISTRO!B442="","",REGISTRO!K442)</f>
        <v/>
      </c>
      <c r="K442" s="74">
        <f>IF(REGISTRO!B442="","",REGISTRO!N442)</f>
        <v/>
      </c>
      <c r="L442" s="75">
        <f>IF(REGISTRO!B442="","",REGISTRO!R442)</f>
        <v/>
      </c>
      <c r="M442" s="74">
        <f>IF(REGISTRO!B442="","",REGISTRO!S442)</f>
        <v/>
      </c>
    </row>
    <row r="443">
      <c r="A443" s="74">
        <f>IF(REGISTRO!B443="","",REGISTRO!A443)</f>
        <v/>
      </c>
      <c r="B443" s="74">
        <f>IF(REGISTRO!B443="","",REGISTRO!B443)</f>
        <v/>
      </c>
      <c r="C443" s="74">
        <f>IF(REGISTRO!B443="","",REGISTRO!C443)</f>
        <v/>
      </c>
      <c r="D443" s="74">
        <f>IF(REGISTRO!B443="","",REGISTRO!D443)</f>
        <v/>
      </c>
      <c r="E443" s="74">
        <f>IF(REGISTRO!B443="","",REGISTRO!E443)</f>
        <v/>
      </c>
      <c r="F443" s="74">
        <f>IF(REGISTRO!B443="","",REGISTRO!F443)</f>
        <v/>
      </c>
      <c r="G443" s="74">
        <f>IF(REGISTRO!B443="","",REGISTRO!G443)</f>
        <v/>
      </c>
      <c r="H443" s="74">
        <f>IF(REGISTRO!B443="","",REGISTRO!I443)</f>
        <v/>
      </c>
      <c r="I443" s="74">
        <f>IF(REGISTRO!B443="","",REGISTRO!J443)</f>
        <v/>
      </c>
      <c r="J443" s="74">
        <f>IF(REGISTRO!B443="","",REGISTRO!K443)</f>
        <v/>
      </c>
      <c r="K443" s="74">
        <f>IF(REGISTRO!B443="","",REGISTRO!N443)</f>
        <v/>
      </c>
      <c r="L443" s="75">
        <f>IF(REGISTRO!B443="","",REGISTRO!R443)</f>
        <v/>
      </c>
      <c r="M443" s="74">
        <f>IF(REGISTRO!B443="","",REGISTRO!S443)</f>
        <v/>
      </c>
    </row>
    <row r="444">
      <c r="A444" s="74">
        <f>IF(REGISTRO!B444="","",REGISTRO!A444)</f>
        <v/>
      </c>
      <c r="B444" s="74">
        <f>IF(REGISTRO!B444="","",REGISTRO!B444)</f>
        <v/>
      </c>
      <c r="C444" s="74">
        <f>IF(REGISTRO!B444="","",REGISTRO!C444)</f>
        <v/>
      </c>
      <c r="D444" s="74">
        <f>IF(REGISTRO!B444="","",REGISTRO!D444)</f>
        <v/>
      </c>
      <c r="E444" s="74">
        <f>IF(REGISTRO!B444="","",REGISTRO!E444)</f>
        <v/>
      </c>
      <c r="F444" s="74">
        <f>IF(REGISTRO!B444="","",REGISTRO!F444)</f>
        <v/>
      </c>
      <c r="G444" s="74">
        <f>IF(REGISTRO!B444="","",REGISTRO!G444)</f>
        <v/>
      </c>
      <c r="H444" s="74">
        <f>IF(REGISTRO!B444="","",REGISTRO!I444)</f>
        <v/>
      </c>
      <c r="I444" s="74">
        <f>IF(REGISTRO!B444="","",REGISTRO!J444)</f>
        <v/>
      </c>
      <c r="J444" s="74">
        <f>IF(REGISTRO!B444="","",REGISTRO!K444)</f>
        <v/>
      </c>
      <c r="K444" s="74">
        <f>IF(REGISTRO!B444="","",REGISTRO!N444)</f>
        <v/>
      </c>
      <c r="L444" s="75">
        <f>IF(REGISTRO!B444="","",REGISTRO!R444)</f>
        <v/>
      </c>
      <c r="M444" s="74">
        <f>IF(REGISTRO!B444="","",REGISTRO!S444)</f>
        <v/>
      </c>
    </row>
    <row r="445">
      <c r="A445" s="74">
        <f>IF(REGISTRO!B445="","",REGISTRO!A445)</f>
        <v/>
      </c>
      <c r="B445" s="74">
        <f>IF(REGISTRO!B445="","",REGISTRO!B445)</f>
        <v/>
      </c>
      <c r="C445" s="74">
        <f>IF(REGISTRO!B445="","",REGISTRO!C445)</f>
        <v/>
      </c>
      <c r="D445" s="74">
        <f>IF(REGISTRO!B445="","",REGISTRO!D445)</f>
        <v/>
      </c>
      <c r="E445" s="74">
        <f>IF(REGISTRO!B445="","",REGISTRO!E445)</f>
        <v/>
      </c>
      <c r="F445" s="74">
        <f>IF(REGISTRO!B445="","",REGISTRO!F445)</f>
        <v/>
      </c>
      <c r="G445" s="74">
        <f>IF(REGISTRO!B445="","",REGISTRO!G445)</f>
        <v/>
      </c>
      <c r="H445" s="74">
        <f>IF(REGISTRO!B445="","",REGISTRO!I445)</f>
        <v/>
      </c>
      <c r="I445" s="74">
        <f>IF(REGISTRO!B445="","",REGISTRO!J445)</f>
        <v/>
      </c>
      <c r="J445" s="74">
        <f>IF(REGISTRO!B445="","",REGISTRO!K445)</f>
        <v/>
      </c>
      <c r="K445" s="74">
        <f>IF(REGISTRO!B445="","",REGISTRO!N445)</f>
        <v/>
      </c>
      <c r="L445" s="75">
        <f>IF(REGISTRO!B445="","",REGISTRO!R445)</f>
        <v/>
      </c>
      <c r="M445" s="74">
        <f>IF(REGISTRO!B445="","",REGISTRO!S445)</f>
        <v/>
      </c>
    </row>
    <row r="446">
      <c r="A446" s="74">
        <f>IF(REGISTRO!B446="","",REGISTRO!A446)</f>
        <v/>
      </c>
      <c r="B446" s="74">
        <f>IF(REGISTRO!B446="","",REGISTRO!B446)</f>
        <v/>
      </c>
      <c r="C446" s="74">
        <f>IF(REGISTRO!B446="","",REGISTRO!C446)</f>
        <v/>
      </c>
      <c r="D446" s="74">
        <f>IF(REGISTRO!B446="","",REGISTRO!D446)</f>
        <v/>
      </c>
      <c r="E446" s="74">
        <f>IF(REGISTRO!B446="","",REGISTRO!E446)</f>
        <v/>
      </c>
      <c r="F446" s="74">
        <f>IF(REGISTRO!B446="","",REGISTRO!F446)</f>
        <v/>
      </c>
      <c r="G446" s="74">
        <f>IF(REGISTRO!B446="","",REGISTRO!G446)</f>
        <v/>
      </c>
      <c r="H446" s="74">
        <f>IF(REGISTRO!B446="","",REGISTRO!I446)</f>
        <v/>
      </c>
      <c r="I446" s="74">
        <f>IF(REGISTRO!B446="","",REGISTRO!J446)</f>
        <v/>
      </c>
      <c r="J446" s="74">
        <f>IF(REGISTRO!B446="","",REGISTRO!K446)</f>
        <v/>
      </c>
      <c r="K446" s="74">
        <f>IF(REGISTRO!B446="","",REGISTRO!N446)</f>
        <v/>
      </c>
      <c r="L446" s="75">
        <f>IF(REGISTRO!B446="","",REGISTRO!R446)</f>
        <v/>
      </c>
      <c r="M446" s="74">
        <f>IF(REGISTRO!B446="","",REGISTRO!S446)</f>
        <v/>
      </c>
    </row>
    <row r="447">
      <c r="A447" s="74">
        <f>IF(REGISTRO!B447="","",REGISTRO!A447)</f>
        <v/>
      </c>
      <c r="B447" s="74">
        <f>IF(REGISTRO!B447="","",REGISTRO!B447)</f>
        <v/>
      </c>
      <c r="C447" s="74">
        <f>IF(REGISTRO!B447="","",REGISTRO!C447)</f>
        <v/>
      </c>
      <c r="D447" s="74">
        <f>IF(REGISTRO!B447="","",REGISTRO!D447)</f>
        <v/>
      </c>
      <c r="E447" s="74">
        <f>IF(REGISTRO!B447="","",REGISTRO!E447)</f>
        <v/>
      </c>
      <c r="F447" s="74">
        <f>IF(REGISTRO!B447="","",REGISTRO!F447)</f>
        <v/>
      </c>
      <c r="G447" s="74">
        <f>IF(REGISTRO!B447="","",REGISTRO!G447)</f>
        <v/>
      </c>
      <c r="H447" s="74">
        <f>IF(REGISTRO!B447="","",REGISTRO!I447)</f>
        <v/>
      </c>
      <c r="I447" s="74">
        <f>IF(REGISTRO!B447="","",REGISTRO!J447)</f>
        <v/>
      </c>
      <c r="J447" s="74">
        <f>IF(REGISTRO!B447="","",REGISTRO!K447)</f>
        <v/>
      </c>
      <c r="K447" s="74">
        <f>IF(REGISTRO!B447="","",REGISTRO!N447)</f>
        <v/>
      </c>
      <c r="L447" s="75">
        <f>IF(REGISTRO!B447="","",REGISTRO!R447)</f>
        <v/>
      </c>
      <c r="M447" s="74">
        <f>IF(REGISTRO!B447="","",REGISTRO!S447)</f>
        <v/>
      </c>
    </row>
    <row r="448">
      <c r="A448" s="74">
        <f>IF(REGISTRO!B448="","",REGISTRO!A448)</f>
        <v/>
      </c>
      <c r="B448" s="74">
        <f>IF(REGISTRO!B448="","",REGISTRO!B448)</f>
        <v/>
      </c>
      <c r="C448" s="74">
        <f>IF(REGISTRO!B448="","",REGISTRO!C448)</f>
        <v/>
      </c>
      <c r="D448" s="74">
        <f>IF(REGISTRO!B448="","",REGISTRO!D448)</f>
        <v/>
      </c>
      <c r="E448" s="74">
        <f>IF(REGISTRO!B448="","",REGISTRO!E448)</f>
        <v/>
      </c>
      <c r="F448" s="74">
        <f>IF(REGISTRO!B448="","",REGISTRO!F448)</f>
        <v/>
      </c>
      <c r="G448" s="74">
        <f>IF(REGISTRO!B448="","",REGISTRO!G448)</f>
        <v/>
      </c>
      <c r="H448" s="74">
        <f>IF(REGISTRO!B448="","",REGISTRO!I448)</f>
        <v/>
      </c>
      <c r="I448" s="74">
        <f>IF(REGISTRO!B448="","",REGISTRO!J448)</f>
        <v/>
      </c>
      <c r="J448" s="74">
        <f>IF(REGISTRO!B448="","",REGISTRO!K448)</f>
        <v/>
      </c>
      <c r="K448" s="74">
        <f>IF(REGISTRO!B448="","",REGISTRO!N448)</f>
        <v/>
      </c>
      <c r="L448" s="75">
        <f>IF(REGISTRO!B448="","",REGISTRO!R448)</f>
        <v/>
      </c>
      <c r="M448" s="74">
        <f>IF(REGISTRO!B448="","",REGISTRO!S448)</f>
        <v/>
      </c>
    </row>
    <row r="449">
      <c r="A449" s="74">
        <f>IF(REGISTRO!B449="","",REGISTRO!A449)</f>
        <v/>
      </c>
      <c r="B449" s="74">
        <f>IF(REGISTRO!B449="","",REGISTRO!B449)</f>
        <v/>
      </c>
      <c r="C449" s="74">
        <f>IF(REGISTRO!B449="","",REGISTRO!C449)</f>
        <v/>
      </c>
      <c r="D449" s="74">
        <f>IF(REGISTRO!B449="","",REGISTRO!D449)</f>
        <v/>
      </c>
      <c r="E449" s="74">
        <f>IF(REGISTRO!B449="","",REGISTRO!E449)</f>
        <v/>
      </c>
      <c r="F449" s="74">
        <f>IF(REGISTRO!B449="","",REGISTRO!F449)</f>
        <v/>
      </c>
      <c r="G449" s="74">
        <f>IF(REGISTRO!B449="","",REGISTRO!G449)</f>
        <v/>
      </c>
      <c r="H449" s="74">
        <f>IF(REGISTRO!B449="","",REGISTRO!I449)</f>
        <v/>
      </c>
      <c r="I449" s="74">
        <f>IF(REGISTRO!B449="","",REGISTRO!J449)</f>
        <v/>
      </c>
      <c r="J449" s="74">
        <f>IF(REGISTRO!B449="","",REGISTRO!K449)</f>
        <v/>
      </c>
      <c r="K449" s="74">
        <f>IF(REGISTRO!B449="","",REGISTRO!N449)</f>
        <v/>
      </c>
      <c r="L449" s="75">
        <f>IF(REGISTRO!B449="","",REGISTRO!R449)</f>
        <v/>
      </c>
      <c r="M449" s="74">
        <f>IF(REGISTRO!B449="","",REGISTRO!S449)</f>
        <v/>
      </c>
    </row>
    <row r="450">
      <c r="A450" s="74">
        <f>IF(REGISTRO!B450="","",REGISTRO!A450)</f>
        <v/>
      </c>
      <c r="B450" s="74">
        <f>IF(REGISTRO!B450="","",REGISTRO!B450)</f>
        <v/>
      </c>
      <c r="C450" s="74">
        <f>IF(REGISTRO!B450="","",REGISTRO!C450)</f>
        <v/>
      </c>
      <c r="D450" s="74">
        <f>IF(REGISTRO!B450="","",REGISTRO!D450)</f>
        <v/>
      </c>
      <c r="E450" s="74">
        <f>IF(REGISTRO!B450="","",REGISTRO!E450)</f>
        <v/>
      </c>
      <c r="F450" s="74">
        <f>IF(REGISTRO!B450="","",REGISTRO!F450)</f>
        <v/>
      </c>
      <c r="G450" s="74">
        <f>IF(REGISTRO!B450="","",REGISTRO!G450)</f>
        <v/>
      </c>
      <c r="H450" s="74">
        <f>IF(REGISTRO!B450="","",REGISTRO!I450)</f>
        <v/>
      </c>
      <c r="I450" s="74">
        <f>IF(REGISTRO!B450="","",REGISTRO!J450)</f>
        <v/>
      </c>
      <c r="J450" s="74">
        <f>IF(REGISTRO!B450="","",REGISTRO!K450)</f>
        <v/>
      </c>
      <c r="K450" s="74">
        <f>IF(REGISTRO!B450="","",REGISTRO!N450)</f>
        <v/>
      </c>
      <c r="L450" s="75">
        <f>IF(REGISTRO!B450="","",REGISTRO!R450)</f>
        <v/>
      </c>
      <c r="M450" s="74">
        <f>IF(REGISTRO!B450="","",REGISTRO!S450)</f>
        <v/>
      </c>
    </row>
    <row r="451">
      <c r="A451" s="74">
        <f>IF(REGISTRO!B451="","",REGISTRO!A451)</f>
        <v/>
      </c>
      <c r="B451" s="74">
        <f>IF(REGISTRO!B451="","",REGISTRO!B451)</f>
        <v/>
      </c>
      <c r="C451" s="74">
        <f>IF(REGISTRO!B451="","",REGISTRO!C451)</f>
        <v/>
      </c>
      <c r="D451" s="74">
        <f>IF(REGISTRO!B451="","",REGISTRO!D451)</f>
        <v/>
      </c>
      <c r="E451" s="74">
        <f>IF(REGISTRO!B451="","",REGISTRO!E451)</f>
        <v/>
      </c>
      <c r="F451" s="74">
        <f>IF(REGISTRO!B451="","",REGISTRO!F451)</f>
        <v/>
      </c>
      <c r="G451" s="74">
        <f>IF(REGISTRO!B451="","",REGISTRO!G451)</f>
        <v/>
      </c>
      <c r="H451" s="74">
        <f>IF(REGISTRO!B451="","",REGISTRO!I451)</f>
        <v/>
      </c>
      <c r="I451" s="74">
        <f>IF(REGISTRO!B451="","",REGISTRO!J451)</f>
        <v/>
      </c>
      <c r="J451" s="74">
        <f>IF(REGISTRO!B451="","",REGISTRO!K451)</f>
        <v/>
      </c>
      <c r="K451" s="74">
        <f>IF(REGISTRO!B451="","",REGISTRO!N451)</f>
        <v/>
      </c>
      <c r="L451" s="75">
        <f>IF(REGISTRO!B451="","",REGISTRO!R451)</f>
        <v/>
      </c>
      <c r="M451" s="74">
        <f>IF(REGISTRO!B451="","",REGISTRO!S451)</f>
        <v/>
      </c>
    </row>
  </sheetData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4"/>
  <sheetViews>
    <sheetView tabSelected="1" zoomScaleNormal="100" workbookViewId="0">
      <pane ySplit="3" topLeftCell="A4" activePane="bottomLeft" state="frozen"/>
      <selection pane="bottomLeft" activeCell="B4" sqref="B4:C4"/>
    </sheetView>
  </sheetViews>
  <sheetFormatPr baseColWidth="10" defaultColWidth="8.7109375" defaultRowHeight="15"/>
  <cols>
    <col width="5" customWidth="1" min="1" max="1"/>
    <col width="42" customWidth="1" min="2" max="2"/>
    <col width="32" customWidth="1" min="3" max="3"/>
    <col width="8" customWidth="1" min="4" max="4"/>
    <col width="22" customWidth="1" min="5" max="6"/>
    <col width="28" customWidth="1" min="7" max="7"/>
    <col width="9" customWidth="1" min="8" max="8"/>
    <col width="35" customWidth="1" min="9" max="9"/>
    <col width="14" customWidth="1" min="10" max="10"/>
    <col width="12" customWidth="1" min="11" max="11"/>
    <col width="13" customWidth="1" min="12" max="12"/>
    <col width="14" customWidth="1" min="13" max="14"/>
    <col width="10" customWidth="1" min="15" max="15"/>
    <col width="14" customWidth="1" min="16" max="16"/>
    <col width="24" customWidth="1" min="17" max="17"/>
    <col width="16" customWidth="1" min="18" max="18"/>
    <col width="13" customWidth="1" min="19" max="19"/>
    <col width="14" customWidth="1" min="20" max="20"/>
  </cols>
  <sheetData>
    <row r="1" ht="30" customHeight="1">
      <c r="A1" s="51" t="inlineStr">
        <is>
          <t>REGISTRO DE FACTURAS NO PAGAR — CRAFT  |  Paso 1: elige PROVEEDOR → Paso 2: elige SERVICIO → completa los campos amarillos</t>
        </is>
      </c>
    </row>
    <row r="2" ht="15.75" customHeight="1">
      <c r="A2" s="52" t="inlineStr">
        <is>
          <t>🟨 Campos amarillos = ingreso manual   |   🟩 Campos verdes = automáticos (no editar)   |   El SERVICIO depende del PROVEEDOR elegido   |   Facturas que NO se van a pagar (rechazadas / dadas de baja)</t>
        </is>
      </c>
    </row>
    <row r="3" ht="30" customHeight="1">
      <c r="A3" s="22" t="inlineStr">
        <is>
          <t>N°</t>
        </is>
      </c>
      <c r="B3" s="22" t="inlineStr">
        <is>
          <t>PROVEEDOR</t>
        </is>
      </c>
      <c r="C3" s="22" t="inlineStr">
        <is>
          <t>SERVICIO</t>
        </is>
      </c>
      <c r="D3" s="22" t="inlineStr">
        <is>
          <t>ÁREA</t>
        </is>
      </c>
      <c r="E3" s="22" t="inlineStr">
        <is>
          <t>P&amp;L</t>
        </is>
      </c>
      <c r="F3" s="22" t="inlineStr">
        <is>
          <t>CUENTA CONTABLE</t>
        </is>
      </c>
      <c r="G3" s="22" t="inlineStr">
        <is>
          <t>GLOSA</t>
        </is>
      </c>
      <c r="H3" s="22" t="inlineStr">
        <is>
          <t>TIPO</t>
        </is>
      </c>
      <c r="I3" s="22" t="inlineStr">
        <is>
          <t>DETALLE DEL GASTO</t>
        </is>
      </c>
      <c r="J3" s="22" t="inlineStr">
        <is>
          <t>SUCURSAL</t>
        </is>
      </c>
      <c r="K3" s="22" t="inlineStr">
        <is>
          <t>N° FACTURA</t>
        </is>
      </c>
      <c r="L3" s="22" t="inlineStr">
        <is>
          <t>FECHA FACTURA</t>
        </is>
      </c>
      <c r="M3" s="22" t="inlineStr">
        <is>
          <t>FECHA REALIZACIÓN
EVENTOS</t>
        </is>
      </c>
      <c r="N3" s="22" t="inlineStr">
        <is>
          <t>MONTO</t>
        </is>
      </c>
      <c r="O3" s="22" t="inlineStr">
        <is>
          <t>CDC</t>
        </is>
      </c>
      <c r="P3" s="22" t="inlineStr">
        <is>
          <t>FECHA PROCESADO
FINANCIERO</t>
        </is>
      </c>
      <c r="Q3" s="22" t="inlineStr">
        <is>
          <t>OBSERVACIONES</t>
        </is>
      </c>
      <c r="R3" s="22" t="inlineStr">
        <is>
          <t>APROBACIÓN GERENCIA
ADMINISTRATIVA</t>
        </is>
      </c>
      <c r="S3" s="22" t="inlineStr">
        <is>
          <t>FECHA DE
APROBACIÓN</t>
        </is>
      </c>
      <c r="T3" s="22" t="inlineStr">
        <is>
          <t>MES EJECUCIÓN</t>
        </is>
      </c>
    </row>
    <row r="4" ht="15" customHeight="1">
      <c r="A4" s="67" t="n">
        <v>1</v>
      </c>
      <c r="B4" s="55" t="inlineStr">
        <is>
          <t>CASALIMPIA SA</t>
        </is>
      </c>
      <c r="C4" s="55" t="n"/>
      <c r="D4" s="65" t="inlineStr">
        <is>
          <t>ADM</t>
        </is>
      </c>
      <c r="E4" s="65">
        <f>IF(OR(B4="",C4=""),"",IFERROR(VLOOKUP(B4&amp;"|||"&amp;C4,MAESTRA!$A$3:$J$500,6,0),"⚠ No encontrado"))</f>
        <v/>
      </c>
      <c r="F4" s="65">
        <f>IF(OR(B4="",C4=""),"",IFERROR(VLOOKUP(B4&amp;"|||"&amp;C4,MAESTRA!$A$3:$J$500,7,0),"⚠ No encontrado"))</f>
        <v/>
      </c>
      <c r="G4" s="65" t="inlineStr">
        <is>
          <t>Otros Gastos CASA LIMPIA PLANILLA AC OTROS</t>
        </is>
      </c>
      <c r="H4" s="65">
        <f>IF(OR(B4="",C4=""),"",IFERROR(VLOOKUP(B4&amp;"|||"&amp;C4,MAESTRA!$A$3:$J$500,9,0),""))</f>
        <v/>
      </c>
      <c r="I4" s="55" t="inlineStr">
        <is>
          <t>NO PAGAR LEGALIZA PAGO POR PSE ASEO OFICINA CASALIMPIA BARRANQUILLA</t>
        </is>
      </c>
      <c r="J4" s="55" t="inlineStr">
        <is>
          <t>Barranquilla</t>
        </is>
      </c>
      <c r="K4" s="55" t="inlineStr">
        <is>
          <t>AP223365</t>
        </is>
      </c>
      <c r="L4" s="63" t="n">
        <v>46028</v>
      </c>
      <c r="M4" s="63" t="n"/>
      <c r="N4" s="66" t="n">
        <v>546400</v>
      </c>
      <c r="O4" s="55" t="inlineStr">
        <is>
          <t>5</t>
        </is>
      </c>
      <c r="P4" s="63" t="n">
        <v>46036</v>
      </c>
      <c r="Q4" s="55" t="n"/>
      <c r="R4" s="55" t="inlineStr">
        <is>
          <t>APROBACIÓN GERENCIA DE PERSONAS Y ADMÓN</t>
        </is>
      </c>
      <c r="S4" s="63" t="n"/>
      <c r="T4" s="65" t="inlineStr">
        <is>
          <t>enero 2026</t>
        </is>
      </c>
    </row>
    <row r="5" ht="15" customHeight="1">
      <c r="A5" s="67" t="n">
        <v>2</v>
      </c>
      <c r="B5" s="55" t="inlineStr">
        <is>
          <t>CASALIMPIA SA</t>
        </is>
      </c>
      <c r="C5" s="55" t="n"/>
      <c r="D5" s="65" t="inlineStr">
        <is>
          <t>ADM</t>
        </is>
      </c>
      <c r="E5" s="65">
        <f>IF(OR(B5="",C5=""),"",IFERROR(VLOOKUP(B5&amp;"|||"&amp;C5,MAESTRA!$A$3:$J$500,6,0),"⚠ No encontrado"))</f>
        <v/>
      </c>
      <c r="F5" s="65">
        <f>IF(OR(B5="",C5=""),"",IFERROR(VLOOKUP(B5&amp;"|||"&amp;C5,MAESTRA!$A$3:$J$500,7,0),"⚠ No encontrado"))</f>
        <v/>
      </c>
      <c r="G5" s="65" t="inlineStr">
        <is>
          <t>Otros Gastos CASA LIMPIA PLANILLA AC OTROS</t>
        </is>
      </c>
      <c r="H5" s="65">
        <f>IF(OR(B5="",C5=""),"",IFERROR(VLOOKUP(B5&amp;"|||"&amp;C5,MAESTRA!$A$3:$J$500,9,0),""))</f>
        <v/>
      </c>
      <c r="I5" s="55" t="inlineStr">
        <is>
          <t>NO PAGAR LEGALIZA PAGO POR PSE ASEO OFICINA CASALIMPIA CALI</t>
        </is>
      </c>
      <c r="J5" s="55" t="inlineStr">
        <is>
          <t>Cali</t>
        </is>
      </c>
      <c r="K5" s="55" t="inlineStr">
        <is>
          <t>AP223364</t>
        </is>
      </c>
      <c r="L5" s="63" t="n">
        <v>46028</v>
      </c>
      <c r="M5" s="63" t="n"/>
      <c r="N5" s="66" t="n">
        <v>409800</v>
      </c>
      <c r="O5" s="55" t="inlineStr">
        <is>
          <t>4</t>
        </is>
      </c>
      <c r="P5" s="63" t="n">
        <v>46036</v>
      </c>
      <c r="Q5" s="55" t="n"/>
      <c r="R5" s="55" t="inlineStr">
        <is>
          <t>APROBACIÓN GERENCIA DE PERSONAS Y ADMÓN</t>
        </is>
      </c>
      <c r="S5" s="63" t="n"/>
      <c r="T5" s="65" t="inlineStr">
        <is>
          <t>enero 2026</t>
        </is>
      </c>
    </row>
    <row r="6" ht="15" customHeight="1">
      <c r="A6" s="67" t="n">
        <v>3</v>
      </c>
      <c r="B6" s="55" t="inlineStr">
        <is>
          <t>CAMARA DE COMERCIO DE BOGOTA</t>
        </is>
      </c>
      <c r="C6" s="55" t="n"/>
      <c r="D6" s="65" t="inlineStr">
        <is>
          <t>ADM</t>
        </is>
      </c>
      <c r="E6" s="65">
        <f>IF(OR(B6="",C6=""),"",IFERROR(VLOOKUP(B6&amp;"|||"&amp;C6,MAESTRA!$A$3:$J$500,6,0),"⚠ No encontrado"))</f>
        <v/>
      </c>
      <c r="F6" s="65">
        <f>IF(OR(B6="",C6=""),"",IFERROR(VLOOKUP(B6&amp;"|||"&amp;C6,MAESTRA!$A$3:$J$500,7,0),"⚠ No encontrado"))</f>
        <v/>
      </c>
      <c r="G6" s="65" t="inlineStr">
        <is>
          <t>Trámites notariales autenticaciones</t>
        </is>
      </c>
      <c r="H6" s="65">
        <f>IF(OR(B6="",C6=""),"",IFERROR(VLOOKUP(B6&amp;"|||"&amp;C6,MAESTRA!$A$3:$J$500,9,0),""))</f>
        <v/>
      </c>
      <c r="I6" s="55" t="inlineStr">
        <is>
          <t xml:space="preserve">NO PAGAR LEGALIZA CAJA MENOR BOG  COMPRA DE CAMARA Y COMERCIO  </t>
        </is>
      </c>
      <c r="J6" s="55" t="inlineStr">
        <is>
          <t>Calle 100</t>
        </is>
      </c>
      <c r="K6" s="55" t="inlineStr">
        <is>
          <t>TV439715239</t>
        </is>
      </c>
      <c r="L6" s="63" t="n">
        <v>46024</v>
      </c>
      <c r="M6" s="63" t="n"/>
      <c r="N6" s="66" t="n">
        <v>12100</v>
      </c>
      <c r="O6" s="55" t="inlineStr">
        <is>
          <t>1920</t>
        </is>
      </c>
      <c r="P6" s="63" t="n">
        <v>46036</v>
      </c>
      <c r="Q6" s="55" t="n"/>
      <c r="R6" s="55" t="inlineStr">
        <is>
          <t>APROBACIÓN GERENCIA DE PERSONAS Y ADMÓN</t>
        </is>
      </c>
      <c r="S6" s="63" t="n"/>
      <c r="T6" s="65" t="inlineStr">
        <is>
          <t>enero 2026</t>
        </is>
      </c>
    </row>
    <row r="7" ht="15" customHeight="1">
      <c r="A7" s="67" t="n">
        <v>4</v>
      </c>
      <c r="B7" s="55" t="inlineStr">
        <is>
          <t>GASEOSAS LUX S.A.S.</t>
        </is>
      </c>
      <c r="C7" s="55" t="n"/>
      <c r="D7" s="65" t="inlineStr">
        <is>
          <t>ADM</t>
        </is>
      </c>
      <c r="E7" s="65">
        <f>IF(OR(B7="",C7=""),"",IFERROR(VLOOKUP(B7&amp;"|||"&amp;C7,MAESTRA!$A$3:$J$500,6,0),"⚠ No encontrado"))</f>
        <v/>
      </c>
      <c r="F7" s="65">
        <f>IF(OR(B7="",C7=""),"",IFERROR(VLOOKUP(B7&amp;"|||"&amp;C7,MAESTRA!$A$3:$J$500,7,0),"⚠ No encontrado"))</f>
        <v/>
      </c>
      <c r="G7" s="65" t="inlineStr">
        <is>
          <t>Material Copa/Cozinha</t>
        </is>
      </c>
      <c r="H7" s="65">
        <f>IF(OR(B7="",C7=""),"",IFERROR(VLOOKUP(B7&amp;"|||"&amp;C7,MAESTRA!$A$3:$J$500,9,0),""))</f>
        <v/>
      </c>
      <c r="I7" s="55" t="inlineStr">
        <is>
          <t>NO PAGAR LEGALIZA CAJA MENOR AEROPUERTO COMPRA 3 BOTELLONES DE AGUA</t>
        </is>
      </c>
      <c r="J7" s="55" t="inlineStr">
        <is>
          <t>Aeropuerto</t>
        </is>
      </c>
      <c r="K7" s="55" t="inlineStr">
        <is>
          <t>GL071180399</t>
        </is>
      </c>
      <c r="L7" s="63" t="n">
        <v>46030</v>
      </c>
      <c r="M7" s="63" t="n"/>
      <c r="N7" s="66" t="n">
        <v>40050</v>
      </c>
      <c r="O7" s="55" t="n"/>
      <c r="P7" s="63" t="n"/>
      <c r="Q7" s="55" t="n"/>
      <c r="R7" s="55" t="inlineStr">
        <is>
          <t>APROBACIÓN GERENCIA DE PERSONAS Y ADMÓN</t>
        </is>
      </c>
      <c r="S7" s="63" t="n"/>
      <c r="T7" s="65" t="inlineStr">
        <is>
          <t>enero 2026</t>
        </is>
      </c>
    </row>
    <row r="8" ht="15" customHeight="1">
      <c r="A8" s="67" t="n">
        <v>5</v>
      </c>
      <c r="B8" s="55" t="inlineStr">
        <is>
          <t>OSCAR ANTONIO HERNANDEZ GOMEZ</t>
        </is>
      </c>
      <c r="C8" s="55" t="n"/>
      <c r="D8" s="65" t="inlineStr">
        <is>
          <t>ADM</t>
        </is>
      </c>
      <c r="E8" s="65">
        <f>IF(OR(B8="",C8=""),"",IFERROR(VLOOKUP(B8&amp;"|||"&amp;C8,MAESTRA!$A$3:$J$500,6,0),"⚠ No encontrado"))</f>
        <v/>
      </c>
      <c r="F8" s="65">
        <f>IF(OR(B8="",C8=""),"",IFERROR(VLOOKUP(B8&amp;"|||"&amp;C8,MAESTRA!$A$3:$J$500,7,0),"⚠ No encontrado"))</f>
        <v/>
      </c>
      <c r="G8" s="65" t="inlineStr">
        <is>
          <t>Trámites notariales autenticaciones</t>
        </is>
      </c>
      <c r="H8" s="65">
        <f>IF(OR(B8="",C8=""),"",IFERROR(VLOOKUP(B8&amp;"|||"&amp;C8,MAESTRA!$A$3:$J$500,9,0),""))</f>
        <v/>
      </c>
      <c r="I8" s="55" t="inlineStr">
        <is>
          <t>NO PAGAR LEGALIZA CAJA MENOR BOGOTA AUTENTICA CONTRATO PROVEEDOR OTM DIANA CASAS</t>
        </is>
      </c>
      <c r="J8" s="55" t="inlineStr">
        <is>
          <t>Calle 100</t>
        </is>
      </c>
      <c r="K8" s="55" t="inlineStr">
        <is>
          <t>FEV140042</t>
        </is>
      </c>
      <c r="L8" s="63" t="n">
        <v>46030</v>
      </c>
      <c r="M8" s="63" t="n"/>
      <c r="N8" s="66" t="n">
        <v>4200</v>
      </c>
      <c r="O8" s="55" t="inlineStr">
        <is>
          <t>1922</t>
        </is>
      </c>
      <c r="P8" s="63" t="n">
        <v>46036</v>
      </c>
      <c r="Q8" s="55" t="n"/>
      <c r="R8" s="55" t="inlineStr">
        <is>
          <t>APROBACIÓN GERENCIA DE PERSONAS Y ADMÓN</t>
        </is>
      </c>
      <c r="S8" s="63" t="n"/>
      <c r="T8" s="65" t="inlineStr">
        <is>
          <t>enero 2026</t>
        </is>
      </c>
    </row>
    <row r="9" ht="15" customHeight="1">
      <c r="A9" s="67" t="n">
        <v>6</v>
      </c>
      <c r="B9" s="55" t="inlineStr">
        <is>
          <t>SUPERMARKET LA COLOMBIANA SAS ZOMAC</t>
        </is>
      </c>
      <c r="C9" s="55" t="n"/>
      <c r="D9" s="65" t="inlineStr">
        <is>
          <t>ADM</t>
        </is>
      </c>
      <c r="E9" s="65">
        <f>IF(OR(B9="",C9=""),"",IFERROR(VLOOKUP(B9&amp;"|||"&amp;C9,MAESTRA!$A$3:$J$500,6,0),"⚠ No encontrado"))</f>
        <v/>
      </c>
      <c r="F9" s="65">
        <f>IF(OR(B9="",C9=""),"",IFERROR(VLOOKUP(B9&amp;"|||"&amp;C9,MAESTRA!$A$3:$J$500,7,0),"⚠ No encontrado"))</f>
        <v/>
      </c>
      <c r="G9" s="65" t="inlineStr">
        <is>
          <t>Material Copa/Cozinha</t>
        </is>
      </c>
      <c r="H9" s="65">
        <f>IF(OR(B9="",C9=""),"",IFERROR(VLOOKUP(B9&amp;"|||"&amp;C9,MAESTRA!$A$3:$J$500,9,0),""))</f>
        <v/>
      </c>
      <c r="I9" s="55" t="inlineStr">
        <is>
          <t>NO PAGAR LEGALIZA CAJA MENOR BUENAVENTURA COMPRA BOTELLON  DE AGUA</t>
        </is>
      </c>
      <c r="J9" s="55" t="inlineStr">
        <is>
          <t>Buenaventura</t>
        </is>
      </c>
      <c r="K9" s="55" t="inlineStr">
        <is>
          <t>SMEF42506</t>
        </is>
      </c>
      <c r="L9" s="63" t="n">
        <v>46031</v>
      </c>
      <c r="M9" s="63" t="n"/>
      <c r="N9" s="66" t="n">
        <v>30000</v>
      </c>
      <c r="O9" s="55" t="inlineStr">
        <is>
          <t>8</t>
        </is>
      </c>
      <c r="P9" s="63" t="n">
        <v>46036</v>
      </c>
      <c r="Q9" s="55" t="n"/>
      <c r="R9" s="55" t="inlineStr">
        <is>
          <t>APROBACIÓN GERENCIA DE PERSONAS Y ADMÓN</t>
        </is>
      </c>
      <c r="S9" s="63" t="n"/>
      <c r="T9" s="65" t="inlineStr">
        <is>
          <t>enero 2026</t>
        </is>
      </c>
    </row>
    <row r="10" ht="15" customHeight="1">
      <c r="A10" s="67" t="n">
        <v>7</v>
      </c>
      <c r="B10" s="55" t="inlineStr">
        <is>
          <t>OSCAR ANTONIO HERNANDEZ GOMEZ</t>
        </is>
      </c>
      <c r="C10" s="55" t="n"/>
      <c r="D10" s="65" t="inlineStr">
        <is>
          <t>ADM</t>
        </is>
      </c>
      <c r="E10" s="65">
        <f>IF(OR(B10="",C10=""),"",IFERROR(VLOOKUP(B10&amp;"|||"&amp;C10,MAESTRA!$A$3:$J$500,6,0),"⚠ No encontrado"))</f>
        <v/>
      </c>
      <c r="F10" s="65">
        <f>IF(OR(B10="",C10=""),"",IFERROR(VLOOKUP(B10&amp;"|||"&amp;C10,MAESTRA!$A$3:$J$500,7,0),"⚠ No encontrado"))</f>
        <v/>
      </c>
      <c r="G10" s="65" t="inlineStr">
        <is>
          <t>Trámites notariales autenticaciones</t>
        </is>
      </c>
      <c r="H10" s="65">
        <f>IF(OR(B10="",C10=""),"",IFERROR(VLOOKUP(B10&amp;"|||"&amp;C10,MAESTRA!$A$3:$J$500,9,0),""))</f>
        <v/>
      </c>
      <c r="I10" s="55" t="inlineStr">
        <is>
          <t>NO PAGAR LEGALIZA CAJA MENOR BOGOTA AUTENTICA CARTAS MAERSK SILVIA TRIANA</t>
        </is>
      </c>
      <c r="J10" s="55" t="inlineStr">
        <is>
          <t>Calle 100</t>
        </is>
      </c>
      <c r="K10" s="55" t="inlineStr">
        <is>
          <t>FEV140166</t>
        </is>
      </c>
      <c r="L10" s="63" t="n">
        <v>46031</v>
      </c>
      <c r="M10" s="63" t="n"/>
      <c r="N10" s="66" t="n">
        <v>14137</v>
      </c>
      <c r="O10" s="55" t="inlineStr">
        <is>
          <t>1926</t>
        </is>
      </c>
      <c r="P10" s="63" t="n">
        <v>46036</v>
      </c>
      <c r="Q10" s="55" t="n"/>
      <c r="R10" s="55" t="inlineStr">
        <is>
          <t>APROBACIÓN GERENCIA DE PERSONAS Y ADMÓN</t>
        </is>
      </c>
      <c r="S10" s="63" t="n"/>
      <c r="T10" s="65" t="inlineStr">
        <is>
          <t>enero 2026</t>
        </is>
      </c>
    </row>
    <row r="11" ht="15" customHeight="1">
      <c r="A11" s="67" t="n">
        <v>8</v>
      </c>
      <c r="B11" s="55" t="inlineStr">
        <is>
          <t>COLOMBIANA DE COMERCIO S.A.</t>
        </is>
      </c>
      <c r="C11" s="55" t="n"/>
      <c r="D11" s="65" t="inlineStr">
        <is>
          <t>GH</t>
        </is>
      </c>
      <c r="E11" s="65">
        <f>IF(OR(B11="",C11=""),"",IFERROR(VLOOKUP(B11&amp;"|||"&amp;C11,MAESTRA!$A$3:$J$500,6,0),"⚠ No encontrado"))</f>
        <v/>
      </c>
      <c r="F11" s="65">
        <f>IF(OR(B11="",C11=""),"",IFERROR(VLOOKUP(B11&amp;"|||"&amp;C11,MAESTRA!$A$3:$J$500,7,0),"⚠ No encontrado"))</f>
        <v/>
      </c>
      <c r="G11" s="65" t="inlineStr">
        <is>
          <t>Plan estratégico en enero 2025</t>
        </is>
      </c>
      <c r="H11" s="65">
        <f>IF(OR(B11="",C11=""),"",IFERROR(VLOOKUP(B11&amp;"|||"&amp;C11,MAESTRA!$A$3:$J$500,9,0),""))</f>
        <v/>
      </c>
      <c r="I11" s="55" t="inlineStr">
        <is>
          <t>NO PAGAR LEGALIZA CAJA MENOR BOGOTA COMPRA VASOS Y PAPEL SANDWICH DESAYUNO HEAD</t>
        </is>
      </c>
      <c r="J11" s="55" t="inlineStr">
        <is>
          <t>Transversal</t>
        </is>
      </c>
      <c r="K11" s="55" t="inlineStr">
        <is>
          <t>X9222557543</t>
        </is>
      </c>
      <c r="L11" s="63" t="n">
        <v>46034</v>
      </c>
      <c r="M11" s="63" t="n"/>
      <c r="N11" s="66" t="n">
        <v>28700</v>
      </c>
      <c r="O11" s="55" t="inlineStr">
        <is>
          <t>1928</t>
        </is>
      </c>
      <c r="P11" s="63" t="n">
        <v>46036</v>
      </c>
      <c r="Q11" s="55" t="n"/>
      <c r="R11" s="55" t="inlineStr">
        <is>
          <t>APROBACIÓN GERENCIA DE PERSONAS Y ADMÓN</t>
        </is>
      </c>
      <c r="S11" s="63" t="n"/>
      <c r="T11" s="65" t="inlineStr">
        <is>
          <t>enero 2026</t>
        </is>
      </c>
    </row>
    <row r="12" ht="15" customHeight="1">
      <c r="A12" s="67" t="n">
        <v>9</v>
      </c>
      <c r="B12" s="55" t="inlineStr">
        <is>
          <t>CADENA COMERCIAL OXXO COLOMBIA S A S</t>
        </is>
      </c>
      <c r="C12" s="55" t="n"/>
      <c r="D12" s="65" t="inlineStr">
        <is>
          <t>GH</t>
        </is>
      </c>
      <c r="E12" s="65">
        <f>IF(OR(B12="",C12=""),"",IFERROR(VLOOKUP(B12&amp;"|||"&amp;C12,MAESTRA!$A$3:$J$500,6,0),"⚠ No encontrado"))</f>
        <v/>
      </c>
      <c r="F12" s="65">
        <f>IF(OR(B12="",C12=""),"",IFERROR(VLOOKUP(B12&amp;"|||"&amp;C12,MAESTRA!$A$3:$J$500,7,0),"⚠ No encontrado"))</f>
        <v/>
      </c>
      <c r="G12" s="65" t="inlineStr">
        <is>
          <t>Plan estratégico en enero 2025</t>
        </is>
      </c>
      <c r="H12" s="65">
        <f>IF(OR(B12="",C12=""),"",IFERROR(VLOOKUP(B12&amp;"|||"&amp;C12,MAESTRA!$A$3:$J$500,9,0),""))</f>
        <v/>
      </c>
      <c r="I12" s="55" t="inlineStr">
        <is>
          <t>NO PAGAR LEGALIZA TC 9994 COMPRA GASEOSA ALMUERZO REUNION HEAD</t>
        </is>
      </c>
      <c r="J12" s="55" t="inlineStr">
        <is>
          <t>Transversal</t>
        </is>
      </c>
      <c r="K12" s="55" t="inlineStr">
        <is>
          <t>234C210864</t>
        </is>
      </c>
      <c r="L12" s="63" t="n">
        <v>46035</v>
      </c>
      <c r="M12" s="63" t="n"/>
      <c r="N12" s="66" t="n">
        <v>54400</v>
      </c>
      <c r="O12" s="55" t="inlineStr">
        <is>
          <t>1929</t>
        </is>
      </c>
      <c r="P12" s="63" t="n">
        <v>46036</v>
      </c>
      <c r="Q12" s="55" t="n"/>
      <c r="R12" s="55" t="inlineStr">
        <is>
          <t>APROBACIÓN GERENCIA DE PERSONAS Y ADMÓN</t>
        </is>
      </c>
      <c r="S12" s="63" t="n"/>
      <c r="T12" s="65" t="inlineStr">
        <is>
          <t>enero 2026</t>
        </is>
      </c>
    </row>
    <row r="13" ht="15" customHeight="1">
      <c r="A13" s="67" t="n">
        <v>10</v>
      </c>
      <c r="B13" s="55" t="inlineStr">
        <is>
          <t>COORSERPARK S.A.S</t>
        </is>
      </c>
      <c r="C13" s="55" t="n"/>
      <c r="D13" s="65" t="inlineStr">
        <is>
          <t>GH</t>
        </is>
      </c>
      <c r="E13" s="65">
        <f>IF(OR(B13="",C13=""),"",IFERROR(VLOOKUP(B13&amp;"|||"&amp;C13,MAESTRA!$A$3:$J$500,6,0),"⚠ No encontrado"))</f>
        <v/>
      </c>
      <c r="F13" s="65">
        <f>IF(OR(B13="",C13=""),"",IFERROR(VLOOKUP(B13&amp;"|||"&amp;C13,MAESTRA!$A$3:$J$500,7,0),"⚠ No encontrado"))</f>
        <v/>
      </c>
      <c r="G13" s="65" t="inlineStr">
        <is>
          <t>Detalles en momentos especificos (Matrimonio, grados, fallecimientos)</t>
        </is>
      </c>
      <c r="H13" s="65">
        <f>IF(OR(B13="",C13=""),"",IFERROR(VLOOKUP(B13&amp;"|||"&amp;C13,MAESTRA!$A$3:$J$500,9,0),""))</f>
        <v/>
      </c>
      <c r="I13" s="55" t="inlineStr">
        <is>
          <t>NO PAGAR LEGALIZA TC 9994 ARREGLO FLORAL DIANA GRACIA</t>
        </is>
      </c>
      <c r="J13" s="55" t="inlineStr">
        <is>
          <t>Transversal</t>
        </is>
      </c>
      <c r="K13" s="55" t="inlineStr">
        <is>
          <t>SER312797</t>
        </is>
      </c>
      <c r="L13" s="63" t="n">
        <v>46031</v>
      </c>
      <c r="M13" s="63" t="n"/>
      <c r="N13" s="66" t="n">
        <v>250000</v>
      </c>
      <c r="O13" s="55" t="inlineStr">
        <is>
          <t>5</t>
        </is>
      </c>
      <c r="P13" s="63" t="n">
        <v>46036</v>
      </c>
      <c r="Q13" s="55" t="n"/>
      <c r="R13" s="55" t="inlineStr">
        <is>
          <t>APROBACIÓN GERENCIA DE PERSONAS Y ADMÓN</t>
        </is>
      </c>
      <c r="S13" s="63" t="n"/>
      <c r="T13" s="65" t="inlineStr">
        <is>
          <t>enero 2026</t>
        </is>
      </c>
    </row>
    <row r="14" ht="15" customHeight="1">
      <c r="A14" s="67" t="n">
        <v>11</v>
      </c>
      <c r="B14" s="55" t="inlineStr">
        <is>
          <t>CADENA COMERCIAL OXXO COLOMBIA S A S</t>
        </is>
      </c>
      <c r="C14" s="55" t="n"/>
      <c r="D14" s="65" t="inlineStr">
        <is>
          <t>GH</t>
        </is>
      </c>
      <c r="E14" s="65">
        <f>IF(OR(B14="",C14=""),"",IFERROR(VLOOKUP(B14&amp;"|||"&amp;C14,MAESTRA!$A$3:$J$500,6,0),"⚠ No encontrado"))</f>
        <v/>
      </c>
      <c r="F14" s="65">
        <f>IF(OR(B14="",C14=""),"",IFERROR(VLOOKUP(B14&amp;"|||"&amp;C14,MAESTRA!$A$3:$J$500,7,0),"⚠ No encontrado"))</f>
        <v/>
      </c>
      <c r="G14" s="65" t="inlineStr">
        <is>
          <t>Plan estratégico en enero 2025</t>
        </is>
      </c>
      <c r="H14" s="65">
        <f>IF(OR(B14="",C14=""),"",IFERROR(VLOOKUP(B14&amp;"|||"&amp;C14,MAESTRA!$A$3:$J$500,9,0),""))</f>
        <v/>
      </c>
      <c r="I14" s="55" t="inlineStr">
        <is>
          <t>NO PAGAR LEGALIZA TC 9994 COMPRA AGUA REUNION HEAD</t>
        </is>
      </c>
      <c r="J14" s="55" t="inlineStr">
        <is>
          <t>Transversal</t>
        </is>
      </c>
      <c r="K14" s="55" t="inlineStr">
        <is>
          <t>334C240525</t>
        </is>
      </c>
      <c r="L14" s="63" t="n">
        <v>46035</v>
      </c>
      <c r="M14" s="63" t="n"/>
      <c r="N14" s="66" t="n">
        <v>81600</v>
      </c>
      <c r="O14" s="55" t="inlineStr">
        <is>
          <t>1930</t>
        </is>
      </c>
      <c r="P14" s="63" t="n">
        <v>46036</v>
      </c>
      <c r="Q14" s="55" t="n"/>
      <c r="R14" s="55" t="inlineStr">
        <is>
          <t>APROBACIÓN GERENCIA DE PERSONAS Y ADMÓN</t>
        </is>
      </c>
      <c r="S14" s="63" t="n"/>
      <c r="T14" s="65" t="inlineStr">
        <is>
          <t>enero 2026</t>
        </is>
      </c>
    </row>
    <row r="15" ht="15" customHeight="1">
      <c r="A15" s="67" t="n">
        <v>12</v>
      </c>
      <c r="B15" s="55" t="inlineStr">
        <is>
          <t>GRUPO CBC S.A.S.</t>
        </is>
      </c>
      <c r="C15" s="55" t="n"/>
      <c r="D15" s="65" t="inlineStr">
        <is>
          <t>GH</t>
        </is>
      </c>
      <c r="E15" s="65">
        <f>IF(OR(B15="",C15=""),"",IFERROR(VLOOKUP(B15&amp;"|||"&amp;C15,MAESTRA!$A$3:$J$500,6,0),"⚠ No encontrado"))</f>
        <v/>
      </c>
      <c r="F15" s="65">
        <f>IF(OR(B15="",C15=""),"",IFERROR(VLOOKUP(B15&amp;"|||"&amp;C15,MAESTRA!$A$3:$J$500,7,0),"⚠ No encontrado"))</f>
        <v/>
      </c>
      <c r="G15" s="65" t="inlineStr">
        <is>
          <t>Café / Almuerzo con colaboradores</t>
        </is>
      </c>
      <c r="H15" s="65">
        <f>IF(OR(B15="",C15=""),"",IFERROR(VLOOKUP(B15&amp;"|||"&amp;C15,MAESTRA!$A$3:$J$500,9,0),""))</f>
        <v/>
      </c>
      <c r="I15" s="55" t="inlineStr">
        <is>
          <t>NO PAGAR LEGALIZA GINNA CASTRO ALMUERZO TRABAJO AURA,MARIANA,AACR</t>
        </is>
      </c>
      <c r="J15" s="55" t="inlineStr">
        <is>
          <t>Calle 100</t>
        </is>
      </c>
      <c r="K15" s="55" t="inlineStr">
        <is>
          <t>A118120840</t>
        </is>
      </c>
      <c r="L15" s="63" t="n">
        <v>46038</v>
      </c>
      <c r="M15" s="63" t="n"/>
      <c r="N15" s="66" t="n">
        <v>186351</v>
      </c>
      <c r="O15" s="55" t="inlineStr">
        <is>
          <t>7281</t>
        </is>
      </c>
      <c r="P15" s="63" t="n">
        <v>46059</v>
      </c>
      <c r="Q15" s="55" t="n"/>
      <c r="R15" s="55" t="inlineStr">
        <is>
          <t>APROBACIÓN GERENCIA DE PERSONAS Y ADMÓN</t>
        </is>
      </c>
      <c r="S15" s="63" t="n"/>
      <c r="T15" s="65" t="inlineStr">
        <is>
          <t>enero 2026</t>
        </is>
      </c>
    </row>
    <row r="16" ht="15" customHeight="1">
      <c r="A16" s="67" t="n">
        <v>13</v>
      </c>
      <c r="B16" s="55" t="inlineStr">
        <is>
          <t>CADENA COMERCIAL OXXO COLOMBIA S A S</t>
        </is>
      </c>
      <c r="C16" s="55" t="n"/>
      <c r="D16" s="65" t="inlineStr">
        <is>
          <t>GH</t>
        </is>
      </c>
      <c r="E16" s="65">
        <f>IF(OR(B16="",C16=""),"",IFERROR(VLOOKUP(B16&amp;"|||"&amp;C16,MAESTRA!$A$3:$J$500,6,0),"⚠ No encontrado"))</f>
        <v/>
      </c>
      <c r="F16" s="65">
        <f>IF(OR(B16="",C16=""),"",IFERROR(VLOOKUP(B16&amp;"|||"&amp;C16,MAESTRA!$A$3:$J$500,7,0),"⚠ No encontrado"))</f>
        <v/>
      </c>
      <c r="G16" s="65" t="inlineStr">
        <is>
          <t>Plan estratégico en enero 2025</t>
        </is>
      </c>
      <c r="H16" s="65">
        <f>IF(OR(B16="",C16=""),"",IFERROR(VLOOKUP(B16&amp;"|||"&amp;C16,MAESTRA!$A$3:$J$500,9,0),""))</f>
        <v/>
      </c>
      <c r="I16" s="55" t="inlineStr">
        <is>
          <t>NO PAGAR LEGALIZA CAJA MENOR BOG COMPRA QUESOS REUNION VENTAS</t>
        </is>
      </c>
      <c r="J16" s="55" t="inlineStr">
        <is>
          <t>Transversal</t>
        </is>
      </c>
      <c r="K16" s="55" t="inlineStr">
        <is>
          <t>334C243538</t>
        </is>
      </c>
      <c r="L16" s="63" t="n">
        <v>46041</v>
      </c>
      <c r="M16" s="63" t="n"/>
      <c r="N16" s="66" t="n">
        <v>34800</v>
      </c>
      <c r="O16" s="55" t="inlineStr">
        <is>
          <t>7288</t>
        </is>
      </c>
      <c r="P16" s="63" t="n">
        <v>46059</v>
      </c>
      <c r="Q16" s="55" t="n"/>
      <c r="R16" s="55" t="inlineStr">
        <is>
          <t>APROBACIÓN GERENCIA DE PERSONAS Y ADMÓN</t>
        </is>
      </c>
      <c r="S16" s="63" t="n"/>
      <c r="T16" s="65" t="inlineStr">
        <is>
          <t>enero 2026</t>
        </is>
      </c>
    </row>
    <row r="17" ht="15" customHeight="1">
      <c r="A17" s="67" t="n">
        <v>14</v>
      </c>
      <c r="B17" s="55" t="inlineStr">
        <is>
          <t>CADENA COMERCIAL OXXO COLOMBIA S A S</t>
        </is>
      </c>
      <c r="C17" s="55" t="n"/>
      <c r="D17" s="65" t="inlineStr">
        <is>
          <t>GH</t>
        </is>
      </c>
      <c r="E17" s="65">
        <f>IF(OR(B17="",C17=""),"",IFERROR(VLOOKUP(B17&amp;"|||"&amp;C17,MAESTRA!$A$3:$J$500,6,0),"⚠ No encontrado"))</f>
        <v/>
      </c>
      <c r="F17" s="65">
        <f>IF(OR(B17="",C17=""),"",IFERROR(VLOOKUP(B17&amp;"|||"&amp;C17,MAESTRA!$A$3:$J$500,7,0),"⚠ No encontrado"))</f>
        <v/>
      </c>
      <c r="G17" s="65" t="inlineStr">
        <is>
          <t>Plan estratégico en enero 2025</t>
        </is>
      </c>
      <c r="H17" s="65">
        <f>IF(OR(B17="",C17=""),"",IFERROR(VLOOKUP(B17&amp;"|||"&amp;C17,MAESTRA!$A$3:$J$500,9,0),""))</f>
        <v/>
      </c>
      <c r="I17" s="55" t="inlineStr">
        <is>
          <t>NO PAGAR LEGALIZA CAJA MENOR BOG COMPRA AGUAS REUNION VENTAS</t>
        </is>
      </c>
      <c r="J17" s="55" t="inlineStr">
        <is>
          <t>Transversal</t>
        </is>
      </c>
      <c r="K17" s="55" t="inlineStr">
        <is>
          <t>234C212340</t>
        </is>
      </c>
      <c r="L17" s="63" t="n">
        <v>46041</v>
      </c>
      <c r="M17" s="63" t="n"/>
      <c r="N17" s="66" t="n">
        <v>41400</v>
      </c>
      <c r="O17" s="55" t="inlineStr">
        <is>
          <t>7289</t>
        </is>
      </c>
      <c r="P17" s="63" t="n">
        <v>46059</v>
      </c>
      <c r="Q17" s="55" t="n"/>
      <c r="R17" s="55" t="inlineStr">
        <is>
          <t>APROBACIÓN GERENCIA DE PERSONAS Y ADMÓN</t>
        </is>
      </c>
      <c r="S17" s="63" t="n"/>
      <c r="T17" s="65" t="inlineStr">
        <is>
          <t>enero 2026</t>
        </is>
      </c>
    </row>
    <row r="18" ht="15" customHeight="1">
      <c r="A18" s="67" t="n">
        <v>15</v>
      </c>
      <c r="B18" s="55" t="inlineStr">
        <is>
          <t>SUPERMARKET LA COLOMBIANA SAS ZOMAC</t>
        </is>
      </c>
      <c r="C18" s="55" t="n"/>
      <c r="D18" s="65" t="inlineStr">
        <is>
          <t>ADM</t>
        </is>
      </c>
      <c r="E18" s="65">
        <f>IF(OR(B18="",C18=""),"",IFERROR(VLOOKUP(B18&amp;"|||"&amp;C18,MAESTRA!$A$3:$J$500,6,0),"⚠ No encontrado"))</f>
        <v/>
      </c>
      <c r="F18" s="65">
        <f>IF(OR(B18="",C18=""),"",IFERROR(VLOOKUP(B18&amp;"|||"&amp;C18,MAESTRA!$A$3:$J$500,7,0),"⚠ No encontrado"))</f>
        <v/>
      </c>
      <c r="G18" s="65" t="inlineStr">
        <is>
          <t>Comidas de trabajo extra colaboradores</t>
        </is>
      </c>
      <c r="H18" s="65">
        <f>IF(OR(B18="",C18=""),"",IFERROR(VLOOKUP(B18&amp;"|||"&amp;C18,MAESTRA!$A$3:$J$500,9,0),""))</f>
        <v/>
      </c>
      <c r="I18" s="55" t="inlineStr">
        <is>
          <t>NO PAGAR LEGALIZA CAJA MENOR BUENAVENTURA COMPRA GASEOSA</t>
        </is>
      </c>
      <c r="J18" s="55" t="inlineStr">
        <is>
          <t>Buenaventura</t>
        </is>
      </c>
      <c r="K18" s="55" t="inlineStr">
        <is>
          <t>SMEF43854</t>
        </is>
      </c>
      <c r="L18" s="63" t="n">
        <v>46038</v>
      </c>
      <c r="M18" s="63" t="n"/>
      <c r="N18" s="66" t="n">
        <v>10500</v>
      </c>
      <c r="O18" s="55" t="inlineStr">
        <is>
          <t>25</t>
        </is>
      </c>
      <c r="P18" s="63" t="n">
        <v>46059</v>
      </c>
      <c r="Q18" s="55" t="n"/>
      <c r="R18" s="55" t="inlineStr">
        <is>
          <t>APROBACIÓN GERENCIA DE PERSONAS Y ADMÓN</t>
        </is>
      </c>
      <c r="S18" s="63" t="n"/>
      <c r="T18" s="65" t="inlineStr">
        <is>
          <t>enero 2026</t>
        </is>
      </c>
    </row>
    <row r="19" ht="15" customHeight="1">
      <c r="A19" s="67" t="n">
        <v>16</v>
      </c>
      <c r="B19" s="55" t="inlineStr">
        <is>
          <t>ALMACENES ÉXITO S.A</t>
        </is>
      </c>
      <c r="C19" s="55" t="n"/>
      <c r="D19" s="65" t="inlineStr">
        <is>
          <t>ADM</t>
        </is>
      </c>
      <c r="E19" s="65">
        <f>IF(OR(B19="",C19=""),"",IFERROR(VLOOKUP(B19&amp;"|||"&amp;C19,MAESTRA!$A$3:$J$500,6,0),"⚠ No encontrado"))</f>
        <v/>
      </c>
      <c r="F19" s="65">
        <f>IF(OR(B19="",C19=""),"",IFERROR(VLOOKUP(B19&amp;"|||"&amp;C19,MAESTRA!$A$3:$J$500,7,0),"⚠ No encontrado"))</f>
        <v/>
      </c>
      <c r="G19" s="65" t="inlineStr">
        <is>
          <t>Material Copa/Cozinha</t>
        </is>
      </c>
      <c r="H19" s="65">
        <f>IF(OR(B19="",C19=""),"",IFERROR(VLOOKUP(B19&amp;"|||"&amp;C19,MAESTRA!$A$3:$J$500,9,0),""))</f>
        <v/>
      </c>
      <c r="I19" s="55" t="inlineStr">
        <is>
          <t>NO PAGAR LEGALIZA NADIA MARTINEZ COMPRA ELEMENTOS ASEO SUCURSAL BARRANQUILLLA</t>
        </is>
      </c>
      <c r="J19" s="55" t="inlineStr">
        <is>
          <t>Barranquilla</t>
        </is>
      </c>
      <c r="K19" s="55" t="inlineStr">
        <is>
          <t>VF2711438</t>
        </is>
      </c>
      <c r="L19" s="63" t="n">
        <v>46035</v>
      </c>
      <c r="M19" s="63" t="n"/>
      <c r="N19" s="66" t="n">
        <v>251472</v>
      </c>
      <c r="O19" s="55" t="inlineStr">
        <is>
          <t>7</t>
        </is>
      </c>
      <c r="P19" s="63" t="n">
        <v>46051</v>
      </c>
      <c r="Q19" s="55" t="n"/>
      <c r="R19" s="55" t="inlineStr">
        <is>
          <t>APROBACIÓN GERENCIA DE PERSONAS Y ADMÓN</t>
        </is>
      </c>
      <c r="S19" s="63" t="n"/>
      <c r="T19" s="65" t="inlineStr">
        <is>
          <t>enero 2026</t>
        </is>
      </c>
    </row>
    <row r="20" ht="15" customHeight="1">
      <c r="A20" s="67" t="n">
        <v>17</v>
      </c>
      <c r="B20" s="55" t="inlineStr">
        <is>
          <t>GASEOSAS LUX S.A.S.</t>
        </is>
      </c>
      <c r="C20" s="55" t="n"/>
      <c r="D20" s="65" t="inlineStr">
        <is>
          <t>ADM</t>
        </is>
      </c>
      <c r="E20" s="65">
        <f>IF(OR(B20="",C20=""),"",IFERROR(VLOOKUP(B20&amp;"|||"&amp;C20,MAESTRA!$A$3:$J$500,6,0),"⚠ No encontrado"))</f>
        <v/>
      </c>
      <c r="F20" s="65">
        <f>IF(OR(B20="",C20=""),"",IFERROR(VLOOKUP(B20&amp;"|||"&amp;C20,MAESTRA!$A$3:$J$500,7,0),"⚠ No encontrado"))</f>
        <v/>
      </c>
      <c r="G20" s="65" t="inlineStr">
        <is>
          <t>Material Copa/Cozinha</t>
        </is>
      </c>
      <c r="H20" s="65">
        <f>IF(OR(B20="",C20=""),"",IFERROR(VLOOKUP(B20&amp;"|||"&amp;C20,MAESTRA!$A$3:$J$500,9,0),""))</f>
        <v/>
      </c>
      <c r="I20" s="55" t="inlineStr">
        <is>
          <t>NO PAGAR LEGALIZA CAJA MENOR AEROPUERTO COMPRA BOTELLONES DE AGUA</t>
        </is>
      </c>
      <c r="J20" s="55" t="inlineStr">
        <is>
          <t>Aeropuerto</t>
        </is>
      </c>
      <c r="K20" s="55" t="inlineStr">
        <is>
          <t>GL071228596</t>
        </is>
      </c>
      <c r="L20" s="63" t="n">
        <v>46043</v>
      </c>
      <c r="M20" s="63" t="n"/>
      <c r="N20" s="66" t="n">
        <v>40050</v>
      </c>
      <c r="O20" s="55" t="n"/>
      <c r="P20" s="63" t="n"/>
      <c r="Q20" s="55" t="n"/>
      <c r="R20" s="55" t="inlineStr">
        <is>
          <t>APROBACIÓN GERENCIA DE PERSONAS Y ADMÓN</t>
        </is>
      </c>
      <c r="S20" s="63" t="n"/>
      <c r="T20" s="65" t="inlineStr">
        <is>
          <t>enero 2026</t>
        </is>
      </c>
    </row>
    <row r="21" ht="15" customHeight="1">
      <c r="A21" s="67" t="n">
        <v>18</v>
      </c>
      <c r="B21" s="55" t="inlineStr">
        <is>
          <t>COMIDAS VARPEL SAS</t>
        </is>
      </c>
      <c r="C21" s="55" t="n"/>
      <c r="D21" s="65" t="inlineStr">
        <is>
          <t>GH</t>
        </is>
      </c>
      <c r="E21" s="65">
        <f>IF(OR(B21="",C21=""),"",IFERROR(VLOOKUP(B21&amp;"|||"&amp;C21,MAESTRA!$A$3:$J$500,6,0),"⚠ No encontrado"))</f>
        <v/>
      </c>
      <c r="F21" s="65">
        <f>IF(OR(B21="",C21=""),"",IFERROR(VLOOKUP(B21&amp;"|||"&amp;C21,MAESTRA!$A$3:$J$500,7,0),"⚠ No encontrado"))</f>
        <v/>
      </c>
      <c r="G21" s="65" t="inlineStr">
        <is>
          <t>Plan estratégico en enero 2025</t>
        </is>
      </c>
      <c r="H21" s="65">
        <f>IF(OR(B21="",C21=""),"",IFERROR(VLOOKUP(B21&amp;"|||"&amp;C21,MAESTRA!$A$3:$J$500,9,0),""))</f>
        <v/>
      </c>
      <c r="I21" s="55" t="inlineStr">
        <is>
          <t>NO PAGAR LEGALIZA TC BB 9994 ALMUERZO REUNION HEAD 2</t>
        </is>
      </c>
      <c r="J21" s="55" t="inlineStr">
        <is>
          <t>Transversal</t>
        </is>
      </c>
      <c r="K21" s="55" t="inlineStr">
        <is>
          <t>E07A67636</t>
        </is>
      </c>
      <c r="L21" s="63" t="n">
        <v>46048</v>
      </c>
      <c r="M21" s="63" t="n"/>
      <c r="N21" s="66" t="n">
        <v>615000</v>
      </c>
      <c r="O21" s="55" t="inlineStr">
        <is>
          <t>7294</t>
        </is>
      </c>
      <c r="P21" s="63" t="n">
        <v>46059</v>
      </c>
      <c r="Q21" s="55" t="n"/>
      <c r="R21" s="55" t="inlineStr">
        <is>
          <t>APROBACIÓN GERENCIA DE PERSONAS Y ADMÓN</t>
        </is>
      </c>
      <c r="S21" s="63" t="n"/>
      <c r="T21" s="65" t="inlineStr">
        <is>
          <t>enero 2026</t>
        </is>
      </c>
    </row>
    <row r="22" ht="15" customHeight="1">
      <c r="A22" s="67" t="n">
        <v>19</v>
      </c>
      <c r="B22" s="55" t="inlineStr">
        <is>
          <t>SUPERMARKET LA COLOMBIANA SAS ZOMAC</t>
        </is>
      </c>
      <c r="C22" s="55" t="n"/>
      <c r="D22" s="65" t="inlineStr">
        <is>
          <t>ADM</t>
        </is>
      </c>
      <c r="E22" s="65">
        <f>IF(OR(B22="",C22=""),"",IFERROR(VLOOKUP(B22&amp;"|||"&amp;C22,MAESTRA!$A$3:$J$500,6,0),"⚠ No encontrado"))</f>
        <v/>
      </c>
      <c r="F22" s="65">
        <f>IF(OR(B22="",C22=""),"",IFERROR(VLOOKUP(B22&amp;"|||"&amp;C22,MAESTRA!$A$3:$J$500,7,0),"⚠ No encontrado"))</f>
        <v/>
      </c>
      <c r="G22" s="65" t="inlineStr">
        <is>
          <t>Material Copa/Cozinha</t>
        </is>
      </c>
      <c r="H22" s="65">
        <f>IF(OR(B22="",C22=""),"",IFERROR(VLOOKUP(B22&amp;"|||"&amp;C22,MAESTRA!$A$3:$J$500,9,0),""))</f>
        <v/>
      </c>
      <c r="I22" s="55" t="inlineStr">
        <is>
          <t>NO PAGAR LEGALIZA CAJA MENOR BUENAVENTURA COMPRA BOTELLONES DE AGUA</t>
        </is>
      </c>
      <c r="J22" s="55" t="inlineStr">
        <is>
          <t>Buenaventura</t>
        </is>
      </c>
      <c r="K22" s="55" t="inlineStr">
        <is>
          <t>SMEF45396</t>
        </is>
      </c>
      <c r="L22" s="63" t="n">
        <v>46048</v>
      </c>
      <c r="M22" s="63" t="n"/>
      <c r="N22" s="66" t="n">
        <v>30000</v>
      </c>
      <c r="O22" s="55" t="inlineStr">
        <is>
          <t>26</t>
        </is>
      </c>
      <c r="P22" s="63" t="n">
        <v>46059</v>
      </c>
      <c r="Q22" s="55" t="n"/>
      <c r="R22" s="55" t="inlineStr">
        <is>
          <t>APROBACIÓN GERENCIA DE PERSONAS Y ADMÓN</t>
        </is>
      </c>
      <c r="S22" s="63" t="n"/>
      <c r="T22" s="65" t="inlineStr">
        <is>
          <t>enero 2026</t>
        </is>
      </c>
    </row>
    <row r="23" ht="15" customHeight="1">
      <c r="A23" s="67" t="n">
        <v>20</v>
      </c>
      <c r="B23" s="55" t="inlineStr">
        <is>
          <t>COMIDAS VARPEL SAS</t>
        </is>
      </c>
      <c r="C23" s="55" t="n"/>
      <c r="D23" s="65" t="inlineStr">
        <is>
          <t>GH</t>
        </is>
      </c>
      <c r="E23" s="65">
        <f>IF(OR(B23="",C23=""),"",IFERROR(VLOOKUP(B23&amp;"|||"&amp;C23,MAESTRA!$A$3:$J$500,6,0),"⚠ No encontrado"))</f>
        <v/>
      </c>
      <c r="F23" s="65">
        <f>IF(OR(B23="",C23=""),"",IFERROR(VLOOKUP(B23&amp;"|||"&amp;C23,MAESTRA!$A$3:$J$500,7,0),"⚠ No encontrado"))</f>
        <v/>
      </c>
      <c r="G23" s="65" t="inlineStr">
        <is>
          <t>Plan estratégico en enero 2025</t>
        </is>
      </c>
      <c r="H23" s="65">
        <f>IF(OR(B23="",C23=""),"",IFERROR(VLOOKUP(B23&amp;"|||"&amp;C23,MAESTRA!$A$3:$J$500,9,0),""))</f>
        <v/>
      </c>
      <c r="I23" s="55" t="inlineStr">
        <is>
          <t>NO PAGAR LEGALIZA TC 9994 COMPRA ALMUERZO REUNION VENTAS CON AACR</t>
        </is>
      </c>
      <c r="J23" s="55" t="inlineStr">
        <is>
          <t>Transversal</t>
        </is>
      </c>
      <c r="K23" s="55" t="inlineStr">
        <is>
          <t>E07A65981</t>
        </is>
      </c>
      <c r="L23" s="63" t="n">
        <v>46041</v>
      </c>
      <c r="M23" s="63" t="n"/>
      <c r="N23" s="66" t="n">
        <v>388200</v>
      </c>
      <c r="O23" s="55" t="inlineStr">
        <is>
          <t>7303</t>
        </is>
      </c>
      <c r="P23" s="63" t="n">
        <v>46059</v>
      </c>
      <c r="Q23" s="55" t="n"/>
      <c r="R23" s="55" t="inlineStr">
        <is>
          <t>APROBACIÓN GERENCIA DE PERSONAS Y ADMÓN</t>
        </is>
      </c>
      <c r="S23" s="63" t="n"/>
      <c r="T23" s="65" t="inlineStr">
        <is>
          <t>enero 2026</t>
        </is>
      </c>
    </row>
    <row r="24" ht="15" customHeight="1">
      <c r="A24" s="67" t="n">
        <v>21</v>
      </c>
      <c r="B24" s="55" t="inlineStr">
        <is>
          <t>LISDEY MARYORY CARDONA OSPINA</t>
        </is>
      </c>
      <c r="C24" s="55" t="n"/>
      <c r="D24" s="65" t="inlineStr">
        <is>
          <t>ADM</t>
        </is>
      </c>
      <c r="E24" s="65">
        <f>IF(OR(B24="",C24=""),"",IFERROR(VLOOKUP(B24&amp;"|||"&amp;C24,MAESTRA!$A$3:$J$500,6,0),"⚠ No encontrado"))</f>
        <v/>
      </c>
      <c r="F24" s="65">
        <f>IF(OR(B24="",C24=""),"",IFERROR(VLOOKUP(B24&amp;"|||"&amp;C24,MAESTRA!$A$3:$J$500,7,0),"⚠ No encontrado"))</f>
        <v/>
      </c>
      <c r="G24" s="65" t="inlineStr">
        <is>
          <t>Material Copa/Cozinha</t>
        </is>
      </c>
      <c r="H24" s="65">
        <f>IF(OR(B24="",C24=""),"",IFERROR(VLOOKUP(B24&amp;"|||"&amp;C24,MAESTRA!$A$3:$J$500,9,0),""))</f>
        <v/>
      </c>
      <c r="I24" s="55" t="inlineStr">
        <is>
          <t>NO PAGAR LEGALIZA CAJA MENOR CARTGENA COMPRA BOTELLONES DE AGUA</t>
        </is>
      </c>
      <c r="J24" s="55" t="inlineStr">
        <is>
          <t>Cartagena</t>
        </is>
      </c>
      <c r="K24" s="55" t="inlineStr">
        <is>
          <t>FELM31652</t>
        </is>
      </c>
      <c r="L24" s="63" t="n">
        <v>46043</v>
      </c>
      <c r="M24" s="63" t="n"/>
      <c r="N24" s="66" t="n">
        <v>18000</v>
      </c>
      <c r="O24" s="55" t="inlineStr">
        <is>
          <t>36</t>
        </is>
      </c>
      <c r="P24" s="63" t="n">
        <v>46059</v>
      </c>
      <c r="Q24" s="55" t="n"/>
      <c r="R24" s="55" t="inlineStr">
        <is>
          <t>APROBACIÓN GERENCIA DE PERSONAS Y ADMÓN</t>
        </is>
      </c>
      <c r="S24" s="63" t="n"/>
      <c r="T24" s="65" t="inlineStr">
        <is>
          <t>enero 2026</t>
        </is>
      </c>
    </row>
    <row r="25" ht="15" customHeight="1">
      <c r="A25" s="67" t="n">
        <v>22</v>
      </c>
      <c r="B25" s="55" t="inlineStr">
        <is>
          <t>GRUPO CBC S.A.S.</t>
        </is>
      </c>
      <c r="C25" s="55" t="n"/>
      <c r="D25" s="65" t="inlineStr">
        <is>
          <t>GH</t>
        </is>
      </c>
      <c r="E25" s="65">
        <f>IF(OR(B25="",C25=""),"",IFERROR(VLOOKUP(B25&amp;"|||"&amp;C25,MAESTRA!$A$3:$J$500,6,0),"⚠ No encontrado"))</f>
        <v/>
      </c>
      <c r="F25" s="65">
        <f>IF(OR(B25="",C25=""),"",IFERROR(VLOOKUP(B25&amp;"|||"&amp;C25,MAESTRA!$A$3:$J$500,7,0),"⚠ No encontrado"))</f>
        <v/>
      </c>
      <c r="G25" s="65" t="inlineStr">
        <is>
          <t>Café / Almuerzo con colaboradores</t>
        </is>
      </c>
      <c r="H25" s="65">
        <f>IF(OR(B25="",C25=""),"",IFERROR(VLOOKUP(B25&amp;"|||"&amp;C25,MAESTRA!$A$3:$J$500,9,0),""))</f>
        <v/>
      </c>
      <c r="I25" s="55" t="inlineStr">
        <is>
          <t>NO PAGAR LEGALIZA TC 9994 ALMUERZO DE TRABAJO AREA ADMITIVA CAMBIO PISO OF</t>
        </is>
      </c>
      <c r="J25" s="55" t="inlineStr">
        <is>
          <t>Calle 100</t>
        </is>
      </c>
      <c r="K25" s="55" t="inlineStr">
        <is>
          <t>A22326458</t>
        </is>
      </c>
      <c r="L25" s="63" t="n">
        <v>46045</v>
      </c>
      <c r="M25" s="63" t="n"/>
      <c r="N25" s="66" t="n">
        <v>314100</v>
      </c>
      <c r="O25" s="55" t="inlineStr">
        <is>
          <t>7310</t>
        </is>
      </c>
      <c r="P25" s="63" t="n">
        <v>46059</v>
      </c>
      <c r="Q25" s="55" t="n"/>
      <c r="R25" s="55" t="inlineStr">
        <is>
          <t>APROBACIÓN GERENCIA DE PERSONAS Y ADMÓN</t>
        </is>
      </c>
      <c r="S25" s="63" t="n"/>
      <c r="T25" s="65" t="inlineStr">
        <is>
          <t>enero 2026</t>
        </is>
      </c>
    </row>
    <row r="26" ht="15" customHeight="1">
      <c r="A26" s="67" t="n">
        <v>23</v>
      </c>
      <c r="B26" s="55" t="inlineStr">
        <is>
          <t>AMERICAN LOCKS CENTER SAS</t>
        </is>
      </c>
      <c r="C26" s="55" t="n"/>
      <c r="D26" s="65" t="inlineStr">
        <is>
          <t>ADM</t>
        </is>
      </c>
      <c r="E26" s="65">
        <f>IF(OR(B26="",C26=""),"",IFERROR(VLOOKUP(B26&amp;"|||"&amp;C26,MAESTRA!$A$3:$J$500,6,0),"⚠ No encontrado"))</f>
        <v/>
      </c>
      <c r="F26" s="65">
        <f>IF(OR(B26="",C26=""),"",IFERROR(VLOOKUP(B26&amp;"|||"&amp;C26,MAESTRA!$A$3:$J$500,7,0),"⚠ No encontrado"))</f>
        <v/>
      </c>
      <c r="G26" s="65" t="inlineStr">
        <is>
          <t>Material De Escritorio</t>
        </is>
      </c>
      <c r="H26" s="65">
        <f>IF(OR(B26="",C26=""),"",IFERROR(VLOOKUP(B26&amp;"|||"&amp;C26,MAESTRA!$A$3:$J$500,9,0),""))</f>
        <v/>
      </c>
      <c r="I26" s="55" t="inlineStr">
        <is>
          <t>NO PAGAR LEGALIZA TC 9994 COMPRA 3 ROLLOS VINIPEL PARA SILLAS DE OF</t>
        </is>
      </c>
      <c r="J26" s="55" t="inlineStr">
        <is>
          <t>Calle 100</t>
        </is>
      </c>
      <c r="K26" s="55" t="inlineStr">
        <is>
          <t>FE63145</t>
        </is>
      </c>
      <c r="L26" s="63" t="n">
        <v>46045</v>
      </c>
      <c r="M26" s="63" t="n"/>
      <c r="N26" s="66" t="n">
        <v>105000</v>
      </c>
      <c r="O26" s="55" t="inlineStr">
        <is>
          <t>7319</t>
        </is>
      </c>
      <c r="P26" s="63" t="n">
        <v>46059</v>
      </c>
      <c r="Q26" s="55" t="n"/>
      <c r="R26" s="55" t="inlineStr">
        <is>
          <t>APROBACIÓN GERENCIA DE PERSONAS Y ADMÓN</t>
        </is>
      </c>
      <c r="S26" s="63" t="n"/>
      <c r="T26" s="65" t="inlineStr">
        <is>
          <t>enero 2026</t>
        </is>
      </c>
    </row>
    <row r="27" ht="15" customHeight="1">
      <c r="A27" s="67" t="n">
        <v>24</v>
      </c>
      <c r="B27" s="55" t="inlineStr">
        <is>
          <t>LISDEY MARYORY CARDONA OSPINA</t>
        </is>
      </c>
      <c r="C27" s="55" t="n"/>
      <c r="D27" s="65" t="inlineStr">
        <is>
          <t>ADM</t>
        </is>
      </c>
      <c r="E27" s="65">
        <f>IF(OR(B27="",C27=""),"",IFERROR(VLOOKUP(B27&amp;"|||"&amp;C27,MAESTRA!$A$3:$J$500,6,0),"⚠ No encontrado"))</f>
        <v/>
      </c>
      <c r="F27" s="65">
        <f>IF(OR(B27="",C27=""),"",IFERROR(VLOOKUP(B27&amp;"|||"&amp;C27,MAESTRA!$A$3:$J$500,7,0),"⚠ No encontrado"))</f>
        <v/>
      </c>
      <c r="G27" s="65" t="inlineStr">
        <is>
          <t>Material Copa/Cozinha</t>
        </is>
      </c>
      <c r="H27" s="65">
        <f>IF(OR(B27="",C27=""),"",IFERROR(VLOOKUP(B27&amp;"|||"&amp;C27,MAESTRA!$A$3:$J$500,9,0),""))</f>
        <v/>
      </c>
      <c r="I27" s="55" t="inlineStr">
        <is>
          <t>NO PAGAR LEGALIZA CAJA MENOR CARTGENA COMPRA BOTELLONES DE AGUA</t>
        </is>
      </c>
      <c r="J27" s="55" t="inlineStr">
        <is>
          <t>Cartagena</t>
        </is>
      </c>
      <c r="K27" s="55" t="inlineStr">
        <is>
          <t>FELM31912</t>
        </is>
      </c>
      <c r="L27" s="63" t="n">
        <v>46048</v>
      </c>
      <c r="M27" s="63" t="n"/>
      <c r="N27" s="66" t="n">
        <v>18000</v>
      </c>
      <c r="O27" s="55" t="inlineStr">
        <is>
          <t>37</t>
        </is>
      </c>
      <c r="P27" s="63" t="n">
        <v>46059</v>
      </c>
      <c r="Q27" s="55" t="n"/>
      <c r="R27" s="55" t="inlineStr">
        <is>
          <t>APROBACIÓN GERENCIA DE PERSONAS Y ADMÓN</t>
        </is>
      </c>
      <c r="S27" s="63" t="n"/>
      <c r="T27" s="65" t="inlineStr">
        <is>
          <t>enero 2026</t>
        </is>
      </c>
    </row>
    <row r="28" ht="15" customHeight="1">
      <c r="A28" s="67" t="n">
        <v>25</v>
      </c>
      <c r="B28" s="55" t="inlineStr">
        <is>
          <t>CREPES Y WAFFLES S A</t>
        </is>
      </c>
      <c r="C28" s="55" t="n"/>
      <c r="D28" s="65" t="inlineStr">
        <is>
          <t>GH</t>
        </is>
      </c>
      <c r="E28" s="65">
        <f>IF(OR(B28="",C28=""),"",IFERROR(VLOOKUP(B28&amp;"|||"&amp;C28,MAESTRA!$A$3:$J$500,6,0),"⚠ No encontrado"))</f>
        <v/>
      </c>
      <c r="F28" s="65">
        <f>IF(OR(B28="",C28=""),"",IFERROR(VLOOKUP(B28&amp;"|||"&amp;C28,MAESTRA!$A$3:$J$500,7,0),"⚠ No encontrado"))</f>
        <v/>
      </c>
      <c r="G28" s="65" t="inlineStr">
        <is>
          <t>Plan estratégico en enero 2025</t>
        </is>
      </c>
      <c r="H28" s="65">
        <f>IF(OR(B28="",C28=""),"",IFERROR(VLOOKUP(B28&amp;"|||"&amp;C28,MAESTRA!$A$3:$J$500,9,0),""))</f>
        <v/>
      </c>
      <c r="I28" s="55" t="inlineStr">
        <is>
          <t>NO PAGAR LEGALIZA CAJA MENOR BOGOTA ALMUERZO ACCR REUNION HEAD 2</t>
        </is>
      </c>
      <c r="J28" s="55" t="inlineStr">
        <is>
          <t>Calle 100</t>
        </is>
      </c>
      <c r="K28" s="55" t="inlineStr">
        <is>
          <t>R06E462207</t>
        </is>
      </c>
      <c r="L28" s="63" t="n">
        <v>46048</v>
      </c>
      <c r="M28" s="63" t="n"/>
      <c r="N28" s="66" t="n">
        <v>47900</v>
      </c>
      <c r="O28" s="55" t="inlineStr">
        <is>
          <t>7333</t>
        </is>
      </c>
      <c r="P28" s="63" t="n">
        <v>46059</v>
      </c>
      <c r="Q28" s="55" t="n"/>
      <c r="R28" s="55" t="inlineStr">
        <is>
          <t>APROBACIÓN GERENCIA DE PERSONAS Y ADMÓN</t>
        </is>
      </c>
      <c r="S28" s="63" t="n"/>
      <c r="T28" s="65" t="inlineStr">
        <is>
          <t>enero 2026</t>
        </is>
      </c>
    </row>
    <row r="29" ht="15" customHeight="1">
      <c r="A29" s="67" t="n">
        <v>26</v>
      </c>
      <c r="B29" s="55" t="inlineStr">
        <is>
          <t>JOHAN DANIEL ESTUPIAN CARDENAS</t>
        </is>
      </c>
      <c r="C29" s="55" t="n"/>
      <c r="D29" s="65" t="inlineStr">
        <is>
          <t>ADM</t>
        </is>
      </c>
      <c r="E29" s="65">
        <f>IF(OR(B29="",C29=""),"",IFERROR(VLOOKUP(B29&amp;"|||"&amp;C29,MAESTRA!$A$3:$J$500,6,0),"⚠ No encontrado"))</f>
        <v/>
      </c>
      <c r="F29" s="65">
        <f>IF(OR(B29="",C29=""),"",IFERROR(VLOOKUP(B29&amp;"|||"&amp;C29,MAESTRA!$A$3:$J$500,7,0),"⚠ No encontrado"))</f>
        <v/>
      </c>
      <c r="G29" s="65" t="inlineStr">
        <is>
          <t>Conservacion Y Manutenimiento De Oficina</t>
        </is>
      </c>
      <c r="H29" s="65">
        <f>IF(OR(B29="",C29=""),"",IFERROR(VLOOKUP(B29&amp;"|||"&amp;C29,MAESTRA!$A$3:$J$500,9,0),""))</f>
        <v/>
      </c>
      <c r="I29" s="55" t="inlineStr">
        <is>
          <t>NO PAGAR LEGALIZA CAJA MENOR BUENAVENTURA COMPRA CHAPA PUERTA BAÑO</t>
        </is>
      </c>
      <c r="J29" s="55" t="inlineStr">
        <is>
          <t>Buenaventura</t>
        </is>
      </c>
      <c r="K29" s="55" t="inlineStr">
        <is>
          <t>FAC1937</t>
        </is>
      </c>
      <c r="L29" s="63" t="n">
        <v>46049</v>
      </c>
      <c r="M29" s="63" t="n"/>
      <c r="N29" s="66" t="n">
        <v>80000</v>
      </c>
      <c r="O29" s="55" t="inlineStr">
        <is>
          <t>27</t>
        </is>
      </c>
      <c r="P29" s="63" t="n">
        <v>46059</v>
      </c>
      <c r="Q29" s="55" t="n"/>
      <c r="R29" s="55" t="inlineStr">
        <is>
          <t>APROBACIÓN GERENCIA DE PERSONAS Y ADMÓN</t>
        </is>
      </c>
      <c r="S29" s="63" t="n"/>
      <c r="T29" s="65" t="inlineStr">
        <is>
          <t>enero 2026</t>
        </is>
      </c>
    </row>
    <row r="30" ht="15" customHeight="1">
      <c r="A30" s="67" t="n">
        <v>27</v>
      </c>
      <c r="B30" s="55" t="inlineStr">
        <is>
          <t>PRODUCTOS PARA EL ALMA SAS</t>
        </is>
      </c>
      <c r="C30" s="55" t="n"/>
      <c r="D30" s="65" t="inlineStr">
        <is>
          <t>ADM</t>
        </is>
      </c>
      <c r="E30" s="65">
        <f>IF(OR(B30="",C30=""),"",IFERROR(VLOOKUP(B30&amp;"|||"&amp;C30,MAESTRA!$A$3:$J$500,6,0),"⚠ No encontrado"))</f>
        <v/>
      </c>
      <c r="F30" s="65">
        <f>IF(OR(B30="",C30=""),"",IFERROR(VLOOKUP(B30&amp;"|||"&amp;C30,MAESTRA!$A$3:$J$500,7,0),"⚠ No encontrado"))</f>
        <v/>
      </c>
      <c r="G30" s="65" t="inlineStr">
        <is>
          <t>Reuniones gerenciales CEM (Comida)</t>
        </is>
      </c>
      <c r="H30" s="65">
        <f>IF(OR(B30="",C30=""),"",IFERROR(VLOOKUP(B30&amp;"|||"&amp;C30,MAESTRA!$A$3:$J$500,9,0),""))</f>
        <v/>
      </c>
      <c r="I30" s="55" t="inlineStr">
        <is>
          <t>NO PAGAR LEGALIZA TC 9994 DESAYUNO CEM DE ENERO</t>
        </is>
      </c>
      <c r="J30" s="55" t="inlineStr">
        <is>
          <t>Calle 100</t>
        </is>
      </c>
      <c r="K30" s="55" t="inlineStr">
        <is>
          <t>FEJC24141</t>
        </is>
      </c>
      <c r="L30" s="63" t="n">
        <v>46050</v>
      </c>
      <c r="M30" s="63" t="n"/>
      <c r="N30" s="66" t="n">
        <v>112000</v>
      </c>
      <c r="O30" s="55" t="inlineStr">
        <is>
          <t>7340</t>
        </is>
      </c>
      <c r="P30" s="63" t="n">
        <v>46059</v>
      </c>
      <c r="Q30" s="55" t="n"/>
      <c r="R30" s="55" t="inlineStr">
        <is>
          <t>APROBACIÓN GERENCIA DE PERSONAS Y ADMÓN</t>
        </is>
      </c>
      <c r="S30" s="63" t="n"/>
      <c r="T30" s="65" t="inlineStr">
        <is>
          <t>enero 2026</t>
        </is>
      </c>
    </row>
    <row r="31" ht="15" customHeight="1">
      <c r="A31" s="67" t="n">
        <v>28</v>
      </c>
      <c r="B31" s="55" t="inlineStr">
        <is>
          <t>FIT CHOICES COMPANY S.A.S</t>
        </is>
      </c>
      <c r="C31" s="55" t="n"/>
      <c r="D31" s="65" t="inlineStr">
        <is>
          <t>ADM</t>
        </is>
      </c>
      <c r="E31" s="65">
        <f>IF(OR(B31="",C31=""),"",IFERROR(VLOOKUP(B31&amp;"|||"&amp;C31,MAESTRA!$A$3:$J$500,6,0),"⚠ No encontrado"))</f>
        <v/>
      </c>
      <c r="F31" s="65">
        <f>IF(OR(B31="",C31=""),"",IFERROR(VLOOKUP(B31&amp;"|||"&amp;C31,MAESTRA!$A$3:$J$500,7,0),"⚠ No encontrado"))</f>
        <v/>
      </c>
      <c r="G31" s="65" t="inlineStr">
        <is>
          <t>Gastos De Representacion</t>
        </is>
      </c>
      <c r="H31" s="65">
        <f>IF(OR(B31="",C31=""),"",IFERROR(VLOOKUP(B31&amp;"|||"&amp;C31,MAESTRA!$A$3:$J$500,9,0),""))</f>
        <v/>
      </c>
      <c r="I31" s="55" t="inlineStr">
        <is>
          <t>NO PAGAR LEGALIZA NADIA MARTINEZ DESAYUNO CLIENTE ANDES</t>
        </is>
      </c>
      <c r="J31" s="55" t="inlineStr">
        <is>
          <t>Barranquilla</t>
        </is>
      </c>
      <c r="K31" s="55" t="inlineStr">
        <is>
          <t>FIT57997</t>
        </is>
      </c>
      <c r="L31" s="63" t="n">
        <v>46044</v>
      </c>
      <c r="M31" s="63" t="n"/>
      <c r="N31" s="66" t="n">
        <v>119800</v>
      </c>
      <c r="O31" s="55" t="inlineStr">
        <is>
          <t>8</t>
        </is>
      </c>
      <c r="P31" s="63" t="n">
        <v>46051</v>
      </c>
      <c r="Q31" s="55" t="n"/>
      <c r="R31" s="55" t="inlineStr">
        <is>
          <t>APROBACIÓN GERENCIA DE PERSONAS Y ADMÓN</t>
        </is>
      </c>
      <c r="S31" s="63" t="n"/>
      <c r="T31" s="65" t="inlineStr">
        <is>
          <t>enero 2026</t>
        </is>
      </c>
    </row>
    <row r="32" ht="15" customHeight="1">
      <c r="A32" s="67" t="n">
        <v>29</v>
      </c>
      <c r="B32" s="55" t="inlineStr">
        <is>
          <t>CASALIMPIA SA</t>
        </is>
      </c>
      <c r="C32" s="55" t="n"/>
      <c r="D32" s="65" t="inlineStr">
        <is>
          <t>ADM</t>
        </is>
      </c>
      <c r="E32" s="65">
        <f>IF(OR(B32="",C32=""),"",IFERROR(VLOOKUP(B32&amp;"|||"&amp;C32,MAESTRA!$A$3:$J$500,6,0),"⚠ No encontrado"))</f>
        <v/>
      </c>
      <c r="F32" s="65">
        <f>IF(OR(B32="",C32=""),"",IFERROR(VLOOKUP(B32&amp;"|||"&amp;C32,MAESTRA!$A$3:$J$500,7,0),"⚠ No encontrado"))</f>
        <v/>
      </c>
      <c r="G32" s="65" t="inlineStr">
        <is>
          <t>Otros Gastos CASA LIMPIA PLANILLA AC OTROS</t>
        </is>
      </c>
      <c r="H32" s="65">
        <f>IF(OR(B32="",C32=""),"",IFERROR(VLOOKUP(B32&amp;"|||"&amp;C32,MAESTRA!$A$3:$J$500,9,0),""))</f>
        <v/>
      </c>
      <c r="I32" s="55" t="inlineStr">
        <is>
          <t>NO PAGAR LEGALIZA TC 9994 ASEO OFICINA CRAFT BARRANQUILLA</t>
        </is>
      </c>
      <c r="J32" s="55" t="inlineStr">
        <is>
          <t>Barranquilla</t>
        </is>
      </c>
      <c r="K32" s="55" t="inlineStr">
        <is>
          <t>AP225405</t>
        </is>
      </c>
      <c r="L32" s="63" t="n">
        <v>46052</v>
      </c>
      <c r="M32" s="63" t="n"/>
      <c r="N32" s="66" t="n">
        <v>491760</v>
      </c>
      <c r="O32" s="55" t="inlineStr">
        <is>
          <t>9</t>
        </is>
      </c>
      <c r="P32" s="63" t="n">
        <v>46059</v>
      </c>
      <c r="Q32" s="55" t="n"/>
      <c r="R32" s="55" t="inlineStr">
        <is>
          <t>APROBACIÓN GERENCIA DE PERSONAS Y ADMÓN</t>
        </is>
      </c>
      <c r="S32" s="63" t="n"/>
      <c r="T32" s="65" t="inlineStr">
        <is>
          <t>enero 2026</t>
        </is>
      </c>
    </row>
    <row r="33" ht="15" customHeight="1">
      <c r="A33" s="67" t="n">
        <v>30</v>
      </c>
      <c r="B33" s="55" t="inlineStr">
        <is>
          <t>CADENA COMERCIAL OXXO COLOMBIA S A S</t>
        </is>
      </c>
      <c r="C33" s="55" t="n"/>
      <c r="D33" s="65" t="inlineStr">
        <is>
          <t>ADM</t>
        </is>
      </c>
      <c r="E33" s="65">
        <f>IF(OR(B33="",C33=""),"",IFERROR(VLOOKUP(B33&amp;"|||"&amp;C33,MAESTRA!$A$3:$J$500,6,0),"⚠ No encontrado"))</f>
        <v/>
      </c>
      <c r="F33" s="65">
        <f>IF(OR(B33="",C33=""),"",IFERROR(VLOOKUP(B33&amp;"|||"&amp;C33,MAESTRA!$A$3:$J$500,7,0),"⚠ No encontrado"))</f>
        <v/>
      </c>
      <c r="G33" s="65" t="inlineStr">
        <is>
          <t>Reuniones gerenciales CEM (Comida)</t>
        </is>
      </c>
      <c r="H33" s="65">
        <f>IF(OR(B33="",C33=""),"",IFERROR(VLOOKUP(B33&amp;"|||"&amp;C33,MAESTRA!$A$3:$J$500,9,0),""))</f>
        <v/>
      </c>
      <c r="I33" s="55" t="inlineStr">
        <is>
          <t>NO PAGAR LEGALIZA CAJA MENOR BOGOTA COMPRA AGUA CEM</t>
        </is>
      </c>
      <c r="J33" s="55" t="inlineStr">
        <is>
          <t>Calle 100</t>
        </is>
      </c>
      <c r="K33" s="55" t="inlineStr">
        <is>
          <t>334C248020</t>
        </is>
      </c>
      <c r="L33" s="63" t="n">
        <v>46050</v>
      </c>
      <c r="M33" s="63" t="n"/>
      <c r="N33" s="66" t="n">
        <v>13600</v>
      </c>
      <c r="O33" s="55" t="inlineStr">
        <is>
          <t>7341</t>
        </is>
      </c>
      <c r="P33" s="63" t="n">
        <v>46059</v>
      </c>
      <c r="Q33" s="55" t="n"/>
      <c r="R33" s="55" t="inlineStr">
        <is>
          <t>APROBACIÓN GERENCIA DE PERSONAS Y ADMÓN</t>
        </is>
      </c>
      <c r="S33" s="63" t="n"/>
      <c r="T33" s="65" t="inlineStr">
        <is>
          <t>enero 2026</t>
        </is>
      </c>
    </row>
    <row r="34" ht="15" customHeight="1">
      <c r="A34" s="67" t="n">
        <v>31</v>
      </c>
      <c r="B34" s="55" t="inlineStr">
        <is>
          <t>GRUPO CBC S.A.S.</t>
        </is>
      </c>
      <c r="C34" s="55" t="n"/>
      <c r="D34" s="65" t="inlineStr">
        <is>
          <t>ADM</t>
        </is>
      </c>
      <c r="E34" s="65">
        <f>IF(OR(B34="",C34=""),"",IFERROR(VLOOKUP(B34&amp;"|||"&amp;C34,MAESTRA!$A$3:$J$500,6,0),"⚠ No encontrado"))</f>
        <v/>
      </c>
      <c r="F34" s="65">
        <f>IF(OR(B34="",C34=""),"",IFERROR(VLOOKUP(B34&amp;"|||"&amp;C34,MAESTRA!$A$3:$J$500,7,0),"⚠ No encontrado"))</f>
        <v/>
      </c>
      <c r="G34" s="65" t="inlineStr">
        <is>
          <t>Reuniones gerenciales CEM (Comida)</t>
        </is>
      </c>
      <c r="H34" s="65">
        <f>IF(OR(B34="",C34=""),"",IFERROR(VLOOKUP(B34&amp;"|||"&amp;C34,MAESTRA!$A$3:$J$500,9,0),""))</f>
        <v/>
      </c>
      <c r="I34" s="55" t="inlineStr">
        <is>
          <t xml:space="preserve">NO PAGAR LEGALIZA TC 9994 ALMUERZO CEM </t>
        </is>
      </c>
      <c r="J34" s="55" t="inlineStr">
        <is>
          <t>Calle 100</t>
        </is>
      </c>
      <c r="K34" s="55" t="inlineStr">
        <is>
          <t>A118123451</t>
        </is>
      </c>
      <c r="L34" s="63" t="n">
        <v>46050</v>
      </c>
      <c r="M34" s="63" t="n"/>
      <c r="N34" s="66" t="n">
        <v>382801</v>
      </c>
      <c r="O34" s="55" t="inlineStr">
        <is>
          <t>7342</t>
        </is>
      </c>
      <c r="P34" s="63" t="n">
        <v>46059</v>
      </c>
      <c r="Q34" s="55" t="n"/>
      <c r="R34" s="55" t="inlineStr">
        <is>
          <t>APROBACIÓN GERENCIA DE PERSONAS Y ADMÓN</t>
        </is>
      </c>
      <c r="S34" s="63" t="n"/>
      <c r="T34" s="65" t="inlineStr">
        <is>
          <t>enero 2026</t>
        </is>
      </c>
    </row>
    <row r="35" ht="15" customHeight="1">
      <c r="A35" s="67" t="n">
        <v>32</v>
      </c>
      <c r="B35" s="55" t="inlineStr">
        <is>
          <t>AMERICAN LOCKS CENTER SAS</t>
        </is>
      </c>
      <c r="C35" s="55" t="n"/>
      <c r="D35" s="65" t="inlineStr">
        <is>
          <t>ADM</t>
        </is>
      </c>
      <c r="E35" s="65">
        <f>IF(OR(B35="",C35=""),"",IFERROR(VLOOKUP(B35&amp;"|||"&amp;C35,MAESTRA!$A$3:$J$500,6,0),"⚠ No encontrado"))</f>
        <v/>
      </c>
      <c r="F35" s="65">
        <f>IF(OR(B35="",C35=""),"",IFERROR(VLOOKUP(B35&amp;"|||"&amp;C35,MAESTRA!$A$3:$J$500,7,0),"⚠ No encontrado"))</f>
        <v/>
      </c>
      <c r="G35" s="65" t="inlineStr">
        <is>
          <t>Material Copa/Cozinha</t>
        </is>
      </c>
      <c r="H35" s="65">
        <f>IF(OR(B35="",C35=""),"",IFERROR(VLOOKUP(B35&amp;"|||"&amp;C35,MAESTRA!$A$3:$J$500,9,0),""))</f>
        <v/>
      </c>
      <c r="I35" s="55" t="inlineStr">
        <is>
          <t>NO PAGAR LEGLIZA TC BB 9994 COMPRA 2 ESCOBAS</t>
        </is>
      </c>
      <c r="J35" s="55" t="inlineStr">
        <is>
          <t>Calle 100</t>
        </is>
      </c>
      <c r="K35" s="55" t="inlineStr">
        <is>
          <t>FE63520</t>
        </is>
      </c>
      <c r="L35" s="63" t="n">
        <v>46055</v>
      </c>
      <c r="M35" s="63" t="n"/>
      <c r="N35" s="66" t="n">
        <v>21999</v>
      </c>
      <c r="O35" s="55" t="inlineStr">
        <is>
          <t>1986</t>
        </is>
      </c>
      <c r="P35" s="63" t="n">
        <v>46065</v>
      </c>
      <c r="Q35" s="55" t="n"/>
      <c r="R35" s="55" t="inlineStr">
        <is>
          <t>APROBACIÓN GERENCIA DE PERSONAS Y ADMÓN</t>
        </is>
      </c>
      <c r="S35" s="63" t="n"/>
      <c r="T35" s="65" t="inlineStr">
        <is>
          <t>febrero 2026</t>
        </is>
      </c>
    </row>
    <row r="36" ht="15" customHeight="1">
      <c r="A36" s="67" t="n">
        <v>33</v>
      </c>
      <c r="B36" s="55" t="inlineStr">
        <is>
          <t>CADENA COMERCIAL OXXO COLOMBIA S A S</t>
        </is>
      </c>
      <c r="C36" s="55" t="n"/>
      <c r="D36" s="65" t="inlineStr">
        <is>
          <t>GH</t>
        </is>
      </c>
      <c r="E36" s="65">
        <f>IF(OR(B36="",C36=""),"",IFERROR(VLOOKUP(B36&amp;"|||"&amp;C36,MAESTRA!$A$3:$J$500,6,0),"⚠ No encontrado"))</f>
        <v/>
      </c>
      <c r="F36" s="65">
        <f>IF(OR(B36="",C36=""),"",IFERROR(VLOOKUP(B36&amp;"|||"&amp;C36,MAESTRA!$A$3:$J$500,7,0),"⚠ No encontrado"))</f>
        <v/>
      </c>
      <c r="G36" s="65" t="inlineStr">
        <is>
          <t>Plan estratégico en enero 2025</t>
        </is>
      </c>
      <c r="H36" s="65">
        <f>IF(OR(B36="",C36=""),"",IFERROR(VLOOKUP(B36&amp;"|||"&amp;C36,MAESTRA!$A$3:$J$500,9,0),""))</f>
        <v/>
      </c>
      <c r="I36" s="55" t="inlineStr">
        <is>
          <t>NO PAGAR LEGALIZA TC BB 9994 SANDWICH KAREN SALDAÑA ALMUERZO REUNION HEAD</t>
        </is>
      </c>
      <c r="J36" s="55" t="inlineStr">
        <is>
          <t>Transversal</t>
        </is>
      </c>
      <c r="K36" s="55" t="inlineStr">
        <is>
          <t>334C246932</t>
        </is>
      </c>
      <c r="L36" s="63" t="n">
        <v>46048</v>
      </c>
      <c r="M36" s="63" t="n"/>
      <c r="N36" s="66" t="n">
        <v>12900</v>
      </c>
      <c r="O36" s="55" t="inlineStr">
        <is>
          <t>7346</t>
        </is>
      </c>
      <c r="P36" s="63" t="n">
        <v>46059</v>
      </c>
      <c r="Q36" s="55" t="n"/>
      <c r="R36" s="55" t="inlineStr">
        <is>
          <t>APROBACIÓN GERENCIA DE PERSONAS Y ADMÓN</t>
        </is>
      </c>
      <c r="S36" s="63" t="n"/>
      <c r="T36" s="65" t="inlineStr">
        <is>
          <t>enero 2026</t>
        </is>
      </c>
    </row>
    <row r="37" ht="15" customHeight="1">
      <c r="A37" s="67" t="n">
        <v>34</v>
      </c>
      <c r="B37" s="55" t="inlineStr">
        <is>
          <t>CADENA COMERCIAL OXXO COLOMBIA S A S</t>
        </is>
      </c>
      <c r="C37" s="55" t="n"/>
      <c r="D37" s="65" t="inlineStr">
        <is>
          <t>GH</t>
        </is>
      </c>
      <c r="E37" s="65">
        <f>IF(OR(B37="",C37=""),"",IFERROR(VLOOKUP(B37&amp;"|||"&amp;C37,MAESTRA!$A$3:$J$500,6,0),"⚠ No encontrado"))</f>
        <v/>
      </c>
      <c r="F37" s="65">
        <f>IF(OR(B37="",C37=""),"",IFERROR(VLOOKUP(B37&amp;"|||"&amp;C37,MAESTRA!$A$3:$J$500,7,0),"⚠ No encontrado"))</f>
        <v/>
      </c>
      <c r="G37" s="65" t="inlineStr">
        <is>
          <t>Plan estratégico en enero 2025</t>
        </is>
      </c>
      <c r="H37" s="65">
        <f>IF(OR(B37="",C37=""),"",IFERROR(VLOOKUP(B37&amp;"|||"&amp;C37,MAESTRA!$A$3:$J$500,9,0),""))</f>
        <v/>
      </c>
      <c r="I37" s="55" t="inlineStr">
        <is>
          <t>NO PGAR LEGALIZA TC 9994 COMPRA PACA GALLETAS REUNION HEAD 2DA</t>
        </is>
      </c>
      <c r="J37" s="55" t="inlineStr">
        <is>
          <t>Transversal</t>
        </is>
      </c>
      <c r="K37" s="55" t="inlineStr">
        <is>
          <t>334C246979</t>
        </is>
      </c>
      <c r="L37" s="63" t="n">
        <v>46048</v>
      </c>
      <c r="M37" s="63" t="n"/>
      <c r="N37" s="66" t="n">
        <v>18200</v>
      </c>
      <c r="O37" s="55" t="inlineStr">
        <is>
          <t>7362</t>
        </is>
      </c>
      <c r="P37" s="63" t="n">
        <v>46059</v>
      </c>
      <c r="Q37" s="55" t="n"/>
      <c r="R37" s="55" t="inlineStr">
        <is>
          <t>APROBACIÓN GERENCIA DE PERSONAS Y ADMÓN</t>
        </is>
      </c>
      <c r="S37" s="63" t="n"/>
      <c r="T37" s="65" t="inlineStr">
        <is>
          <t>enero 2026</t>
        </is>
      </c>
    </row>
    <row r="38" ht="15" customHeight="1">
      <c r="A38" s="67" t="n">
        <v>35</v>
      </c>
      <c r="B38" s="55" t="inlineStr">
        <is>
          <t>BAGATELLE S.A.S.</t>
        </is>
      </c>
      <c r="C38" s="55" t="n"/>
      <c r="D38" s="65" t="inlineStr">
        <is>
          <t>ADM</t>
        </is>
      </c>
      <c r="E38" s="65">
        <f>IF(OR(B38="",C38=""),"",IFERROR(VLOOKUP(B38&amp;"|||"&amp;C38,MAESTRA!$A$3:$J$500,6,0),"⚠ No encontrado"))</f>
        <v/>
      </c>
      <c r="F38" s="65">
        <f>IF(OR(B38="",C38=""),"",IFERROR(VLOOKUP(B38&amp;"|||"&amp;C38,MAESTRA!$A$3:$J$500,7,0),"⚠ No encontrado"))</f>
        <v/>
      </c>
      <c r="G38" s="65" t="inlineStr">
        <is>
          <t>Gastos De Representacion</t>
        </is>
      </c>
      <c r="H38" s="65">
        <f>IF(OR(B38="",C38=""),"",IFERROR(VLOOKUP(B38&amp;"|||"&amp;C38,MAESTRA!$A$3:$J$500,9,0),""))</f>
        <v/>
      </c>
      <c r="I38" s="55" t="inlineStr">
        <is>
          <t>NO PAGAR LEGALIZA TC 0206 DESAYUNO CLIENTE MSL CON AACR</t>
        </is>
      </c>
      <c r="J38" s="55" t="inlineStr">
        <is>
          <t>Calle 100</t>
        </is>
      </c>
      <c r="K38" s="55" t="inlineStr">
        <is>
          <t>B2198377</t>
        </is>
      </c>
      <c r="L38" s="63" t="n">
        <v>46041</v>
      </c>
      <c r="M38" s="63" t="n"/>
      <c r="N38" s="66" t="n">
        <v>182659</v>
      </c>
      <c r="O38" s="55" t="inlineStr">
        <is>
          <t>7367</t>
        </is>
      </c>
      <c r="P38" s="63" t="n">
        <v>46059</v>
      </c>
      <c r="Q38" s="55" t="n"/>
      <c r="R38" s="55" t="inlineStr">
        <is>
          <t>APROBACIÓN GERENCIA DE PERSONAS Y ADMÓN</t>
        </is>
      </c>
      <c r="S38" s="63" t="n"/>
      <c r="T38" s="65" t="inlineStr">
        <is>
          <t>enero 2026</t>
        </is>
      </c>
    </row>
    <row r="39" ht="15" customHeight="1">
      <c r="A39" s="67" t="n">
        <v>36</v>
      </c>
      <c r="B39" s="55" t="inlineStr">
        <is>
          <t>SEGUROS BOLIVAR</t>
        </is>
      </c>
      <c r="C39" s="55" t="n"/>
      <c r="D39" s="65" t="inlineStr">
        <is>
          <t>GH</t>
        </is>
      </c>
      <c r="E39" s="65">
        <f>IF(OR(B39="",C39=""),"",IFERROR(VLOOKUP(B39&amp;"|||"&amp;C39,MAESTRA!$A$3:$J$500,6,0),"⚠ No encontrado"))</f>
        <v/>
      </c>
      <c r="F39" s="65">
        <f>IF(OR(B39="",C39=""),"",IFERROR(VLOOKUP(B39&amp;"|||"&amp;C39,MAESTRA!$A$3:$J$500,7,0),"⚠ No encontrado"))</f>
        <v/>
      </c>
      <c r="G39" s="65">
        <f>IF(OR(B39="",C39=""),"",IFERROR(VLOOKUP(B39&amp;"|||"&amp;C39,MAESTRA!$A$3:$J$500,8,0),"⚠ No encontrado"))</f>
        <v/>
      </c>
      <c r="H39" s="65">
        <f>IF(OR(B39="",C39=""),"",IFERROR(VLOOKUP(B39&amp;"|||"&amp;C39,MAESTRA!$A$3:$J$500,9,0),""))</f>
        <v/>
      </c>
      <c r="I39" s="55" t="inlineStr">
        <is>
          <t>NO PAGAR FACTURA APORTES REALIZADOS A ARL AÑO 2025</t>
        </is>
      </c>
      <c r="J39" s="55" t="inlineStr">
        <is>
          <t>Calle 100</t>
        </is>
      </c>
      <c r="K39" s="55" t="inlineStr">
        <is>
          <t>POL15783488</t>
        </is>
      </c>
      <c r="L39" s="63" t="n">
        <v>46037</v>
      </c>
      <c r="M39" s="63" t="n"/>
      <c r="N39" s="66" t="n">
        <v>10586700</v>
      </c>
      <c r="O39" s="55" t="n"/>
      <c r="P39" s="63" t="n"/>
      <c r="Q39" s="55" t="n"/>
      <c r="R39" s="55" t="inlineStr">
        <is>
          <t>APROBACIÓN GERENCIA DE PERSONAS Y ADMÓN</t>
        </is>
      </c>
      <c r="S39" s="63" t="n"/>
      <c r="T39" s="65" t="inlineStr">
        <is>
          <t>enero 2026</t>
        </is>
      </c>
    </row>
    <row r="40" ht="15" customHeight="1">
      <c r="A40" s="67" t="n">
        <v>37</v>
      </c>
      <c r="B40" s="55" t="inlineStr">
        <is>
          <t>PANAMERICANA LIBRERÍA Y PAPELERÍA S.A.</t>
        </is>
      </c>
      <c r="C40" s="55" t="n"/>
      <c r="D40" s="65" t="inlineStr">
        <is>
          <t>IT</t>
        </is>
      </c>
      <c r="E40" s="65">
        <f>IF(OR(B40="",C40=""),"",IFERROR(VLOOKUP(B40&amp;"|||"&amp;C40,MAESTRA!$A$3:$J$500,6,0),"⚠ No encontrado"))</f>
        <v/>
      </c>
      <c r="F40" s="65">
        <f>IF(OR(B40="",C40=""),"",IFERROR(VLOOKUP(B40&amp;"|||"&amp;C40,MAESTRA!$A$3:$J$500,7,0),"⚠ No encontrado"))</f>
        <v/>
      </c>
      <c r="G40" s="65" t="inlineStr">
        <is>
          <t>Insumos y perifericos</t>
        </is>
      </c>
      <c r="H40" s="65">
        <f>IF(OR(B40="",C40=""),"",IFERROR(VLOOKUP(B40&amp;"|||"&amp;C40,MAESTRA!$A$3:$J$500,9,0),""))</f>
        <v/>
      </c>
      <c r="I40" s="55" t="inlineStr">
        <is>
          <t>NO PAGAR LEGALIZA CAJA MENOR CTG COMPRA MOUSE Y TECLADO OF CTG</t>
        </is>
      </c>
      <c r="J40" s="55" t="inlineStr">
        <is>
          <t>Cartagena</t>
        </is>
      </c>
      <c r="K40" s="55" t="inlineStr">
        <is>
          <t>29E732573</t>
        </is>
      </c>
      <c r="L40" s="63" t="n">
        <v>46043</v>
      </c>
      <c r="M40" s="63" t="n"/>
      <c r="N40" s="66" t="n">
        <v>79900</v>
      </c>
      <c r="O40" s="55" t="inlineStr">
        <is>
          <t>38</t>
        </is>
      </c>
      <c r="P40" s="63" t="n">
        <v>46059</v>
      </c>
      <c r="Q40" s="55" t="n"/>
      <c r="R40" s="55" t="inlineStr">
        <is>
          <t>APROBACIÓN GERENCIA DE PERSONAS Y ADMÓN</t>
        </is>
      </c>
      <c r="S40" s="63" t="n"/>
      <c r="T40" s="65" t="inlineStr">
        <is>
          <t>enero 2026</t>
        </is>
      </c>
    </row>
    <row r="41" ht="15" customHeight="1">
      <c r="A41" s="67" t="n">
        <v>38</v>
      </c>
      <c r="B41" s="55" t="inlineStr">
        <is>
          <t>CREPES Y WAFFLES S A</t>
        </is>
      </c>
      <c r="C41" s="55" t="n"/>
      <c r="D41" s="65" t="inlineStr">
        <is>
          <t>GH</t>
        </is>
      </c>
      <c r="E41" s="65">
        <f>IF(OR(B41="",C41=""),"",IFERROR(VLOOKUP(B41&amp;"|||"&amp;C41,MAESTRA!$A$3:$J$500,6,0),"⚠ No encontrado"))</f>
        <v/>
      </c>
      <c r="F41" s="65">
        <f>IF(OR(B41="",C41=""),"",IFERROR(VLOOKUP(B41&amp;"|||"&amp;C41,MAESTRA!$A$3:$J$500,7,0),"⚠ No encontrado"))</f>
        <v/>
      </c>
      <c r="G41" s="65" t="inlineStr">
        <is>
          <t>Cumpleaños</t>
        </is>
      </c>
      <c r="H41" s="65">
        <f>IF(OR(B41="",C41=""),"",IFERROR(VLOOKUP(B41&amp;"|||"&amp;C41,MAESTRA!$A$3:$J$500,9,0),""))</f>
        <v/>
      </c>
      <c r="I41" s="55" t="inlineStr">
        <is>
          <t>NO PAGAR LEGALIZA MARIANA MUNAR, HELADOS DE CUMPLEAÑOS MARIANA SOTELO, SOFIA TORRES Y EDWIN RAMIREZ</t>
        </is>
      </c>
      <c r="J41" s="55" t="inlineStr">
        <is>
          <t>Transversal</t>
        </is>
      </c>
      <c r="K41" s="55" t="inlineStr">
        <is>
          <t>R06E466439</t>
        </is>
      </c>
      <c r="L41" s="63" t="n">
        <v>46057</v>
      </c>
      <c r="M41" s="63" t="n"/>
      <c r="N41" s="66" t="n">
        <v>49100</v>
      </c>
      <c r="O41" s="55" t="inlineStr">
        <is>
          <t>2001</t>
        </is>
      </c>
      <c r="P41" s="63" t="n">
        <v>46065</v>
      </c>
      <c r="Q41" s="55" t="n"/>
      <c r="R41" s="55" t="inlineStr">
        <is>
          <t>APROBACIÓN GERENCIA DE PERSONAS Y ADMÓN</t>
        </is>
      </c>
      <c r="S41" s="63" t="n"/>
      <c r="T41" s="65" t="inlineStr">
        <is>
          <t>febrero 2026</t>
        </is>
      </c>
    </row>
    <row r="42" ht="15" customHeight="1">
      <c r="A42" s="67" t="n">
        <v>39</v>
      </c>
      <c r="B42" s="55" t="inlineStr">
        <is>
          <t>CADENA COMERCIAL OXXO COLOMBIA S A S</t>
        </is>
      </c>
      <c r="C42" s="55" t="n"/>
      <c r="D42" s="65" t="inlineStr">
        <is>
          <t>ADM</t>
        </is>
      </c>
      <c r="E42" s="65">
        <f>IF(OR(B42="",C42=""),"",IFERROR(VLOOKUP(B42&amp;"|||"&amp;C42,MAESTRA!$A$3:$J$500,6,0),"⚠ No encontrado"))</f>
        <v/>
      </c>
      <c r="F42" s="65">
        <f>IF(OR(B42="",C42=""),"",IFERROR(VLOOKUP(B42&amp;"|||"&amp;C42,MAESTRA!$A$3:$J$500,7,0),"⚠ No encontrado"))</f>
        <v/>
      </c>
      <c r="G42" s="65" t="inlineStr">
        <is>
          <t>Reuniones gerenciales CEM (Comida)</t>
        </is>
      </c>
      <c r="H42" s="65">
        <f>IF(OR(B42="",C42=""),"",IFERROR(VLOOKUP(B42&amp;"|||"&amp;C42,MAESTRA!$A$3:$J$500,9,0),""))</f>
        <v/>
      </c>
      <c r="I42" s="55" t="inlineStr">
        <is>
          <t>NO PAGAR LEGALIZA CAJA MENOR BOGOTA COMPRA AGUA CEM</t>
        </is>
      </c>
      <c r="J42" s="55" t="inlineStr">
        <is>
          <t>Transversal</t>
        </is>
      </c>
      <c r="K42" s="55" t="inlineStr">
        <is>
          <t>334C247688</t>
        </is>
      </c>
      <c r="L42" s="63" t="n">
        <v>46050</v>
      </c>
      <c r="M42" s="63" t="n"/>
      <c r="N42" s="66" t="n">
        <v>13600</v>
      </c>
      <c r="O42" s="55" t="inlineStr">
        <is>
          <t>7364</t>
        </is>
      </c>
      <c r="P42" s="63" t="n">
        <v>46059</v>
      </c>
      <c r="Q42" s="55" t="n"/>
      <c r="R42" s="55" t="inlineStr">
        <is>
          <t>APROBACIÓN GERENCIA DE PERSONAS Y ADMÓN</t>
        </is>
      </c>
      <c r="S42" s="63" t="n"/>
      <c r="T42" s="65" t="inlineStr">
        <is>
          <t>enero 2026</t>
        </is>
      </c>
    </row>
    <row r="43" ht="15" customHeight="1">
      <c r="A43" s="67" t="n">
        <v>40</v>
      </c>
      <c r="B43" s="55" t="inlineStr">
        <is>
          <t>GASEOSAS LUX S.A.S.</t>
        </is>
      </c>
      <c r="C43" s="55" t="n"/>
      <c r="D43" s="65" t="inlineStr">
        <is>
          <t>ADM</t>
        </is>
      </c>
      <c r="E43" s="65">
        <f>IF(OR(B43="",C43=""),"",IFERROR(VLOOKUP(B43&amp;"|||"&amp;C43,MAESTRA!$A$3:$J$500,6,0),"⚠ No encontrado"))</f>
        <v/>
      </c>
      <c r="F43" s="65">
        <f>IF(OR(B43="",C43=""),"",IFERROR(VLOOKUP(B43&amp;"|||"&amp;C43,MAESTRA!$A$3:$J$500,7,0),"⚠ No encontrado"))</f>
        <v/>
      </c>
      <c r="G43" s="65" t="inlineStr">
        <is>
          <t>Material Copa/Cozinha</t>
        </is>
      </c>
      <c r="H43" s="65">
        <f>IF(OR(B43="",C43=""),"",IFERROR(VLOOKUP(B43&amp;"|||"&amp;C43,MAESTRA!$A$3:$J$500,9,0),""))</f>
        <v/>
      </c>
      <c r="I43" s="55" t="inlineStr">
        <is>
          <t>NO PAGAR LEGALIZA CAJA MENOR AEROPUERTO COMPRA 2 BOTELLONES DE AGUA</t>
        </is>
      </c>
      <c r="J43" s="55" t="inlineStr">
        <is>
          <t>Aeropuerto</t>
        </is>
      </c>
      <c r="K43" s="55" t="inlineStr">
        <is>
          <t>GL071282956</t>
        </is>
      </c>
      <c r="L43" s="63" t="n">
        <v>46058</v>
      </c>
      <c r="M43" s="63" t="n"/>
      <c r="N43" s="66" t="n">
        <v>26700</v>
      </c>
      <c r="O43" s="55" t="n"/>
      <c r="P43" s="63" t="n"/>
      <c r="Q43" s="55" t="n"/>
      <c r="R43" s="55" t="inlineStr">
        <is>
          <t>APROBACIÓN GERENCIA DE PERSONAS Y ADMÓN</t>
        </is>
      </c>
      <c r="S43" s="63" t="n"/>
      <c r="T43" s="65" t="inlineStr">
        <is>
          <t>febrero 2026</t>
        </is>
      </c>
    </row>
    <row r="44" ht="15" customHeight="1">
      <c r="A44" s="67" t="n">
        <v>41</v>
      </c>
      <c r="B44" s="55" t="inlineStr">
        <is>
          <t>CAMARA DE COMERCIO DE BOGOTA</t>
        </is>
      </c>
      <c r="C44" s="55" t="n"/>
      <c r="D44" s="65" t="inlineStr">
        <is>
          <t>ADM</t>
        </is>
      </c>
      <c r="E44" s="65">
        <f>IF(OR(B44="",C44=""),"",IFERROR(VLOOKUP(B44&amp;"|||"&amp;C44,MAESTRA!$A$3:$J$500,6,0),"⚠ No encontrado"))</f>
        <v/>
      </c>
      <c r="F44" s="65">
        <f>IF(OR(B44="",C44=""),"",IFERROR(VLOOKUP(B44&amp;"|||"&amp;C44,MAESTRA!$A$3:$J$500,7,0),"⚠ No encontrado"))</f>
        <v/>
      </c>
      <c r="G44" s="65" t="inlineStr">
        <is>
          <t>Trámites notariales autenticaciones</t>
        </is>
      </c>
      <c r="H44" s="65">
        <f>IF(OR(B44="",C44=""),"",IFERROR(VLOOKUP(B44&amp;"|||"&amp;C44,MAESTRA!$A$3:$J$500,9,0),""))</f>
        <v/>
      </c>
      <c r="I44" s="55" t="inlineStr">
        <is>
          <t xml:space="preserve">NO PAGAR LEGALIZA CAJA MENOR BOGOTA COMPRA CERTIFICADO CMRA CIO CRAFT </t>
        </is>
      </c>
      <c r="J44" s="55" t="inlineStr">
        <is>
          <t>Calle 100</t>
        </is>
      </c>
      <c r="K44" s="55" t="inlineStr">
        <is>
          <t>TV439865226</t>
        </is>
      </c>
      <c r="L44" s="63" t="n">
        <v>46057</v>
      </c>
      <c r="M44" s="63" t="n"/>
      <c r="N44" s="66" t="n">
        <v>12100</v>
      </c>
      <c r="O44" s="55" t="inlineStr">
        <is>
          <t>2004</t>
        </is>
      </c>
      <c r="P44" s="63" t="n">
        <v>46065</v>
      </c>
      <c r="Q44" s="55" t="n"/>
      <c r="R44" s="55" t="inlineStr">
        <is>
          <t>APROBACIÓN GERENCIA DE PERSONAS Y ADMÓN</t>
        </is>
      </c>
      <c r="S44" s="63" t="n"/>
      <c r="T44" s="65" t="inlineStr">
        <is>
          <t>febrero 2026</t>
        </is>
      </c>
    </row>
    <row r="45" ht="15" customHeight="1">
      <c r="A45" s="67" t="n">
        <v>42</v>
      </c>
      <c r="B45" s="55" t="inlineStr">
        <is>
          <t>SUPERMARKET LA COLOMBIANA SAS ZOMAC</t>
        </is>
      </c>
      <c r="C45" s="55" t="n"/>
      <c r="D45" s="65" t="inlineStr">
        <is>
          <t>ADM</t>
        </is>
      </c>
      <c r="E45" s="65">
        <f>IF(OR(B45="",C45=""),"",IFERROR(VLOOKUP(B45&amp;"|||"&amp;C45,MAESTRA!$A$3:$J$500,6,0),"⚠ No encontrado"))</f>
        <v/>
      </c>
      <c r="F45" s="65">
        <f>IF(OR(B45="",C45=""),"",IFERROR(VLOOKUP(B45&amp;"|||"&amp;C45,MAESTRA!$A$3:$J$500,7,0),"⚠ No encontrado"))</f>
        <v/>
      </c>
      <c r="G45" s="65" t="inlineStr">
        <is>
          <t>Material Copa/Cozinha</t>
        </is>
      </c>
      <c r="H45" s="65">
        <f>IF(OR(B45="",C45=""),"",IFERROR(VLOOKUP(B45&amp;"|||"&amp;C45,MAESTRA!$A$3:$J$500,9,0),""))</f>
        <v/>
      </c>
      <c r="I45" s="55" t="inlineStr">
        <is>
          <t>NO PAGAR LEGALIZA CAJA MENOR BUENAVENTURA COMPRA BOTELLON DE AGUA</t>
        </is>
      </c>
      <c r="J45" s="55" t="inlineStr">
        <is>
          <t>Buenaventura</t>
        </is>
      </c>
      <c r="K45" s="55" t="inlineStr">
        <is>
          <t>SMEF46966</t>
        </is>
      </c>
      <c r="L45" s="63" t="n">
        <v>46059</v>
      </c>
      <c r="M45" s="63" t="n"/>
      <c r="N45" s="66" t="n">
        <v>30000</v>
      </c>
      <c r="O45" s="55" t="inlineStr">
        <is>
          <t>13</t>
        </is>
      </c>
      <c r="P45" s="63" t="n">
        <v>46065</v>
      </c>
      <c r="Q45" s="55" t="n"/>
      <c r="R45" s="55" t="inlineStr">
        <is>
          <t>APROBACIÓN GERENCIA DE PERSONAS Y ADMÓN</t>
        </is>
      </c>
      <c r="S45" s="63" t="n"/>
      <c r="T45" s="65" t="inlineStr">
        <is>
          <t>febrero 2026</t>
        </is>
      </c>
    </row>
    <row r="46" ht="15" customHeight="1">
      <c r="A46" s="67" t="n">
        <v>43</v>
      </c>
      <c r="B46" s="55" t="inlineStr">
        <is>
          <t>ALMACENES ÉXITO S.A</t>
        </is>
      </c>
      <c r="C46" s="55" t="n"/>
      <c r="D46" s="65" t="inlineStr">
        <is>
          <t>ADM</t>
        </is>
      </c>
      <c r="E46" s="65">
        <f>IF(OR(B46="",C46=""),"",IFERROR(VLOOKUP(B46&amp;"|||"&amp;C46,MAESTRA!$A$3:$J$500,6,0),"⚠ No encontrado"))</f>
        <v/>
      </c>
      <c r="F46" s="65">
        <f>IF(OR(B46="",C46=""),"",IFERROR(VLOOKUP(B46&amp;"|||"&amp;C46,MAESTRA!$A$3:$J$500,7,0),"⚠ No encontrado"))</f>
        <v/>
      </c>
      <c r="G46" s="65" t="inlineStr">
        <is>
          <t>Regalos clientes</t>
        </is>
      </c>
      <c r="H46" s="65">
        <f>IF(OR(B46="",C46=""),"",IFERROR(VLOOKUP(B46&amp;"|||"&amp;C46,MAESTRA!$A$3:$J$500,9,0),""))</f>
        <v/>
      </c>
      <c r="I46" s="55" t="inlineStr">
        <is>
          <t>NO PAGAR LEGLIZA NADIA MARTINEZ COMPRA CUPCAKES ATENDER CLIENTE M&amp;S Logistics
Trading Solutions</t>
        </is>
      </c>
      <c r="J46" s="55" t="inlineStr">
        <is>
          <t>Barranquilla</t>
        </is>
      </c>
      <c r="K46" s="55" t="inlineStr">
        <is>
          <t>VF3127169</t>
        </is>
      </c>
      <c r="L46" s="63" t="n">
        <v>46055</v>
      </c>
      <c r="M46" s="63" t="n"/>
      <c r="N46" s="66" t="n">
        <v>41400</v>
      </c>
      <c r="O46" s="55" t="inlineStr">
        <is>
          <t>5</t>
        </is>
      </c>
      <c r="P46" s="63" t="n">
        <v>46065</v>
      </c>
      <c r="Q46" s="55" t="n"/>
      <c r="R46" s="55" t="inlineStr">
        <is>
          <t>APROBACIÓN GERENCIA DE PERSONAS Y ADMÓN</t>
        </is>
      </c>
      <c r="S46" s="63" t="n"/>
      <c r="T46" s="65" t="inlineStr">
        <is>
          <t>febrero 2026</t>
        </is>
      </c>
    </row>
    <row r="47" ht="15" customHeight="1">
      <c r="A47" s="67" t="n">
        <v>44</v>
      </c>
      <c r="B47" s="55" t="inlineStr">
        <is>
          <t>HOT AMERICAS FAVORITE PIZZA SAS</t>
        </is>
      </c>
      <c r="C47" s="55" t="n"/>
      <c r="D47" s="65" t="inlineStr">
        <is>
          <t>ADM</t>
        </is>
      </c>
      <c r="E47" s="65">
        <f>IF(OR(B47="",C47=""),"",IFERROR(VLOOKUP(B47&amp;"|||"&amp;C47,MAESTRA!$A$3:$J$500,6,0),"⚠ No encontrado"))</f>
        <v/>
      </c>
      <c r="F47" s="65">
        <f>IF(OR(B47="",C47=""),"",IFERROR(VLOOKUP(B47&amp;"|||"&amp;C47,MAESTRA!$A$3:$J$500,7,0),"⚠ No encontrado"))</f>
        <v/>
      </c>
      <c r="G47" s="65" t="inlineStr">
        <is>
          <t>Gastos De Representacion</t>
        </is>
      </c>
      <c r="H47" s="65">
        <f>IF(OR(B47="",C47=""),"",IFERROR(VLOOKUP(B47&amp;"|||"&amp;C47,MAESTRA!$A$3:$J$500,9,0),""))</f>
        <v/>
      </c>
      <c r="I47" s="55" t="inlineStr">
        <is>
          <t>NO PAGAR LEGALIZA NADIA MARTINEZ ALMUERZO CLIENTE MASTELINE</t>
        </is>
      </c>
      <c r="J47" s="55" t="inlineStr">
        <is>
          <t>Barranquilla</t>
        </is>
      </c>
      <c r="K47" s="55" t="inlineStr">
        <is>
          <t>EMAL32923</t>
        </is>
      </c>
      <c r="L47" s="63" t="n">
        <v>46058</v>
      </c>
      <c r="M47" s="63" t="n"/>
      <c r="N47" s="66" t="n">
        <v>168587</v>
      </c>
      <c r="O47" s="55" t="inlineStr">
        <is>
          <t>6</t>
        </is>
      </c>
      <c r="P47" s="63" t="n">
        <v>46065</v>
      </c>
      <c r="Q47" s="55" t="n"/>
      <c r="R47" s="55" t="inlineStr">
        <is>
          <t>APROBACIÓN GERENCIA DE PERSONAS Y ADMÓN</t>
        </is>
      </c>
      <c r="S47" s="63" t="n"/>
      <c r="T47" s="65" t="inlineStr">
        <is>
          <t>febrero 2026</t>
        </is>
      </c>
    </row>
    <row r="48" ht="15" customHeight="1">
      <c r="A48" s="67" t="n">
        <v>45</v>
      </c>
      <c r="B48" s="55" t="inlineStr">
        <is>
          <t>DLK S.A.S</t>
        </is>
      </c>
      <c r="C48" s="55" t="n"/>
      <c r="D48" s="65" t="inlineStr">
        <is>
          <t>ADM</t>
        </is>
      </c>
      <c r="E48" s="65">
        <f>IF(OR(B48="",C48=""),"",IFERROR(VLOOKUP(B48&amp;"|||"&amp;C48,MAESTRA!$A$3:$J$500,6,0),"⚠ No encontrado"))</f>
        <v/>
      </c>
      <c r="F48" s="65">
        <f>IF(OR(B48="",C48=""),"",IFERROR(VLOOKUP(B48&amp;"|||"&amp;C48,MAESTRA!$A$3:$J$500,7,0),"⚠ No encontrado"))</f>
        <v/>
      </c>
      <c r="G48" s="65" t="inlineStr">
        <is>
          <t>Gastos De Representacion</t>
        </is>
      </c>
      <c r="H48" s="65">
        <f>IF(OR(B48="",C48=""),"",IFERROR(VLOOKUP(B48&amp;"|||"&amp;C48,MAESTRA!$A$3:$J$500,9,0),""))</f>
        <v/>
      </c>
      <c r="I48" s="55" t="inlineStr">
        <is>
          <t>NO PAGAR LEGALIZA NADIA MARTINEZ ALMUERZO CLIENTE ALONSO</t>
        </is>
      </c>
      <c r="J48" s="55" t="inlineStr">
        <is>
          <t>Barranquilla</t>
        </is>
      </c>
      <c r="K48" s="55" t="inlineStr">
        <is>
          <t>FPAT2535</t>
        </is>
      </c>
      <c r="L48" s="63" t="n">
        <v>46063</v>
      </c>
      <c r="M48" s="63" t="n"/>
      <c r="N48" s="66" t="n">
        <v>198196.25</v>
      </c>
      <c r="O48" s="55" t="inlineStr">
        <is>
          <t>2050</t>
        </is>
      </c>
      <c r="P48" s="63" t="n">
        <v>46065</v>
      </c>
      <c r="Q48" s="55" t="n"/>
      <c r="R48" s="55" t="inlineStr">
        <is>
          <t>APROBACIÓN GERENCIA DE PERSONAS Y ADMÓN</t>
        </is>
      </c>
      <c r="S48" s="63" t="n"/>
      <c r="T48" s="65" t="inlineStr">
        <is>
          <t>febrero 2026</t>
        </is>
      </c>
    </row>
    <row r="49" ht="15" customHeight="1">
      <c r="A49" s="67" t="n">
        <v>46</v>
      </c>
      <c r="B49" s="55" t="inlineStr">
        <is>
          <t>CREPES Y WAFFLES S A</t>
        </is>
      </c>
      <c r="C49" s="55" t="n"/>
      <c r="D49" s="65" t="inlineStr">
        <is>
          <t>GH</t>
        </is>
      </c>
      <c r="E49" s="65">
        <f>IF(OR(B49="",C49=""),"",IFERROR(VLOOKUP(B49&amp;"|||"&amp;C49,MAESTRA!$A$3:$J$500,6,0),"⚠ No encontrado"))</f>
        <v/>
      </c>
      <c r="F49" s="65">
        <f>IF(OR(B49="",C49=""),"",IFERROR(VLOOKUP(B49&amp;"|||"&amp;C49,MAESTRA!$A$3:$J$500,7,0),"⚠ No encontrado"))</f>
        <v/>
      </c>
      <c r="G49" s="65" t="inlineStr">
        <is>
          <t>Cumpleaños</t>
        </is>
      </c>
      <c r="H49" s="65">
        <f>IF(OR(B49="",C49=""),"",IFERROR(VLOOKUP(B49&amp;"|||"&amp;C49,MAESTRA!$A$3:$J$500,9,0),""))</f>
        <v/>
      </c>
      <c r="I49" s="55" t="inlineStr">
        <is>
          <t>NO PAGAR LEGALIZA CAJA MENOR BOGOTA COMPRA POSTRE CUMPLE MARIA,DANIEL Y MARIANA</t>
        </is>
      </c>
      <c r="J49" s="55" t="inlineStr">
        <is>
          <t>Transversal</t>
        </is>
      </c>
      <c r="K49" s="55" t="inlineStr">
        <is>
          <t>R06E469026</t>
        </is>
      </c>
      <c r="L49" s="63" t="n">
        <v>46063</v>
      </c>
      <c r="M49" s="63" t="n"/>
      <c r="N49" s="66" t="n">
        <v>45000</v>
      </c>
      <c r="O49" s="55" t="inlineStr">
        <is>
          <t>5083</t>
        </is>
      </c>
      <c r="P49" s="63" t="n">
        <v>46079</v>
      </c>
      <c r="Q49" s="55" t="n"/>
      <c r="R49" s="55" t="inlineStr">
        <is>
          <t>APROBACIÓN GERENCIA DE PERSONAS Y ADMÓN</t>
        </is>
      </c>
      <c r="S49" s="63" t="n"/>
      <c r="T49" s="65" t="inlineStr">
        <is>
          <t>febrero 2026</t>
        </is>
      </c>
    </row>
    <row r="50" ht="15" customHeight="1">
      <c r="A50" s="67" t="n">
        <v>47</v>
      </c>
      <c r="B50" s="55" t="inlineStr">
        <is>
          <t>LISDEY MARYORY CARDONA OSPINA</t>
        </is>
      </c>
      <c r="C50" s="55" t="n"/>
      <c r="D50" s="65" t="inlineStr">
        <is>
          <t>ADM</t>
        </is>
      </c>
      <c r="E50" s="65">
        <f>IF(OR(B50="",C50=""),"",IFERROR(VLOOKUP(B50&amp;"|||"&amp;C50,MAESTRA!$A$3:$J$500,6,0),"⚠ No encontrado"))</f>
        <v/>
      </c>
      <c r="F50" s="65">
        <f>IF(OR(B50="",C50=""),"",IFERROR(VLOOKUP(B50&amp;"|||"&amp;C50,MAESTRA!$A$3:$J$500,7,0),"⚠ No encontrado"))</f>
        <v/>
      </c>
      <c r="G50" s="65" t="inlineStr">
        <is>
          <t>Material Copa/Cozinha</t>
        </is>
      </c>
      <c r="H50" s="65">
        <f>IF(OR(B50="",C50=""),"",IFERROR(VLOOKUP(B50&amp;"|||"&amp;C50,MAESTRA!$A$3:$J$500,9,0),""))</f>
        <v/>
      </c>
      <c r="I50" s="55" t="inlineStr">
        <is>
          <t>NO PAGAR LEGALIZA CAJA MENOR CARTAGENA COMPRA BOTELLON DE AGUA</t>
        </is>
      </c>
      <c r="J50" s="55" t="inlineStr">
        <is>
          <t>Cartagena</t>
        </is>
      </c>
      <c r="K50" s="55" t="inlineStr">
        <is>
          <t>FELM32742</t>
        </is>
      </c>
      <c r="L50" s="63" t="n">
        <v>46064</v>
      </c>
      <c r="M50" s="63" t="n"/>
      <c r="N50" s="66" t="n">
        <v>18000</v>
      </c>
      <c r="O50" s="55" t="inlineStr">
        <is>
          <t>27</t>
        </is>
      </c>
      <c r="P50" s="63" t="n">
        <v>46079</v>
      </c>
      <c r="Q50" s="55" t="n"/>
      <c r="R50" s="55" t="inlineStr">
        <is>
          <t>APROBACIÓN GERENCIA DE PERSONAS Y ADMÓN</t>
        </is>
      </c>
      <c r="S50" s="63" t="n"/>
      <c r="T50" s="65" t="inlineStr">
        <is>
          <t>febrero 2026</t>
        </is>
      </c>
    </row>
    <row r="51" ht="15" customHeight="1">
      <c r="A51" s="67" t="n">
        <v>48</v>
      </c>
      <c r="B51" s="55" t="inlineStr">
        <is>
          <t>PAN PA YA LTDA</t>
        </is>
      </c>
      <c r="C51" s="55" t="n"/>
      <c r="D51" s="65" t="inlineStr">
        <is>
          <t>GH</t>
        </is>
      </c>
      <c r="E51" s="65">
        <f>IF(OR(B51="",C51=""),"",IFERROR(VLOOKUP(B51&amp;"|||"&amp;C51,MAESTRA!$A$3:$J$500,6,0),"⚠ No encontrado"))</f>
        <v/>
      </c>
      <c r="F51" s="65">
        <f>IF(OR(B51="",C51=""),"",IFERROR(VLOOKUP(B51&amp;"|||"&amp;C51,MAESTRA!$A$3:$J$500,7,0),"⚠ No encontrado"))</f>
        <v/>
      </c>
      <c r="G51" s="65" t="inlineStr">
        <is>
          <t>Café / Almuerzo con colaboradores</t>
        </is>
      </c>
      <c r="H51" s="65">
        <f>IF(OR(B51="",C51=""),"",IFERROR(VLOOKUP(B51&amp;"|||"&amp;C51,MAESTRA!$A$3:$J$500,9,0),""))</f>
        <v/>
      </c>
      <c r="I51" s="55" t="inlineStr">
        <is>
          <t>NO PAGAR LEGALIZA CAJA MENOR BOGOTA COMPRA REFRIGERIO COLABORADORES CALLE 100</t>
        </is>
      </c>
      <c r="J51" s="55" t="inlineStr">
        <is>
          <t>Calle 100</t>
        </is>
      </c>
      <c r="K51" s="55" t="inlineStr">
        <is>
          <t>96C85806</t>
        </is>
      </c>
      <c r="L51" s="63" t="n">
        <v>46065</v>
      </c>
      <c r="M51" s="63" t="n"/>
      <c r="N51" s="66" t="n">
        <v>234000</v>
      </c>
      <c r="O51" s="55" t="inlineStr">
        <is>
          <t>5088</t>
        </is>
      </c>
      <c r="P51" s="63" t="n">
        <v>46079</v>
      </c>
      <c r="Q51" s="55" t="n"/>
      <c r="R51" s="55" t="inlineStr">
        <is>
          <t>APROBACIÓN GERENCIA DE PERSONAS Y ADMÓN</t>
        </is>
      </c>
      <c r="S51" s="63" t="n"/>
      <c r="T51" s="65" t="inlineStr">
        <is>
          <t>febrero 2026</t>
        </is>
      </c>
    </row>
    <row r="52" ht="15" customHeight="1">
      <c r="A52" s="67" t="n">
        <v>49</v>
      </c>
      <c r="B52" s="55" t="inlineStr">
        <is>
          <t>CADENA COMERCIAL OXXO COLOMBIA S A S</t>
        </is>
      </c>
      <c r="C52" s="55" t="n"/>
      <c r="D52" s="65" t="inlineStr">
        <is>
          <t>GH</t>
        </is>
      </c>
      <c r="E52" s="65">
        <f>IF(OR(B52="",C52=""),"",IFERROR(VLOOKUP(B52&amp;"|||"&amp;C52,MAESTRA!$A$3:$J$500,6,0),"⚠ No encontrado"))</f>
        <v/>
      </c>
      <c r="F52" s="65">
        <f>IF(OR(B52="",C52=""),"",IFERROR(VLOOKUP(B52&amp;"|||"&amp;C52,MAESTRA!$A$3:$J$500,7,0),"⚠ No encontrado"))</f>
        <v/>
      </c>
      <c r="G52" s="65" t="inlineStr">
        <is>
          <t>Plan estratégico en enero 2025</t>
        </is>
      </c>
      <c r="H52" s="65">
        <f>IF(OR(B52="",C52=""),"",IFERROR(VLOOKUP(B52&amp;"|||"&amp;C52,MAESTRA!$A$3:$J$500,9,0),""))</f>
        <v/>
      </c>
      <c r="I52" s="55" t="inlineStr">
        <is>
          <t>NO PAGAR LEGALIZA GINNA CASTRO TARJETA PEOPLE PASS COMPRA DESAYUNO REUNION COMERCIAL</t>
        </is>
      </c>
      <c r="J52" s="55" t="inlineStr">
        <is>
          <t>Calle 100</t>
        </is>
      </c>
      <c r="K52" s="55" t="inlineStr">
        <is>
          <t>234C219469</t>
        </is>
      </c>
      <c r="L52" s="63" t="n">
        <v>46062</v>
      </c>
      <c r="M52" s="63" t="n"/>
      <c r="N52" s="66" t="n">
        <v>9400</v>
      </c>
      <c r="O52" s="55" t="inlineStr">
        <is>
          <t>5090</t>
        </is>
      </c>
      <c r="P52" s="63" t="n">
        <v>46079</v>
      </c>
      <c r="Q52" s="55" t="n"/>
      <c r="R52" s="55" t="inlineStr">
        <is>
          <t>APROBACIÓN GERENCIA DE PERSONAS Y ADMÓN</t>
        </is>
      </c>
      <c r="S52" s="63" t="n"/>
      <c r="T52" s="65" t="inlineStr">
        <is>
          <t>febrero 2026</t>
        </is>
      </c>
    </row>
    <row r="53" ht="15" customHeight="1">
      <c r="A53" s="67" t="n">
        <v>50</v>
      </c>
      <c r="B53" s="55" t="inlineStr">
        <is>
          <t>CADENA COMERCIAL OXXO COLOMBIA S A S</t>
        </is>
      </c>
      <c r="C53" s="55" t="n"/>
      <c r="D53" s="65" t="inlineStr">
        <is>
          <t>GH</t>
        </is>
      </c>
      <c r="E53" s="65">
        <f>IF(OR(B53="",C53=""),"",IFERROR(VLOOKUP(B53&amp;"|||"&amp;C53,MAESTRA!$A$3:$J$500,6,0),"⚠ No encontrado"))</f>
        <v/>
      </c>
      <c r="F53" s="65">
        <f>IF(OR(B53="",C53=""),"",IFERROR(VLOOKUP(B53&amp;"|||"&amp;C53,MAESTRA!$A$3:$J$500,7,0),"⚠ No encontrado"))</f>
        <v/>
      </c>
      <c r="G53" s="65" t="inlineStr">
        <is>
          <t>Plan estratégico en enero 2025</t>
        </is>
      </c>
      <c r="H53" s="65">
        <f>IF(OR(B53="",C53=""),"",IFERROR(VLOOKUP(B53&amp;"|||"&amp;C53,MAESTRA!$A$3:$J$500,9,0),""))</f>
        <v/>
      </c>
      <c r="I53" s="55" t="inlineStr">
        <is>
          <t>NO PAGAR LEGALIZA GINNA CASTRO TARJETA PEOPLE PASS COMPRA DESAYUNO REUNION COMERCIAL</t>
        </is>
      </c>
      <c r="J53" s="55" t="inlineStr">
        <is>
          <t>Calle 100</t>
        </is>
      </c>
      <c r="K53" s="55" t="inlineStr">
        <is>
          <t>234C219465</t>
        </is>
      </c>
      <c r="L53" s="63" t="n">
        <v>46062</v>
      </c>
      <c r="M53" s="63" t="n"/>
      <c r="N53" s="66" t="n">
        <v>53100</v>
      </c>
      <c r="O53" s="55" t="inlineStr">
        <is>
          <t>5092</t>
        </is>
      </c>
      <c r="P53" s="63" t="n">
        <v>46079</v>
      </c>
      <c r="Q53" s="55" t="n"/>
      <c r="R53" s="55" t="inlineStr">
        <is>
          <t>APROBACIÓN GERENCIA DE PERSONAS Y ADMÓN</t>
        </is>
      </c>
      <c r="S53" s="63" t="n"/>
      <c r="T53" s="65" t="inlineStr">
        <is>
          <t>febrero 2026</t>
        </is>
      </c>
    </row>
    <row r="54">
      <c r="A54" s="64" t="n">
        <v>51</v>
      </c>
      <c r="B54" s="55" t="inlineStr">
        <is>
          <t>CADENA COMERCIAL OXXO COLOMBIA S A S</t>
        </is>
      </c>
      <c r="C54" s="55" t="n"/>
      <c r="D54" s="65" t="inlineStr">
        <is>
          <t>GH</t>
        </is>
      </c>
      <c r="E54" s="65">
        <f>IF(OR(B54="",C54=""),"",IFERROR(VLOOKUP(B54&amp;"|||"&amp;C54,MAESTRA!$A$3:$J$500,6,0),"⚠ No encontrado"))</f>
        <v/>
      </c>
      <c r="F54" s="65">
        <f>IF(OR(B54="",C54=""),"",IFERROR(VLOOKUP(B54&amp;"|||"&amp;C54,MAESTRA!$A$3:$J$500,7,0),"⚠ No encontrado"))</f>
        <v/>
      </c>
      <c r="G54" s="65" t="inlineStr">
        <is>
          <t>Cumpleaños</t>
        </is>
      </c>
      <c r="H54" s="65">
        <f>IF(OR(B54="",C54=""),"",IFERROR(VLOOKUP(B54&amp;"|||"&amp;C54,MAESTRA!$A$3:$J$500,9,0),""))</f>
        <v/>
      </c>
      <c r="I54" s="55" t="inlineStr">
        <is>
          <t>NO PAGAR LEGALIZA CAJA MENOR BOGOTA COMPRA DESECHABLES CUMPLE AACR</t>
        </is>
      </c>
      <c r="J54" s="55" t="inlineStr">
        <is>
          <t>Calle 100</t>
        </is>
      </c>
      <c r="K54" s="55" t="inlineStr">
        <is>
          <t>234C221941</t>
        </is>
      </c>
      <c r="L54" s="63" t="n">
        <v>46069</v>
      </c>
      <c r="M54" s="63" t="n"/>
      <c r="N54" s="66" t="n">
        <v>20500</v>
      </c>
      <c r="O54" s="55" t="inlineStr">
        <is>
          <t>5094</t>
        </is>
      </c>
      <c r="P54" s="63" t="n">
        <v>46079</v>
      </c>
      <c r="Q54" s="55" t="n"/>
      <c r="R54" s="55" t="inlineStr">
        <is>
          <t>APROBACIÓN GERENCIA DE PERSONAS Y ADMÓN</t>
        </is>
      </c>
      <c r="S54" s="63" t="n"/>
      <c r="T54" s="65" t="inlineStr">
        <is>
          <t>febrero 2026</t>
        </is>
      </c>
    </row>
    <row r="55">
      <c r="A55" s="64" t="n">
        <v>52</v>
      </c>
      <c r="B55" s="55" t="inlineStr">
        <is>
          <t>BBI COLOMBIA S A S</t>
        </is>
      </c>
      <c r="C55" s="55" t="n"/>
      <c r="D55" s="65" t="inlineStr">
        <is>
          <t>ADM</t>
        </is>
      </c>
      <c r="E55" s="65">
        <f>IF(OR(B55="",C55=""),"",IFERROR(VLOOKUP(B55&amp;"|||"&amp;C55,MAESTRA!$A$3:$J$500,6,0),"⚠ No encontrado"))</f>
        <v/>
      </c>
      <c r="F55" s="65">
        <f>IF(OR(B55="",C55=""),"",IFERROR(VLOOKUP(B55&amp;"|||"&amp;C55,MAESTRA!$A$3:$J$500,7,0),"⚠ No encontrado"))</f>
        <v/>
      </c>
      <c r="G55" s="65" t="inlineStr">
        <is>
          <t>Reuniones gerenciales CEM (Comida)</t>
        </is>
      </c>
      <c r="H55" s="65">
        <f>IF(OR(B55="",C55=""),"",IFERROR(VLOOKUP(B55&amp;"|||"&amp;C55,MAESTRA!$A$3:$J$500,9,0),""))</f>
        <v/>
      </c>
      <c r="I55" s="55" t="inlineStr">
        <is>
          <t>NO PAGAR LEGALIZA RAFAEL DE SA TARJETA PEOPLE PASS COMPRA DESAYUNO CEM</t>
        </is>
      </c>
      <c r="J55" s="55" t="inlineStr">
        <is>
          <t>Calle 100</t>
        </is>
      </c>
      <c r="K55" s="55" t="inlineStr">
        <is>
          <t>074B67288</t>
        </is>
      </c>
      <c r="L55" s="63" t="n">
        <v>46071</v>
      </c>
      <c r="M55" s="63" t="n"/>
      <c r="N55" s="66" t="n">
        <v>151300</v>
      </c>
      <c r="O55" s="55" t="inlineStr">
        <is>
          <t>5177</t>
        </is>
      </c>
      <c r="P55" s="63" t="n">
        <v>46079</v>
      </c>
      <c r="Q55" s="55" t="n"/>
      <c r="R55" s="55" t="inlineStr">
        <is>
          <t>APROBACIÓN GERENCIA DE PERSONAS Y ADMÓN</t>
        </is>
      </c>
      <c r="S55" s="63" t="n"/>
      <c r="T55" s="65" t="inlineStr">
        <is>
          <t>febrero 2026</t>
        </is>
      </c>
    </row>
    <row r="56">
      <c r="A56" s="64" t="n">
        <v>53</v>
      </c>
      <c r="B56" s="55" t="inlineStr">
        <is>
          <t>SUPERMARKET LA COLOMBIANA SAS ZOMAC</t>
        </is>
      </c>
      <c r="C56" s="55" t="n"/>
      <c r="D56" s="65" t="inlineStr">
        <is>
          <t>ADM</t>
        </is>
      </c>
      <c r="E56" s="65">
        <f>IF(OR(B56="",C56=""),"",IFERROR(VLOOKUP(B56&amp;"|||"&amp;C56,MAESTRA!$A$3:$J$500,6,0),"⚠ No encontrado"))</f>
        <v/>
      </c>
      <c r="F56" s="65">
        <f>IF(OR(B56="",C56=""),"",IFERROR(VLOOKUP(B56&amp;"|||"&amp;C56,MAESTRA!$A$3:$J$500,7,0),"⚠ No encontrado"))</f>
        <v/>
      </c>
      <c r="G56" s="65" t="inlineStr">
        <is>
          <t>Material Copa/Cozinha</t>
        </is>
      </c>
      <c r="H56" s="65">
        <f>IF(OR(B56="",C56=""),"",IFERROR(VLOOKUP(B56&amp;"|||"&amp;C56,MAESTRA!$A$3:$J$500,9,0),""))</f>
        <v/>
      </c>
      <c r="I56" s="55" t="inlineStr">
        <is>
          <t>NO PAGAR LEGALIZA CAJA MENOR BUENAVENTURA COMPRA BOTELLON DE AGUA</t>
        </is>
      </c>
      <c r="J56" s="55" t="inlineStr">
        <is>
          <t>Buenaventura</t>
        </is>
      </c>
      <c r="K56" s="55" t="inlineStr">
        <is>
          <t>SMEF48789</t>
        </is>
      </c>
      <c r="L56" s="63" t="n">
        <v>46071</v>
      </c>
      <c r="M56" s="63" t="n"/>
      <c r="N56" s="66" t="n">
        <v>30000</v>
      </c>
      <c r="O56" s="55" t="inlineStr">
        <is>
          <t>25</t>
        </is>
      </c>
      <c r="P56" s="63" t="n">
        <v>46079</v>
      </c>
      <c r="Q56" s="55" t="n"/>
      <c r="R56" s="55" t="inlineStr">
        <is>
          <t>APROBACIÓN GERENCIA DE PERSONAS Y ADMÓN</t>
        </is>
      </c>
      <c r="S56" s="63" t="n"/>
      <c r="T56" s="65" t="inlineStr">
        <is>
          <t>febrero 2026</t>
        </is>
      </c>
    </row>
    <row r="57">
      <c r="A57" s="64" t="n">
        <v>54</v>
      </c>
      <c r="B57" s="55" t="inlineStr">
        <is>
          <t>BBI COLOMBIA S A S</t>
        </is>
      </c>
      <c r="C57" s="55" t="n"/>
      <c r="D57" s="65" t="inlineStr">
        <is>
          <t>ADM</t>
        </is>
      </c>
      <c r="E57" s="65">
        <f>IF(OR(B57="",C57=""),"",IFERROR(VLOOKUP(B57&amp;"|||"&amp;C57,MAESTRA!$A$3:$J$500,6,0),"⚠ No encontrado"))</f>
        <v/>
      </c>
      <c r="F57" s="65">
        <f>IF(OR(B57="",C57=""),"",IFERROR(VLOOKUP(B57&amp;"|||"&amp;C57,MAESTRA!$A$3:$J$500,7,0),"⚠ No encontrado"))</f>
        <v/>
      </c>
      <c r="G57" s="65" t="inlineStr">
        <is>
          <t>Gastos De Representacion</t>
        </is>
      </c>
      <c r="H57" s="65">
        <f>IF(OR(B57="",C57=""),"",IFERROR(VLOOKUP(B57&amp;"|||"&amp;C57,MAESTRA!$A$3:$J$500,9,0),""))</f>
        <v/>
      </c>
      <c r="I57" s="55" t="inlineStr">
        <is>
          <t>NO PAGAR LEGALIZA RAFAEL DE SA TARJETA PEOPLE PASS ATENCION PROVEEDOR BANCO</t>
        </is>
      </c>
      <c r="J57" s="55" t="inlineStr">
        <is>
          <t>Calle 100</t>
        </is>
      </c>
      <c r="K57" s="55" t="inlineStr">
        <is>
          <t>073B23799</t>
        </is>
      </c>
      <c r="L57" s="63" t="n">
        <v>46071</v>
      </c>
      <c r="M57" s="63" t="n"/>
      <c r="N57" s="66" t="n">
        <v>10000</v>
      </c>
      <c r="O57" s="55" t="inlineStr">
        <is>
          <t>5189</t>
        </is>
      </c>
      <c r="P57" s="63" t="n">
        <v>46079</v>
      </c>
      <c r="Q57" s="55" t="n"/>
      <c r="R57" s="55" t="inlineStr">
        <is>
          <t>APROBACIÓN GERENCIA DE PERSONAS Y ADMÓN</t>
        </is>
      </c>
      <c r="S57" s="63" t="n"/>
      <c r="T57" s="65" t="inlineStr">
        <is>
          <t>febrero 2026</t>
        </is>
      </c>
    </row>
    <row r="58">
      <c r="A58" s="64" t="n">
        <v>55</v>
      </c>
      <c r="B58" s="55" t="inlineStr">
        <is>
          <t>GASTRONOMÍA ITALIANA EN COLOMBIA S.A.S</t>
        </is>
      </c>
      <c r="C58" s="55" t="n"/>
      <c r="D58" s="65" t="inlineStr">
        <is>
          <t>ADM</t>
        </is>
      </c>
      <c r="E58" s="65">
        <f>IF(OR(B58="",C58=""),"",IFERROR(VLOOKUP(B58&amp;"|||"&amp;C58,MAESTRA!$A$3:$J$500,6,0),"⚠ No encontrado"))</f>
        <v/>
      </c>
      <c r="F58" s="65">
        <f>IF(OR(B58="",C58=""),"",IFERROR(VLOOKUP(B58&amp;"|||"&amp;C58,MAESTRA!$A$3:$J$500,7,0),"⚠ No encontrado"))</f>
        <v/>
      </c>
      <c r="G58" s="65" t="inlineStr">
        <is>
          <t>Reuniones gerenciales CEM (Comida)</t>
        </is>
      </c>
      <c r="H58" s="65">
        <f>IF(OR(B58="",C58=""),"",IFERROR(VLOOKUP(B58&amp;"|||"&amp;C58,MAESTRA!$A$3:$J$500,9,0),""))</f>
        <v/>
      </c>
      <c r="I58" s="55" t="inlineStr">
        <is>
          <t>NO PAGAR LEGALIZA RAFA, GINNA Y MARIANA TARJETAS PEOPLE ALMUERZO CEM</t>
        </is>
      </c>
      <c r="J58" s="55" t="inlineStr">
        <is>
          <t>Calle 100</t>
        </is>
      </c>
      <c r="K58" s="55" t="inlineStr">
        <is>
          <t>NTFE145171</t>
        </is>
      </c>
      <c r="L58" s="63" t="n">
        <v>46071</v>
      </c>
      <c r="M58" s="63" t="n"/>
      <c r="N58" s="66" t="n">
        <v>362100</v>
      </c>
      <c r="O58" s="55" t="inlineStr">
        <is>
          <t>5191</t>
        </is>
      </c>
      <c r="P58" s="63" t="n">
        <v>46079</v>
      </c>
      <c r="Q58" s="55" t="inlineStr">
        <is>
          <t>QUEDA SALDO DE MARIANA POR VALOR DE $ 107,100</t>
        </is>
      </c>
      <c r="R58" s="55" t="inlineStr">
        <is>
          <t>APROBACIÓN GERENCIA DE PERSONAS Y ADMÓN</t>
        </is>
      </c>
      <c r="S58" s="63" t="n"/>
      <c r="T58" s="65" t="inlineStr">
        <is>
          <t>febrero 2026</t>
        </is>
      </c>
    </row>
    <row r="59">
      <c r="A59" s="64" t="n">
        <v>56</v>
      </c>
      <c r="B59" s="55" t="inlineStr">
        <is>
          <t>CADENA COMERCIAL OXXO COLOMBIA S A S</t>
        </is>
      </c>
      <c r="C59" s="55" t="n"/>
      <c r="D59" s="65" t="inlineStr">
        <is>
          <t>ADM</t>
        </is>
      </c>
      <c r="E59" s="65">
        <f>IF(OR(B59="",C59=""),"",IFERROR(VLOOKUP(B59&amp;"|||"&amp;C59,MAESTRA!$A$3:$J$500,6,0),"⚠ No encontrado"))</f>
        <v/>
      </c>
      <c r="F59" s="65">
        <f>IF(OR(B59="",C59=""),"",IFERROR(VLOOKUP(B59&amp;"|||"&amp;C59,MAESTRA!$A$3:$J$500,7,0),"⚠ No encontrado"))</f>
        <v/>
      </c>
      <c r="G59" s="65" t="inlineStr">
        <is>
          <t>Reuniones gerenciales CEM (Comida)</t>
        </is>
      </c>
      <c r="H59" s="65">
        <f>IF(OR(B59="",C59=""),"",IFERROR(VLOOKUP(B59&amp;"|||"&amp;C59,MAESTRA!$A$3:$J$500,9,0),""))</f>
        <v/>
      </c>
      <c r="I59" s="55" t="inlineStr">
        <is>
          <t>NO PAGAR LEGALIZA RAFAEL DE SA TARJETA PEOPLE PASS COMPRA QUESOS DESAYUNO CEM</t>
        </is>
      </c>
      <c r="J59" s="55" t="inlineStr">
        <is>
          <t>Calle 100</t>
        </is>
      </c>
      <c r="K59" s="55" t="inlineStr">
        <is>
          <t>334C257427</t>
        </is>
      </c>
      <c r="L59" s="63" t="n">
        <v>46071</v>
      </c>
      <c r="M59" s="63" t="n"/>
      <c r="N59" s="66" t="n">
        <v>35100</v>
      </c>
      <c r="O59" s="55" t="inlineStr">
        <is>
          <t>5194</t>
        </is>
      </c>
      <c r="P59" s="63" t="n">
        <v>46079</v>
      </c>
      <c r="Q59" s="55" t="n"/>
      <c r="R59" s="55" t="inlineStr">
        <is>
          <t>APROBACIÓN GERENCIA DE PERSONAS Y ADMÓN</t>
        </is>
      </c>
      <c r="S59" s="63" t="n"/>
      <c r="T59" s="65" t="inlineStr">
        <is>
          <t>febrero 2026</t>
        </is>
      </c>
    </row>
    <row r="60">
      <c r="A60" s="64" t="n">
        <v>57</v>
      </c>
      <c r="B60" s="55" t="inlineStr">
        <is>
          <t>GASEOSAS LUX S.A.S.</t>
        </is>
      </c>
      <c r="C60" s="55" t="n"/>
      <c r="D60" s="65" t="inlineStr">
        <is>
          <t>ADM</t>
        </is>
      </c>
      <c r="E60" s="65">
        <f>IF(OR(B60="",C60=""),"",IFERROR(VLOOKUP(B60&amp;"|||"&amp;C60,MAESTRA!$A$3:$J$500,6,0),"⚠ No encontrado"))</f>
        <v/>
      </c>
      <c r="F60" s="65">
        <f>IF(OR(B60="",C60=""),"",IFERROR(VLOOKUP(B60&amp;"|||"&amp;C60,MAESTRA!$A$3:$J$500,7,0),"⚠ No encontrado"))</f>
        <v/>
      </c>
      <c r="G60" s="65" t="inlineStr">
        <is>
          <t>Material Copa/Cozinha</t>
        </is>
      </c>
      <c r="H60" s="65">
        <f>IF(OR(B60="",C60=""),"",IFERROR(VLOOKUP(B60&amp;"|||"&amp;C60,MAESTRA!$A$3:$J$500,9,0),""))</f>
        <v/>
      </c>
      <c r="I60" s="55" t="inlineStr">
        <is>
          <t>NO PAGAR LEGALIZA CAJA MENOR AEROPUERTO COMPRA 3 BOTELLONES DE AGUA</t>
        </is>
      </c>
      <c r="J60" s="55" t="inlineStr">
        <is>
          <t>Aeropuerto</t>
        </is>
      </c>
      <c r="K60" s="55" t="inlineStr">
        <is>
          <t>GL071338924</t>
        </is>
      </c>
      <c r="L60" s="63" t="n">
        <v>46071</v>
      </c>
      <c r="M60" s="63" t="n"/>
      <c r="N60" s="66" t="n">
        <v>40050</v>
      </c>
      <c r="O60" s="55" t="n"/>
      <c r="P60" s="63" t="n"/>
      <c r="Q60" s="55" t="n"/>
      <c r="R60" s="55" t="inlineStr">
        <is>
          <t>APROBACIÓN GERENCIA DE PERSONAS Y ADMÓN</t>
        </is>
      </c>
      <c r="S60" s="63" t="n"/>
      <c r="T60" s="65" t="inlineStr">
        <is>
          <t>febrero 2026</t>
        </is>
      </c>
    </row>
    <row r="61">
      <c r="A61" s="64" t="n">
        <v>58</v>
      </c>
      <c r="B61" s="55" t="inlineStr">
        <is>
          <t>CAMARA COMERCIO DE CALI</t>
        </is>
      </c>
      <c r="C61" s="55" t="n"/>
      <c r="D61" s="65" t="inlineStr">
        <is>
          <t>ADM</t>
        </is>
      </c>
      <c r="E61" s="65">
        <f>IF(OR(B61="",C61=""),"",IFERROR(VLOOKUP(B61&amp;"|||"&amp;C61,MAESTRA!$A$3:$J$500,6,0),"⚠ No encontrado"))</f>
        <v/>
      </c>
      <c r="F61" s="65">
        <f>IF(OR(B61="",C61=""),"",IFERROR(VLOOKUP(B61&amp;"|||"&amp;C61,MAESTRA!$A$3:$J$500,7,0),"⚠ No encontrado"))</f>
        <v/>
      </c>
      <c r="G61" s="65" t="inlineStr">
        <is>
          <t>Trámites notariales autenticaciones</t>
        </is>
      </c>
      <c r="H61" s="65">
        <f>IF(OR(B61="",C61=""),"",IFERROR(VLOOKUP(B61&amp;"|||"&amp;C61,MAESTRA!$A$3:$J$500,9,0),""))</f>
        <v/>
      </c>
      <c r="I61" s="55" t="inlineStr">
        <is>
          <t>NO PAGAR LEGALIZA CAJA MENOR BOGOTA COMPRA CERTIFICADO CRA CIO LOGISTICA FACIL</t>
        </is>
      </c>
      <c r="J61" s="55" t="inlineStr">
        <is>
          <t>Cali</t>
        </is>
      </c>
      <c r="K61" s="55" t="inlineStr">
        <is>
          <t>27VT267179</t>
        </is>
      </c>
      <c r="L61" s="63" t="n">
        <v>46071</v>
      </c>
      <c r="M61" s="63" t="n"/>
      <c r="N61" s="66" t="n">
        <v>12100</v>
      </c>
      <c r="O61" s="55" t="inlineStr">
        <is>
          <t>5</t>
        </is>
      </c>
      <c r="P61" s="63" t="n">
        <v>46079</v>
      </c>
      <c r="Q61" s="55" t="n"/>
      <c r="R61" s="55" t="inlineStr">
        <is>
          <t>APROBACIÓN GERENCIA DE PERSONAS Y ADMÓN</t>
        </is>
      </c>
      <c r="S61" s="63" t="n"/>
      <c r="T61" s="65" t="inlineStr">
        <is>
          <t>febrero 2026</t>
        </is>
      </c>
    </row>
    <row r="62">
      <c r="A62" s="64" t="n">
        <v>59</v>
      </c>
      <c r="B62" s="55" t="inlineStr">
        <is>
          <t>CADENA COMERCIAL OXXO COLOMBIA S A S</t>
        </is>
      </c>
      <c r="C62" s="55" t="n"/>
      <c r="D62" s="65" t="inlineStr">
        <is>
          <t>ADM</t>
        </is>
      </c>
      <c r="E62" s="65">
        <f>IF(OR(B62="",C62=""),"",IFERROR(VLOOKUP(B62&amp;"|||"&amp;C62,MAESTRA!$A$3:$J$500,6,0),"⚠ No encontrado"))</f>
        <v/>
      </c>
      <c r="F62" s="65">
        <f>IF(OR(B62="",C62=""),"",IFERROR(VLOOKUP(B62&amp;"|||"&amp;C62,MAESTRA!$A$3:$J$500,7,0),"⚠ No encontrado"))</f>
        <v/>
      </c>
      <c r="G62" s="65" t="inlineStr">
        <is>
          <t>Reuniones gerenciales CEM (Comida)</t>
        </is>
      </c>
      <c r="H62" s="65">
        <f>IF(OR(B62="",C62=""),"",IFERROR(VLOOKUP(B62&amp;"|||"&amp;C62,MAESTRA!$A$3:$J$500,9,0),""))</f>
        <v/>
      </c>
      <c r="I62" s="55" t="inlineStr">
        <is>
          <t>NO PAGAR LEGALIZA TC 9994 COMPRA GASEOSA ALMUERZO CEM</t>
        </is>
      </c>
      <c r="J62" s="55" t="inlineStr">
        <is>
          <t>Transversal</t>
        </is>
      </c>
      <c r="K62" s="55" t="inlineStr">
        <is>
          <t>334C257602</t>
        </is>
      </c>
      <c r="L62" s="63" t="n">
        <v>46071</v>
      </c>
      <c r="M62" s="63" t="n"/>
      <c r="N62" s="66" t="n">
        <v>21000</v>
      </c>
      <c r="O62" s="55" t="inlineStr">
        <is>
          <t>5202</t>
        </is>
      </c>
      <c r="P62" s="63" t="n">
        <v>46079</v>
      </c>
      <c r="Q62" s="55" t="n"/>
      <c r="R62" s="55" t="inlineStr">
        <is>
          <t>APROBACIÓN GERENCIA DE PERSONAS Y ADMÓN</t>
        </is>
      </c>
      <c r="S62" s="63" t="n"/>
      <c r="T62" s="65" t="inlineStr">
        <is>
          <t>febrero 2026</t>
        </is>
      </c>
    </row>
    <row r="63">
      <c r="A63" s="64" t="n">
        <v>60</v>
      </c>
      <c r="B63" s="55" t="inlineStr">
        <is>
          <t>CADENA COMERCIAL OXXO COLOMBIA S A S</t>
        </is>
      </c>
      <c r="C63" s="55" t="n"/>
      <c r="D63" s="65" t="inlineStr">
        <is>
          <t>ADM</t>
        </is>
      </c>
      <c r="E63" s="65">
        <f>IF(OR(B63="",C63=""),"",IFERROR(VLOOKUP(B63&amp;"|||"&amp;C63,MAESTRA!$A$3:$J$500,6,0),"⚠ No encontrado"))</f>
        <v/>
      </c>
      <c r="F63" s="65">
        <f>IF(OR(B63="",C63=""),"",IFERROR(VLOOKUP(B63&amp;"|||"&amp;C63,MAESTRA!$A$3:$J$500,7,0),"⚠ No encontrado"))</f>
        <v/>
      </c>
      <c r="G63" s="65" t="inlineStr">
        <is>
          <t>Reuniones gerenciales CEM (Comida)</t>
        </is>
      </c>
      <c r="H63" s="65">
        <f>IF(OR(B63="",C63=""),"",IFERROR(VLOOKUP(B63&amp;"|||"&amp;C63,MAESTRA!$A$3:$J$500,9,0),""))</f>
        <v/>
      </c>
      <c r="I63" s="55" t="inlineStr">
        <is>
          <t>NO PAGAR LEGALIZA TARJETA PEOPLE PASS RAFAEL DE SA COMPARA AGUA REUNION CEM</t>
        </is>
      </c>
      <c r="J63" s="55" t="inlineStr">
        <is>
          <t>Transversal</t>
        </is>
      </c>
      <c r="K63" s="55" t="inlineStr">
        <is>
          <t>334C257039</t>
        </is>
      </c>
      <c r="L63" s="63" t="n">
        <v>46070</v>
      </c>
      <c r="M63" s="63" t="n"/>
      <c r="N63" s="66" t="n">
        <v>55900</v>
      </c>
      <c r="O63" s="55" t="inlineStr">
        <is>
          <t>5205</t>
        </is>
      </c>
      <c r="P63" s="63" t="n">
        <v>46079</v>
      </c>
      <c r="Q63" s="55" t="n"/>
      <c r="R63" s="55" t="inlineStr">
        <is>
          <t>APROBACIÓN GERENCIA DE PERSONAS Y ADMÓN</t>
        </is>
      </c>
      <c r="S63" s="63" t="n"/>
      <c r="T63" s="65" t="inlineStr">
        <is>
          <t>febrero 2026</t>
        </is>
      </c>
    </row>
    <row r="64">
      <c r="A64" s="64" t="n">
        <v>61</v>
      </c>
      <c r="B64" s="55" t="inlineStr">
        <is>
          <t>CADENA COMERCIAL OXXO COLOMBIA S A S</t>
        </is>
      </c>
      <c r="C64" s="55" t="n"/>
      <c r="D64" s="65" t="inlineStr">
        <is>
          <t>GH</t>
        </is>
      </c>
      <c r="E64" s="65">
        <f>IF(OR(B64="",C64=""),"",IFERROR(VLOOKUP(B64&amp;"|||"&amp;C64,MAESTRA!$A$3:$J$500,6,0),"⚠ No encontrado"))</f>
        <v/>
      </c>
      <c r="F64" s="65">
        <f>IF(OR(B64="",C64=""),"",IFERROR(VLOOKUP(B64&amp;"|||"&amp;C64,MAESTRA!$A$3:$J$500,7,0),"⚠ No encontrado"))</f>
        <v/>
      </c>
      <c r="G64" s="65" t="inlineStr">
        <is>
          <t>Plan estratégico en enero 2025</t>
        </is>
      </c>
      <c r="H64" s="65">
        <f>IF(OR(B64="",C64=""),"",IFERROR(VLOOKUP(B64&amp;"|||"&amp;C64,MAESTRA!$A$3:$J$500,9,0),""))</f>
        <v/>
      </c>
      <c r="I64" s="55" t="inlineStr">
        <is>
          <t>NO PAGAR LEGALIZA TARJETA PEOPLE PASS GINNA CASTRO COMPRA DESAYUNO REUNION COMERCIAL</t>
        </is>
      </c>
      <c r="J64" s="55" t="inlineStr">
        <is>
          <t>Calle 100</t>
        </is>
      </c>
      <c r="K64" s="55" t="inlineStr">
        <is>
          <t>234C221718</t>
        </is>
      </c>
      <c r="L64" s="63" t="n">
        <v>46069</v>
      </c>
      <c r="M64" s="63" t="n"/>
      <c r="N64" s="66" t="n">
        <v>16800</v>
      </c>
      <c r="O64" s="55" t="inlineStr">
        <is>
          <t>5210</t>
        </is>
      </c>
      <c r="P64" s="63" t="n">
        <v>46079</v>
      </c>
      <c r="Q64" s="55" t="n"/>
      <c r="R64" s="55" t="inlineStr">
        <is>
          <t>APROBACIÓN GERENCIA DE PERSONAS Y ADMÓN</t>
        </is>
      </c>
      <c r="S64" s="63" t="n"/>
      <c r="T64" s="65" t="inlineStr">
        <is>
          <t>febrero 2026</t>
        </is>
      </c>
    </row>
    <row r="65">
      <c r="A65" s="64" t="n">
        <v>62</v>
      </c>
      <c r="B65" s="55" t="inlineStr">
        <is>
          <t>CADENA COMERCIAL OXXO COLOMBIA S A S</t>
        </is>
      </c>
      <c r="C65" s="55" t="n"/>
      <c r="D65" s="65" t="inlineStr">
        <is>
          <t>GH</t>
        </is>
      </c>
      <c r="E65" s="65">
        <f>IF(OR(B65="",C65=""),"",IFERROR(VLOOKUP(B65&amp;"|||"&amp;C65,MAESTRA!$A$3:$J$500,6,0),"⚠ No encontrado"))</f>
        <v/>
      </c>
      <c r="F65" s="65">
        <f>IF(OR(B65="",C65=""),"",IFERROR(VLOOKUP(B65&amp;"|||"&amp;C65,MAESTRA!$A$3:$J$500,7,0),"⚠ No encontrado"))</f>
        <v/>
      </c>
      <c r="G65" s="65" t="inlineStr">
        <is>
          <t>Plan estratégico en enero 2025</t>
        </is>
      </c>
      <c r="H65" s="65">
        <f>IF(OR(B65="",C65=""),"",IFERROR(VLOOKUP(B65&amp;"|||"&amp;C65,MAESTRA!$A$3:$J$500,9,0),""))</f>
        <v/>
      </c>
      <c r="I65" s="55" t="inlineStr">
        <is>
          <t>NO PAGAR LEGALIZA CAJA MENOR BOGOTA DESAYUNO COMERCIAL</t>
        </is>
      </c>
      <c r="J65" s="55" t="inlineStr">
        <is>
          <t>Calle 100</t>
        </is>
      </c>
      <c r="K65" s="55" t="inlineStr">
        <is>
          <t>334C259243</t>
        </is>
      </c>
      <c r="L65" s="63" t="n">
        <v>46076</v>
      </c>
      <c r="M65" s="63" t="n"/>
      <c r="N65" s="66" t="n">
        <v>35500</v>
      </c>
      <c r="O65" s="55" t="inlineStr">
        <is>
          <t>5214</t>
        </is>
      </c>
      <c r="P65" s="63" t="n">
        <v>46079</v>
      </c>
      <c r="Q65" s="55" t="n"/>
      <c r="R65" s="55" t="inlineStr">
        <is>
          <t>APROBACIÓN GERENCIA DE PERSONAS Y ADMÓN</t>
        </is>
      </c>
      <c r="S65" s="63" t="n"/>
      <c r="T65" s="65" t="inlineStr">
        <is>
          <t>febrero 2026</t>
        </is>
      </c>
    </row>
    <row r="66">
      <c r="A66" s="64" t="n">
        <v>63</v>
      </c>
      <c r="B66" s="55" t="inlineStr">
        <is>
          <t>GLOBAL OPERADORA HOTELERA SAS</t>
        </is>
      </c>
      <c r="C66" s="55" t="n"/>
      <c r="D66" s="65" t="inlineStr">
        <is>
          <t>ADM</t>
        </is>
      </c>
      <c r="E66" s="65">
        <f>IF(OR(B66="",C66=""),"",IFERROR(VLOOKUP(B66&amp;"|||"&amp;C66,MAESTRA!$A$3:$J$500,6,0),"⚠ No encontrado"))</f>
        <v/>
      </c>
      <c r="F66" s="65">
        <f>IF(OR(B66="",C66=""),"",IFERROR(VLOOKUP(B66&amp;"|||"&amp;C66,MAESTRA!$A$3:$J$500,7,0),"⚠ No encontrado"))</f>
        <v/>
      </c>
      <c r="G66" s="65" t="inlineStr">
        <is>
          <t>Gastos De Representacion</t>
        </is>
      </c>
      <c r="H66" s="65">
        <f>IF(OR(B66="",C66=""),"",IFERROR(VLOOKUP(B66&amp;"|||"&amp;C66,MAESTRA!$A$3:$J$500,9,0),""))</f>
        <v/>
      </c>
      <c r="I66" s="55" t="inlineStr">
        <is>
          <t xml:space="preserve">NO PAGAR LAGALIZA WILLIAM MARTIMNEZ ALMUERZO CLIENTE ZIX </t>
        </is>
      </c>
      <c r="J66" s="55" t="inlineStr">
        <is>
          <t>Calle 100</t>
        </is>
      </c>
      <c r="K66" s="55" t="inlineStr">
        <is>
          <t>7RE47087</t>
        </is>
      </c>
      <c r="L66" s="63" t="n">
        <v>46065</v>
      </c>
      <c r="M66" s="63" t="n"/>
      <c r="N66" s="66" t="n">
        <v>415252</v>
      </c>
      <c r="O66" s="55" t="inlineStr">
        <is>
          <t>5217</t>
        </is>
      </c>
      <c r="P66" s="63" t="n">
        <v>46079</v>
      </c>
      <c r="Q66" s="55" t="n"/>
      <c r="R66" s="55" t="n"/>
      <c r="S66" s="63" t="n"/>
      <c r="T66" s="65" t="inlineStr">
        <is>
          <t>febrero 2026</t>
        </is>
      </c>
    </row>
    <row r="67">
      <c r="A67" s="64" t="n">
        <v>64</v>
      </c>
      <c r="B67" s="55" t="inlineStr">
        <is>
          <t>CAMARA DE COMERCIO DE BOGOTA</t>
        </is>
      </c>
      <c r="C67" s="55" t="n"/>
      <c r="D67" s="65" t="inlineStr">
        <is>
          <t>ADM</t>
        </is>
      </c>
      <c r="E67" s="65">
        <f>IF(OR(B67="",C67=""),"",IFERROR(VLOOKUP(B67&amp;"|||"&amp;C67,MAESTRA!$A$3:$J$500,6,0),"⚠ No encontrado"))</f>
        <v/>
      </c>
      <c r="F67" s="65">
        <f>IF(OR(B67="",C67=""),"",IFERROR(VLOOKUP(B67&amp;"|||"&amp;C67,MAESTRA!$A$3:$J$500,7,0),"⚠ No encontrado"))</f>
        <v/>
      </c>
      <c r="G67" s="65" t="inlineStr">
        <is>
          <t>Trámites notariales autenticaciones</t>
        </is>
      </c>
      <c r="H67" s="65">
        <f>IF(OR(B67="",C67=""),"",IFERROR(VLOOKUP(B67&amp;"|||"&amp;C67,MAESTRA!$A$3:$J$500,9,0),""))</f>
        <v/>
      </c>
      <c r="I67" s="55" t="inlineStr">
        <is>
          <t>NO PAGAR LEGALIZA CAJA MENOR BOGOTA COMPRA CERTIFICADO CAMRA COMERCIO CRAFT</t>
        </is>
      </c>
      <c r="J67" s="55" t="inlineStr">
        <is>
          <t>Calle 100</t>
        </is>
      </c>
      <c r="K67" s="55" t="inlineStr">
        <is>
          <t>TV4310011749</t>
        </is>
      </c>
      <c r="L67" s="63" t="n">
        <v>46085</v>
      </c>
      <c r="M67" s="63" t="n"/>
      <c r="N67" s="66" t="n">
        <v>12100</v>
      </c>
      <c r="O67" s="55" t="inlineStr">
        <is>
          <t>470</t>
        </is>
      </c>
      <c r="P67" s="63" t="n">
        <v>46086</v>
      </c>
      <c r="Q67" s="55" t="n"/>
      <c r="R67" s="55" t="n"/>
      <c r="S67" s="63" t="n"/>
      <c r="T67" s="65" t="inlineStr">
        <is>
          <t>marzo 2026</t>
        </is>
      </c>
    </row>
    <row r="68">
      <c r="A68" s="64" t="n">
        <v>65</v>
      </c>
      <c r="B68" s="55" t="inlineStr">
        <is>
          <t>CASALIMPIA SA</t>
        </is>
      </c>
      <c r="C68" s="55" t="n"/>
      <c r="D68" s="65" t="inlineStr">
        <is>
          <t>ADM</t>
        </is>
      </c>
      <c r="E68" s="65">
        <f>IF(OR(B68="",C68=""),"",IFERROR(VLOOKUP(B68&amp;"|||"&amp;C68,MAESTRA!$A$3:$J$500,6,0),"⚠ No encontrado"))</f>
        <v/>
      </c>
      <c r="F68" s="65">
        <f>IF(OR(B68="",C68=""),"",IFERROR(VLOOKUP(B68&amp;"|||"&amp;C68,MAESTRA!$A$3:$J$500,7,0),"⚠ No encontrado"))</f>
        <v/>
      </c>
      <c r="G68" s="65" t="inlineStr">
        <is>
          <t>Otros Gastos CASA LIMPIA PLANILLA AC OTROS</t>
        </is>
      </c>
      <c r="H68" s="65">
        <f>IF(OR(B68="",C68=""),"",IFERROR(VLOOKUP(B68&amp;"|||"&amp;C68,MAESTRA!$A$3:$J$500,9,0),""))</f>
        <v/>
      </c>
      <c r="I68" s="55" t="inlineStr">
        <is>
          <t>NO PAGAR LEGALIZA TC 9994 ASEO OFICINA CRAFT BARRANQUILLA MESES MARZO Y ABRIL</t>
        </is>
      </c>
      <c r="J68" s="55" t="inlineStr">
        <is>
          <t>Barranquilla</t>
        </is>
      </c>
      <c r="K68" s="55" t="inlineStr">
        <is>
          <t>AP227714</t>
        </is>
      </c>
      <c r="L68" s="63" t="n">
        <v>46080</v>
      </c>
      <c r="M68" s="63" t="n"/>
      <c r="N68" s="66" t="n">
        <v>983520</v>
      </c>
      <c r="O68" s="55" t="inlineStr">
        <is>
          <t>8</t>
        </is>
      </c>
      <c r="P68" s="63" t="n">
        <v>46086</v>
      </c>
      <c r="Q68" s="55" t="n"/>
      <c r="R68" s="55" t="n"/>
      <c r="S68" s="63" t="n"/>
      <c r="T68" s="65" t="inlineStr">
        <is>
          <t>febrero 2026</t>
        </is>
      </c>
    </row>
    <row r="69">
      <c r="A69" s="64" t="n">
        <v>66</v>
      </c>
      <c r="B69" s="55" t="inlineStr">
        <is>
          <t>COLOMBIANA DE COMERCIO S.A.</t>
        </is>
      </c>
      <c r="C69" s="55" t="n"/>
      <c r="D69" s="65" t="inlineStr">
        <is>
          <t>ADM</t>
        </is>
      </c>
      <c r="E69" s="65">
        <f>IF(OR(B69="",C69=""),"",IFERROR(VLOOKUP(B69&amp;"|||"&amp;C69,MAESTRA!$A$3:$J$500,6,0),"⚠ No encontrado"))</f>
        <v/>
      </c>
      <c r="F69" s="65">
        <f>IF(OR(B69="",C69=""),"",IFERROR(VLOOKUP(B69&amp;"|||"&amp;C69,MAESTRA!$A$3:$J$500,7,0),"⚠ No encontrado"))</f>
        <v/>
      </c>
      <c r="G69" s="65" t="inlineStr">
        <is>
          <t>Mejoramiento espacios de trabajo</t>
        </is>
      </c>
      <c r="H69" s="65">
        <f>IF(OR(B69="",C69=""),"",IFERROR(VLOOKUP(B69&amp;"|||"&amp;C69,MAESTRA!$A$3:$J$500,9,0),""))</f>
        <v/>
      </c>
      <c r="I69" s="55" t="inlineStr">
        <is>
          <t>NO PAGAR LEGALIZA TC 9994 COMPRA HORNO MICROHONDAS</t>
        </is>
      </c>
      <c r="J69" s="55" t="inlineStr">
        <is>
          <t>Calle 100</t>
        </is>
      </c>
      <c r="K69" s="55" t="inlineStr">
        <is>
          <t>X3812535445</t>
        </is>
      </c>
      <c r="L69" s="63" t="n">
        <v>46079</v>
      </c>
      <c r="M69" s="63" t="n"/>
      <c r="N69" s="66" t="n">
        <v>377800</v>
      </c>
      <c r="O69" s="55" t="inlineStr">
        <is>
          <t>6284</t>
        </is>
      </c>
      <c r="P69" s="63" t="n">
        <v>46086</v>
      </c>
      <c r="Q69" s="55" t="n"/>
      <c r="R69" s="55" t="n"/>
      <c r="S69" s="63" t="n"/>
      <c r="T69" s="65" t="inlineStr">
        <is>
          <t>febrero 2026</t>
        </is>
      </c>
    </row>
    <row r="70">
      <c r="A70" s="64" t="n">
        <v>67</v>
      </c>
      <c r="B70" s="55" t="inlineStr">
        <is>
          <t>CADENA COMERCIAL OXXO COLOMBIA S A S</t>
        </is>
      </c>
      <c r="C70" s="55" t="n"/>
      <c r="D70" s="65" t="inlineStr">
        <is>
          <t>GH</t>
        </is>
      </c>
      <c r="E70" s="65">
        <f>IF(OR(B70="",C70=""),"",IFERROR(VLOOKUP(B70&amp;"|||"&amp;C70,MAESTRA!$A$3:$J$500,6,0),"⚠ No encontrado"))</f>
        <v/>
      </c>
      <c r="F70" s="65">
        <f>IF(OR(B70="",C70=""),"",IFERROR(VLOOKUP(B70&amp;"|||"&amp;C70,MAESTRA!$A$3:$J$500,7,0),"⚠ No encontrado"))</f>
        <v/>
      </c>
      <c r="G70" s="65" t="inlineStr">
        <is>
          <t>Plan estratégico en enero 2025</t>
        </is>
      </c>
      <c r="H70" s="65">
        <f>IF(OR(B70="",C70=""),"",IFERROR(VLOOKUP(B70&amp;"|||"&amp;C70,MAESTRA!$A$3:$J$500,9,0),""))</f>
        <v/>
      </c>
      <c r="I70" s="55" t="inlineStr">
        <is>
          <t>NO PAGAR LEGALIZA CAJA MENOR BOGOTA DESAYUNO REUNION FINANCIERO</t>
        </is>
      </c>
      <c r="J70" s="55" t="inlineStr">
        <is>
          <t>Calle 100</t>
        </is>
      </c>
      <c r="K70" s="55" t="inlineStr">
        <is>
          <t>334C260430</t>
        </is>
      </c>
      <c r="L70" s="63" t="n">
        <v>46078</v>
      </c>
      <c r="M70" s="63" t="n"/>
      <c r="N70" s="66" t="n">
        <v>99050</v>
      </c>
      <c r="O70" s="55" t="inlineStr">
        <is>
          <t>6281</t>
        </is>
      </c>
      <c r="P70" s="63" t="n">
        <v>46086</v>
      </c>
      <c r="Q70" s="55" t="n"/>
      <c r="R70" s="55" t="inlineStr">
        <is>
          <t>APROBACIÓN GERENCIA DE PERSONAS Y ADMÓN</t>
        </is>
      </c>
      <c r="S70" s="63" t="n"/>
      <c r="T70" s="65" t="inlineStr">
        <is>
          <t>febrero 2026</t>
        </is>
      </c>
    </row>
    <row r="71">
      <c r="A71" s="64" t="n">
        <v>68</v>
      </c>
      <c r="B71" s="55" t="inlineStr">
        <is>
          <t>MAQUITE S.A.</t>
        </is>
      </c>
      <c r="C71" s="55" t="n"/>
      <c r="D71" s="65" t="inlineStr">
        <is>
          <t>ADM</t>
        </is>
      </c>
      <c r="E71" s="65">
        <f>IF(OR(B71="",C71=""),"",IFERROR(VLOOKUP(B71&amp;"|||"&amp;C71,MAESTRA!$A$3:$J$500,6,0),"⚠ No encontrado"))</f>
        <v/>
      </c>
      <c r="F71" s="65">
        <f>IF(OR(B71="",C71=""),"",IFERROR(VLOOKUP(B71&amp;"|||"&amp;C71,MAESTRA!$A$3:$J$500,7,0),"⚠ No encontrado"))</f>
        <v/>
      </c>
      <c r="G71" s="65" t="inlineStr">
        <is>
          <t>Gastos De Representacion</t>
        </is>
      </c>
      <c r="H71" s="65">
        <f>IF(OR(B71="",C71=""),"",IFERROR(VLOOKUP(B71&amp;"|||"&amp;C71,MAESTRA!$A$3:$J$500,9,0),""))</f>
        <v/>
      </c>
      <c r="I71" s="55" t="inlineStr">
        <is>
          <t>NO PAGAR LEGALIZA CAJA MENOR CALI ALMUERZO CLIENTE ASEINTEGRAL DIANA GRACIA</t>
        </is>
      </c>
      <c r="J71" s="55" t="inlineStr">
        <is>
          <t>Cali</t>
        </is>
      </c>
      <c r="K71" s="55" t="inlineStr">
        <is>
          <t>R04R583087</t>
        </is>
      </c>
      <c r="L71" s="63" t="n">
        <v>46062</v>
      </c>
      <c r="M71" s="63" t="n"/>
      <c r="N71" s="66" t="n">
        <v>101700</v>
      </c>
      <c r="O71" s="55" t="inlineStr">
        <is>
          <t>6</t>
        </is>
      </c>
      <c r="P71" s="63" t="n">
        <v>46086</v>
      </c>
      <c r="Q71" s="55" t="n"/>
      <c r="R71" s="55" t="n"/>
      <c r="S71" s="63" t="n"/>
      <c r="T71" s="65" t="inlineStr">
        <is>
          <t>febrero 2026</t>
        </is>
      </c>
    </row>
    <row r="72">
      <c r="A72" s="64" t="n">
        <v>69</v>
      </c>
      <c r="B72" s="55" t="inlineStr">
        <is>
          <t>LISDEY MARYORY CARDONA OSPINA</t>
        </is>
      </c>
      <c r="C72" s="55" t="n"/>
      <c r="D72" s="65" t="inlineStr">
        <is>
          <t>ADM</t>
        </is>
      </c>
      <c r="E72" s="65">
        <f>IF(OR(B72="",C72=""),"",IFERROR(VLOOKUP(B72&amp;"|||"&amp;C72,MAESTRA!$A$3:$J$500,6,0),"⚠ No encontrado"))</f>
        <v/>
      </c>
      <c r="F72" s="65">
        <f>IF(OR(B72="",C72=""),"",IFERROR(VLOOKUP(B72&amp;"|||"&amp;C72,MAESTRA!$A$3:$J$500,7,0),"⚠ No encontrado"))</f>
        <v/>
      </c>
      <c r="G72" s="65" t="inlineStr">
        <is>
          <t>Material Copa/Cozinha</t>
        </is>
      </c>
      <c r="H72" s="65">
        <f>IF(OR(B72="",C72=""),"",IFERROR(VLOOKUP(B72&amp;"|||"&amp;C72,MAESTRA!$A$3:$J$500,9,0),""))</f>
        <v/>
      </c>
      <c r="I72" s="55" t="inlineStr">
        <is>
          <t>NO PAGAR LEGALIZA CAJA MENOR CARTAGENA COMPRA BOTELLON DE AGUA</t>
        </is>
      </c>
      <c r="J72" s="55" t="inlineStr">
        <is>
          <t>Cartagena</t>
        </is>
      </c>
      <c r="K72" s="55" t="inlineStr">
        <is>
          <t>FELM33486</t>
        </is>
      </c>
      <c r="L72" s="63" t="n">
        <v>46080</v>
      </c>
      <c r="M72" s="63" t="n"/>
      <c r="N72" s="66" t="n">
        <v>18000</v>
      </c>
      <c r="O72" s="55" t="inlineStr">
        <is>
          <t>30</t>
        </is>
      </c>
      <c r="P72" s="63" t="n">
        <v>46086</v>
      </c>
      <c r="Q72" s="55" t="n"/>
      <c r="R72" s="55" t="n"/>
      <c r="S72" s="63" t="n"/>
      <c r="T72" s="65" t="inlineStr">
        <is>
          <t>febrero 2026</t>
        </is>
      </c>
    </row>
    <row r="73">
      <c r="A73" s="64" t="n">
        <v>70</v>
      </c>
      <c r="B73" s="55" t="inlineStr">
        <is>
          <t>SUPERMARKET LA COLOMBIANA SAS ZOMAC</t>
        </is>
      </c>
      <c r="C73" s="55" t="n"/>
      <c r="D73" s="65" t="inlineStr">
        <is>
          <t>ADM</t>
        </is>
      </c>
      <c r="E73" s="65">
        <f>IF(OR(B73="",C73=""),"",IFERROR(VLOOKUP(B73&amp;"|||"&amp;C73,MAESTRA!$A$3:$J$500,6,0),"⚠ No encontrado"))</f>
        <v/>
      </c>
      <c r="F73" s="65">
        <f>IF(OR(B73="",C73=""),"",IFERROR(VLOOKUP(B73&amp;"|||"&amp;C73,MAESTRA!$A$3:$J$500,7,0),"⚠ No encontrado"))</f>
        <v/>
      </c>
      <c r="G73" s="65" t="inlineStr">
        <is>
          <t>Material Copa/Cozinha</t>
        </is>
      </c>
      <c r="H73" s="65">
        <f>IF(OR(B73="",C73=""),"",IFERROR(VLOOKUP(B73&amp;"|||"&amp;C73,MAESTRA!$A$3:$J$500,9,0),""))</f>
        <v/>
      </c>
      <c r="I73" s="55" t="inlineStr">
        <is>
          <t>NO PAGAR LEGALIZA CAJA MENOR BUENAVENTURA COMPRA BOTELLON DE AGUA</t>
        </is>
      </c>
      <c r="J73" s="55" t="inlineStr">
        <is>
          <t>Buenaventura</t>
        </is>
      </c>
      <c r="K73" s="55" t="inlineStr">
        <is>
          <t>SMEF50152</t>
        </is>
      </c>
      <c r="L73" s="63" t="n">
        <v>46080</v>
      </c>
      <c r="M73" s="63" t="n"/>
      <c r="N73" s="66" t="n">
        <v>30000</v>
      </c>
      <c r="O73" s="55" t="inlineStr">
        <is>
          <t>28</t>
        </is>
      </c>
      <c r="P73" s="63" t="n">
        <v>46086</v>
      </c>
      <c r="Q73" s="55" t="n"/>
      <c r="R73" s="55" t="n"/>
      <c r="S73" s="63" t="n"/>
      <c r="T73" s="65" t="inlineStr">
        <is>
          <t>febrero 2026</t>
        </is>
      </c>
    </row>
    <row r="74">
      <c r="A74" s="64" t="n">
        <v>71</v>
      </c>
      <c r="B74" s="55" t="inlineStr">
        <is>
          <t>CREPES Y WAFFLES S A</t>
        </is>
      </c>
      <c r="C74" s="55" t="n"/>
      <c r="D74" s="65" t="inlineStr">
        <is>
          <t>GH</t>
        </is>
      </c>
      <c r="E74" s="65">
        <f>IF(OR(B74="",C74=""),"",IFERROR(VLOOKUP(B74&amp;"|||"&amp;C74,MAESTRA!$A$3:$J$500,6,0),"⚠ No encontrado"))</f>
        <v/>
      </c>
      <c r="F74" s="65">
        <f>IF(OR(B74="",C74=""),"",IFERROR(VLOOKUP(B74&amp;"|||"&amp;C74,MAESTRA!$A$3:$J$500,7,0),"⚠ No encontrado"))</f>
        <v/>
      </c>
      <c r="G74" s="65" t="inlineStr">
        <is>
          <t>Cumpleaños</t>
        </is>
      </c>
      <c r="H74" s="65">
        <f>IF(OR(B74="",C74=""),"",IFERROR(VLOOKUP(B74&amp;"|||"&amp;C74,MAESTRA!$A$3:$J$500,9,0),""))</f>
        <v/>
      </c>
      <c r="I74" s="55" t="inlineStr">
        <is>
          <t>NO PAGAR LEGALIZA CAJA MENOR BOGOTA COMPRA HELADO TATIANA Y ELEONORA DE CUMPLE</t>
        </is>
      </c>
      <c r="J74" s="55" t="inlineStr">
        <is>
          <t>Transversal</t>
        </is>
      </c>
      <c r="K74" s="55" t="inlineStr">
        <is>
          <t>R06E478485</t>
        </is>
      </c>
      <c r="L74" s="63" t="n">
        <v>46084</v>
      </c>
      <c r="M74" s="63" t="n"/>
      <c r="N74" s="66" t="n">
        <v>29800</v>
      </c>
      <c r="O74" s="55" t="inlineStr">
        <is>
          <t>481</t>
        </is>
      </c>
      <c r="P74" s="63" t="n">
        <v>46086</v>
      </c>
      <c r="Q74" s="55" t="n"/>
      <c r="R74" s="55" t="n"/>
      <c r="S74" s="63" t="n"/>
      <c r="T74" s="65" t="inlineStr">
        <is>
          <t>marzo 2026</t>
        </is>
      </c>
    </row>
    <row r="75">
      <c r="A75" s="64" t="n">
        <v>72</v>
      </c>
      <c r="B75" s="55" t="inlineStr">
        <is>
          <t>CENTURY SPORTS S A S</t>
        </is>
      </c>
      <c r="C75" s="55" t="n"/>
      <c r="D75" s="65" t="inlineStr">
        <is>
          <t>GH</t>
        </is>
      </c>
      <c r="E75" s="65">
        <f>IF(OR(B75="",C75=""),"",IFERROR(VLOOKUP(B75&amp;"|||"&amp;C75,MAESTRA!$A$3:$J$500,6,0),"⚠ No encontrado"))</f>
        <v/>
      </c>
      <c r="F75" s="65">
        <f>IF(OR(B75="",C75=""),"",IFERROR(VLOOKUP(B75&amp;"|||"&amp;C75,MAESTRA!$A$3:$J$500,7,0),"⚠ No encontrado"))</f>
        <v/>
      </c>
      <c r="G75" s="65" t="inlineStr">
        <is>
          <t>Cumpleaños</t>
        </is>
      </c>
      <c r="H75" s="65">
        <f>IF(OR(B75="",C75=""),"",IFERROR(VLOOKUP(B75&amp;"|||"&amp;C75,MAESTRA!$A$3:$J$500,9,0),""))</f>
        <v/>
      </c>
      <c r="I75" s="55" t="inlineStr">
        <is>
          <t>NO PAGAR LEGALIZA MARIANA MUNAR BONO DE CUMPLEAÑOS TATIANA SANCHEZ</t>
        </is>
      </c>
      <c r="J75" s="55" t="inlineStr">
        <is>
          <t>Calle 100</t>
        </is>
      </c>
      <c r="K75" s="55" t="inlineStr">
        <is>
          <t>S6026127</t>
        </is>
      </c>
      <c r="L75" s="63" t="n">
        <v>46079</v>
      </c>
      <c r="M75" s="63" t="n"/>
      <c r="N75" s="66" t="n">
        <v>100000</v>
      </c>
      <c r="O75" s="55" t="inlineStr">
        <is>
          <t>6285</t>
        </is>
      </c>
      <c r="P75" s="63" t="n">
        <v>46086</v>
      </c>
      <c r="Q75" s="55" t="n"/>
      <c r="R75" s="55" t="n"/>
      <c r="S75" s="63" t="n"/>
      <c r="T75" s="65" t="inlineStr">
        <is>
          <t>febrero 2026</t>
        </is>
      </c>
    </row>
    <row r="76">
      <c r="A76" s="64" t="n">
        <v>73</v>
      </c>
      <c r="B76" s="55" t="inlineStr">
        <is>
          <t>TAGLIATA S.A.S</t>
        </is>
      </c>
      <c r="C76" s="55" t="n"/>
      <c r="D76" s="65" t="inlineStr">
        <is>
          <t>ADM</t>
        </is>
      </c>
      <c r="E76" s="65">
        <f>IF(OR(B76="",C76=""),"",IFERROR(VLOOKUP(B76&amp;"|||"&amp;C76,MAESTRA!$A$3:$J$500,6,0),"⚠ No encontrado"))</f>
        <v/>
      </c>
      <c r="F76" s="65">
        <f>IF(OR(B76="",C76=""),"",IFERROR(VLOOKUP(B76&amp;"|||"&amp;C76,MAESTRA!$A$3:$J$500,7,0),"⚠ No encontrado"))</f>
        <v/>
      </c>
      <c r="G76" s="65" t="inlineStr">
        <is>
          <t>Gastos De Representacion</t>
        </is>
      </c>
      <c r="H76" s="65">
        <f>IF(OR(B76="",C76=""),"",IFERROR(VLOOKUP(B76&amp;"|||"&amp;C76,MAESTRA!$A$3:$J$500,9,0),""))</f>
        <v/>
      </c>
      <c r="I76" s="55" t="inlineStr">
        <is>
          <t>NO PGAR LEGALIZA STEFANNY HERNANDEZ ALMUERZO CLIENTE LOGIMPEX</t>
        </is>
      </c>
      <c r="J76" s="55" t="inlineStr">
        <is>
          <t>Medellín</t>
        </is>
      </c>
      <c r="K76" s="55" t="inlineStr">
        <is>
          <t>FE20026</t>
        </is>
      </c>
      <c r="L76" s="63" t="n">
        <v>46071</v>
      </c>
      <c r="M76" s="63" t="n"/>
      <c r="N76" s="66" t="n">
        <v>242993</v>
      </c>
      <c r="O76" s="55" t="inlineStr">
        <is>
          <t>72</t>
        </is>
      </c>
      <c r="P76" s="63" t="n">
        <v>46086</v>
      </c>
      <c r="Q76" s="55" t="n"/>
      <c r="R76" s="55" t="n"/>
      <c r="S76" s="63" t="n"/>
      <c r="T76" s="65" t="inlineStr">
        <is>
          <t>febrero 2026</t>
        </is>
      </c>
    </row>
    <row r="77">
      <c r="A77" s="64" t="n">
        <v>74</v>
      </c>
      <c r="B77" s="55" t="inlineStr">
        <is>
          <t>ERIKA TATIANA VARGAS GALLARDO</t>
        </is>
      </c>
      <c r="C77" s="55" t="n"/>
      <c r="D77" s="65" t="inlineStr">
        <is>
          <t>GH</t>
        </is>
      </c>
      <c r="E77" s="65">
        <f>IF(OR(B77="",C77=""),"",IFERROR(VLOOKUP(B77&amp;"|||"&amp;C77,MAESTRA!$A$3:$J$500,6,0),"⚠ No encontrado"))</f>
        <v/>
      </c>
      <c r="F77" s="65">
        <f>IF(OR(B77="",C77=""),"",IFERROR(VLOOKUP(B77&amp;"|||"&amp;C77,MAESTRA!$A$3:$J$500,7,0),"⚠ No encontrado"))</f>
        <v/>
      </c>
      <c r="G77" s="65" t="inlineStr">
        <is>
          <t>Detalles en momentos especificos (Matrimonio, grados, fallecimientos)</t>
        </is>
      </c>
      <c r="H77" s="65">
        <f>IF(OR(B77="",C77=""),"",IFERROR(VLOOKUP(B77&amp;"|||"&amp;C77,MAESTRA!$A$3:$J$500,9,0),""))</f>
        <v/>
      </c>
      <c r="I77" s="55" t="inlineStr">
        <is>
          <t>NO PAGAR LEGALIZA MARIANA MUNAR VELA DE CONDOLENCIAS ANA FERNANDEZ POR PÉRDIDA DE MASCOTA</t>
        </is>
      </c>
      <c r="J77" s="55" t="inlineStr">
        <is>
          <t>Calle 100</t>
        </is>
      </c>
      <c r="K77" s="55" t="inlineStr">
        <is>
          <t>FEV68</t>
        </is>
      </c>
      <c r="L77" s="63" t="n">
        <v>46062</v>
      </c>
      <c r="M77" s="63" t="n"/>
      <c r="N77" s="66" t="n">
        <v>87500</v>
      </c>
      <c r="O77" s="55" t="inlineStr">
        <is>
          <t>6286</t>
        </is>
      </c>
      <c r="P77" s="63" t="n">
        <v>46086</v>
      </c>
      <c r="Q77" s="55" t="n"/>
      <c r="R77" s="55" t="n"/>
      <c r="S77" s="63" t="n"/>
      <c r="T77" s="65" t="inlineStr">
        <is>
          <t>febrero 2026</t>
        </is>
      </c>
    </row>
    <row r="78">
      <c r="A78" s="64" t="n">
        <v>75</v>
      </c>
      <c r="B78" s="55" t="inlineStr">
        <is>
          <t>CREPES Y WAFFLES S A</t>
        </is>
      </c>
      <c r="C78" s="55" t="n"/>
      <c r="D78" s="65" t="inlineStr">
        <is>
          <t>GH</t>
        </is>
      </c>
      <c r="E78" s="65">
        <f>IF(OR(B78="",C78=""),"",IFERROR(VLOOKUP(B78&amp;"|||"&amp;C78,MAESTRA!$A$3:$J$500,6,0),"⚠ No encontrado"))</f>
        <v/>
      </c>
      <c r="F78" s="65">
        <f>IF(OR(B78="",C78=""),"",IFERROR(VLOOKUP(B78&amp;"|||"&amp;C78,MAESTRA!$A$3:$J$500,7,0),"⚠ No encontrado"))</f>
        <v/>
      </c>
      <c r="G78" s="65" t="inlineStr">
        <is>
          <t>Café / Almuerzo con colaboradores</t>
        </is>
      </c>
      <c r="H78" s="65">
        <f>IF(OR(B78="",C78=""),"",IFERROR(VLOOKUP(B78&amp;"|||"&amp;C78,MAESTRA!$A$3:$J$500,9,0),""))</f>
        <v/>
      </c>
      <c r="I78" s="55" t="inlineStr">
        <is>
          <t>NO PAGAR LEGALIZA TC BB  0206 ALMUERZO DE TRABAJO AACR Y SILVIA TRIANA</t>
        </is>
      </c>
      <c r="J78" s="55" t="inlineStr">
        <is>
          <t>Calle 100</t>
        </is>
      </c>
      <c r="K78" s="55" t="inlineStr">
        <is>
          <t>R06E469303</t>
        </is>
      </c>
      <c r="L78" s="63" t="n">
        <v>46064</v>
      </c>
      <c r="M78" s="63" t="n"/>
      <c r="N78" s="66" t="n">
        <v>137800</v>
      </c>
      <c r="O78" s="55" t="inlineStr">
        <is>
          <t>6805</t>
        </is>
      </c>
      <c r="P78" s="63" t="n">
        <v>46089</v>
      </c>
      <c r="Q78" s="55" t="n"/>
      <c r="R78" s="55" t="n"/>
      <c r="S78" s="63" t="n"/>
      <c r="T78" s="65" t="inlineStr">
        <is>
          <t>febrero 2026</t>
        </is>
      </c>
    </row>
    <row r="79">
      <c r="A79" s="64" t="n">
        <v>76</v>
      </c>
      <c r="B79" s="55" t="inlineStr">
        <is>
          <t>CREPES Y WAFFLES S A</t>
        </is>
      </c>
      <c r="C79" s="55" t="n"/>
      <c r="D79" s="65" t="inlineStr">
        <is>
          <t>GH</t>
        </is>
      </c>
      <c r="E79" s="65">
        <f>IF(OR(B79="",C79=""),"",IFERROR(VLOOKUP(B79&amp;"|||"&amp;C79,MAESTRA!$A$3:$J$500,6,0),"⚠ No encontrado"))</f>
        <v/>
      </c>
      <c r="F79" s="65">
        <f>IF(OR(B79="",C79=""),"",IFERROR(VLOOKUP(B79&amp;"|||"&amp;C79,MAESTRA!$A$3:$J$500,7,0),"⚠ No encontrado"))</f>
        <v/>
      </c>
      <c r="G79" s="65" t="inlineStr">
        <is>
          <t>Café / Almuerzo con colaboradores</t>
        </is>
      </c>
      <c r="H79" s="65">
        <f>IF(OR(B79="",C79=""),"",IFERROR(VLOOKUP(B79&amp;"|||"&amp;C79,MAESTRA!$A$3:$J$500,9,0),""))</f>
        <v/>
      </c>
      <c r="I79" s="55" t="inlineStr">
        <is>
          <t>NO PAGAR LEGALIZA TC NUEVA DE AACR DESAYUNO DE TRABAJO CON ANGEE GOMEZ</t>
        </is>
      </c>
      <c r="J79" s="55" t="inlineStr">
        <is>
          <t>Calle 100</t>
        </is>
      </c>
      <c r="K79" s="55" t="inlineStr">
        <is>
          <t>R06E475448</t>
        </is>
      </c>
      <c r="L79" s="63" t="n">
        <v>46078</v>
      </c>
      <c r="M79" s="63" t="n"/>
      <c r="N79" s="66" t="n">
        <v>210200</v>
      </c>
      <c r="O79" s="55" t="inlineStr">
        <is>
          <t>6807</t>
        </is>
      </c>
      <c r="P79" s="63" t="n">
        <v>46089</v>
      </c>
      <c r="Q79" s="55" t="n"/>
      <c r="R79" s="55" t="n"/>
      <c r="S79" s="63" t="n"/>
      <c r="T79" s="65" t="inlineStr">
        <is>
          <t>febrero 2026</t>
        </is>
      </c>
    </row>
    <row r="80">
      <c r="A80" s="64" t="n">
        <v>77</v>
      </c>
      <c r="B80" s="55" t="inlineStr">
        <is>
          <t>DOMIORIENTE SAS</t>
        </is>
      </c>
      <c r="C80" s="55" t="n"/>
      <c r="D80" s="65" t="inlineStr">
        <is>
          <t>GH</t>
        </is>
      </c>
      <c r="E80" s="65">
        <f>IF(OR(B80="",C80=""),"",IFERROR(VLOOKUP(B80&amp;"|||"&amp;C80,MAESTRA!$A$3:$J$500,6,0),"⚠ No encontrado"))</f>
        <v/>
      </c>
      <c r="F80" s="65">
        <f>IF(OR(B80="",C80=""),"",IFERROR(VLOOKUP(B80&amp;"|||"&amp;C80,MAESTRA!$A$3:$J$500,7,0),"⚠ No encontrado"))</f>
        <v/>
      </c>
      <c r="G80" s="65" t="inlineStr">
        <is>
          <t>Actividades Semana de la Salud</t>
        </is>
      </c>
      <c r="H80" s="65">
        <f>IF(OR(B80="",C80=""),"",IFERROR(VLOOKUP(B80&amp;"|||"&amp;C80,MAESTRA!$A$3:$J$500,9,0),""))</f>
        <v/>
      </c>
      <c r="I80" s="55" t="inlineStr">
        <is>
          <t>NO PAGAR LEGALIZA CAJA MENOR BOGOTA REFRIGERIO EN BARRNQUILLA SEMANA DE LA SALUD</t>
        </is>
      </c>
      <c r="J80" s="55" t="inlineStr">
        <is>
          <t>Barranquilla</t>
        </is>
      </c>
      <c r="K80" s="55" t="inlineStr">
        <is>
          <t>SON102105</t>
        </is>
      </c>
      <c r="L80" s="63" t="n">
        <v>46086</v>
      </c>
      <c r="M80" s="63" t="n"/>
      <c r="N80" s="66" t="n">
        <v>64800</v>
      </c>
      <c r="O80" s="55" t="inlineStr">
        <is>
          <t>5</t>
        </is>
      </c>
      <c r="P80" s="63" t="n">
        <v>46093</v>
      </c>
      <c r="Q80" s="55" t="n"/>
      <c r="R80" s="55" t="n"/>
      <c r="S80" s="63" t="n"/>
      <c r="T80" s="65" t="inlineStr">
        <is>
          <t>marzo 2026</t>
        </is>
      </c>
    </row>
    <row r="81">
      <c r="A81" s="64" t="n">
        <v>78</v>
      </c>
      <c r="B81" s="55" t="inlineStr">
        <is>
          <t>CASALIMPIA SA</t>
        </is>
      </c>
      <c r="C81" s="55" t="n"/>
      <c r="D81" s="65" t="inlineStr">
        <is>
          <t>ADM</t>
        </is>
      </c>
      <c r="E81" s="65">
        <f>IF(OR(B81="",C81=""),"",IFERROR(VLOOKUP(B81&amp;"|||"&amp;C81,MAESTRA!$A$3:$J$500,6,0),"⚠ No encontrado"))</f>
        <v/>
      </c>
      <c r="F81" s="65">
        <f>IF(OR(B81="",C81=""),"",IFERROR(VLOOKUP(B81&amp;"|||"&amp;C81,MAESTRA!$A$3:$J$500,7,0),"⚠ No encontrado"))</f>
        <v/>
      </c>
      <c r="G81" s="65" t="inlineStr">
        <is>
          <t>Otros Gastos CASA LIMPIA PLANILLA AC OTROS</t>
        </is>
      </c>
      <c r="H81" s="65">
        <f>IF(OR(B81="",C81=""),"",IFERROR(VLOOKUP(B81&amp;"|||"&amp;C81,MAESTRA!$A$3:$J$500,9,0),""))</f>
        <v/>
      </c>
      <c r="I81" s="55" t="inlineStr">
        <is>
          <t>NO PAGAR LEGALIZA ELEONORA FLOREZ ASEO OF CRAFT CALI</t>
        </is>
      </c>
      <c r="J81" s="55" t="inlineStr">
        <is>
          <t>Cali</t>
        </is>
      </c>
      <c r="K81" s="55" t="inlineStr">
        <is>
          <t>AP228386</t>
        </is>
      </c>
      <c r="L81" s="63" t="n">
        <v>46090</v>
      </c>
      <c r="M81" s="63" t="n"/>
      <c r="N81" s="66" t="n">
        <v>546400</v>
      </c>
      <c r="O81" s="55" t="inlineStr">
        <is>
          <t>5</t>
        </is>
      </c>
      <c r="P81" s="63" t="n">
        <v>46093</v>
      </c>
      <c r="Q81" s="55" t="n"/>
      <c r="R81" s="55" t="n"/>
      <c r="S81" s="63" t="n"/>
      <c r="T81" s="65" t="inlineStr">
        <is>
          <t>marzo 2026</t>
        </is>
      </c>
    </row>
    <row r="82">
      <c r="A82" s="64" t="n">
        <v>79</v>
      </c>
      <c r="B82" s="55" t="inlineStr">
        <is>
          <t>GASTRONOMÍA ITALIANA EN COLOMBIA S.A.S</t>
        </is>
      </c>
      <c r="C82" s="55" t="n"/>
      <c r="D82" s="65" t="inlineStr">
        <is>
          <t>ADM</t>
        </is>
      </c>
      <c r="E82" s="65">
        <f>IF(OR(B82="",C82=""),"",IFERROR(VLOOKUP(B82&amp;"|||"&amp;C82,MAESTRA!$A$3:$J$500,6,0),"⚠ No encontrado"))</f>
        <v/>
      </c>
      <c r="F82" s="65">
        <f>IF(OR(B82="",C82=""),"",IFERROR(VLOOKUP(B82&amp;"|||"&amp;C82,MAESTRA!$A$3:$J$500,7,0),"⚠ No encontrado"))</f>
        <v/>
      </c>
      <c r="G82" s="65" t="inlineStr">
        <is>
          <t>Café / Almuerzo con colaboradores</t>
        </is>
      </c>
      <c r="H82" s="65">
        <f>IF(OR(B82="",C82=""),"",IFERROR(VLOOKUP(B82&amp;"|||"&amp;C82,MAESTRA!$A$3:$J$500,9,0),""))</f>
        <v/>
      </c>
      <c r="I82" s="55" t="inlineStr">
        <is>
          <t>NO PGAR LEGALIZA TC O2026 COMPRA PIZZAN ATENCION COLBORDORES DONACION CORDOBA</t>
        </is>
      </c>
      <c r="J82" s="55" t="inlineStr">
        <is>
          <t>Calle 100</t>
        </is>
      </c>
      <c r="K82" s="55" t="inlineStr">
        <is>
          <t>HIFE269740</t>
        </is>
      </c>
      <c r="L82" s="63" t="n">
        <v>46091</v>
      </c>
      <c r="M82" s="63" t="n"/>
      <c r="N82" s="66" t="n">
        <v>129700</v>
      </c>
      <c r="O82" s="55" t="inlineStr">
        <is>
          <t>1905</t>
        </is>
      </c>
      <c r="P82" s="63" t="n">
        <v>46093</v>
      </c>
      <c r="Q82" s="55" t="n"/>
      <c r="R82" s="55" t="n"/>
      <c r="S82" s="63" t="n"/>
      <c r="T82" s="65" t="inlineStr">
        <is>
          <t>marzo 2026</t>
        </is>
      </c>
    </row>
    <row r="83">
      <c r="A83" s="64" t="n">
        <v>80</v>
      </c>
      <c r="B83" s="55" t="inlineStr">
        <is>
          <t>CADENA COMERCIAL OXXO COLOMBIA S A S</t>
        </is>
      </c>
      <c r="C83" s="55" t="n"/>
      <c r="D83" s="65" t="inlineStr">
        <is>
          <t>GH</t>
        </is>
      </c>
      <c r="E83" s="65">
        <f>IF(OR(B83="",C83=""),"",IFERROR(VLOOKUP(B83&amp;"|||"&amp;C83,MAESTRA!$A$3:$J$500,6,0),"⚠ No encontrado"))</f>
        <v/>
      </c>
      <c r="F83" s="65">
        <f>IF(OR(B83="",C83=""),"",IFERROR(VLOOKUP(B83&amp;"|||"&amp;C83,MAESTRA!$A$3:$J$500,7,0),"⚠ No encontrado"))</f>
        <v/>
      </c>
      <c r="G83" s="65" t="inlineStr">
        <is>
          <t>Café / Almuerzo con colaboradores</t>
        </is>
      </c>
      <c r="H83" s="65">
        <f>IF(OR(B83="",C83=""),"",IFERROR(VLOOKUP(B83&amp;"|||"&amp;C83,MAESTRA!$A$3:$J$500,9,0),""))</f>
        <v/>
      </c>
      <c r="I83" s="55" t="inlineStr">
        <is>
          <t>NO PAGAR LEGALIZA TC 0206 COMPRA GASEOSA ATENCION COLAB DONACION CORDOBA</t>
        </is>
      </c>
      <c r="J83" s="55" t="inlineStr">
        <is>
          <t>Calle 100</t>
        </is>
      </c>
      <c r="K83" s="55" t="inlineStr">
        <is>
          <t>334C266980</t>
        </is>
      </c>
      <c r="L83" s="63" t="n">
        <v>46091</v>
      </c>
      <c r="M83" s="63" t="n"/>
      <c r="N83" s="66" t="n">
        <v>12300</v>
      </c>
      <c r="O83" s="55" t="inlineStr">
        <is>
          <t>1906</t>
        </is>
      </c>
      <c r="P83" s="63" t="n">
        <v>46093</v>
      </c>
      <c r="Q83" s="55" t="n"/>
      <c r="R83" s="55" t="inlineStr">
        <is>
          <t>APROBACIÓN GERENCIA DE PERSONAS Y ADMÓN</t>
        </is>
      </c>
      <c r="S83" s="63" t="n"/>
      <c r="T83" s="65" t="inlineStr">
        <is>
          <t>marzo 2026</t>
        </is>
      </c>
    </row>
    <row r="84">
      <c r="A84" s="64" t="n">
        <v>81</v>
      </c>
      <c r="B84" s="55" t="inlineStr">
        <is>
          <t>SUPERMARKET LA COLOMBIANA SAS ZOMAC</t>
        </is>
      </c>
      <c r="C84" s="55" t="n"/>
      <c r="D84" s="65" t="inlineStr">
        <is>
          <t>ADM</t>
        </is>
      </c>
      <c r="E84" s="65">
        <f>IF(OR(B84="",C84=""),"",IFERROR(VLOOKUP(B84&amp;"|||"&amp;C84,MAESTRA!$A$3:$J$500,6,0),"⚠ No encontrado"))</f>
        <v/>
      </c>
      <c r="F84" s="65">
        <f>IF(OR(B84="",C84=""),"",IFERROR(VLOOKUP(B84&amp;"|||"&amp;C84,MAESTRA!$A$3:$J$500,7,0),"⚠ No encontrado"))</f>
        <v/>
      </c>
      <c r="G84" s="65" t="inlineStr">
        <is>
          <t>Material Copa/Cozinha</t>
        </is>
      </c>
      <c r="H84" s="65">
        <f>IF(OR(B84="",C84=""),"",IFERROR(VLOOKUP(B84&amp;"|||"&amp;C84,MAESTRA!$A$3:$J$500,9,0),""))</f>
        <v/>
      </c>
      <c r="I84" s="55" t="inlineStr">
        <is>
          <t>NO PAGAR LEGALIZA CAJA MENOR BUENAVENTURA COMPRA BOTELLON AGUA</t>
        </is>
      </c>
      <c r="J84" s="55" t="inlineStr">
        <is>
          <t>Buenaventura</t>
        </is>
      </c>
      <c r="K84" s="55" t="inlineStr">
        <is>
          <t>SMEF51883</t>
        </is>
      </c>
      <c r="L84" s="63" t="n">
        <v>46091</v>
      </c>
      <c r="M84" s="63" t="n"/>
      <c r="N84" s="66" t="n">
        <v>30000</v>
      </c>
      <c r="O84" s="55" t="inlineStr">
        <is>
          <t>9</t>
        </is>
      </c>
      <c r="P84" s="63" t="n">
        <v>46093</v>
      </c>
      <c r="Q84" s="55" t="n"/>
      <c r="R84" s="55" t="n"/>
      <c r="S84" s="63" t="n"/>
      <c r="T84" s="65" t="inlineStr">
        <is>
          <t>marzo 2026</t>
        </is>
      </c>
    </row>
    <row r="85">
      <c r="A85" s="64" t="n">
        <v>82</v>
      </c>
      <c r="B85" s="55" t="inlineStr">
        <is>
          <t>LA BIFERIA SA</t>
        </is>
      </c>
      <c r="C85" s="55" t="n"/>
      <c r="D85" s="65" t="inlineStr">
        <is>
          <t>ADM</t>
        </is>
      </c>
      <c r="E85" s="65">
        <f>IF(OR(B85="",C85=""),"",IFERROR(VLOOKUP(B85&amp;"|||"&amp;C85,MAESTRA!$A$3:$J$500,6,0),"⚠ No encontrado"))</f>
        <v/>
      </c>
      <c r="F85" s="65">
        <f>IF(OR(B85="",C85=""),"",IFERROR(VLOOKUP(B85&amp;"|||"&amp;C85,MAESTRA!$A$3:$J$500,7,0),"⚠ No encontrado"))</f>
        <v/>
      </c>
      <c r="G85" s="65" t="inlineStr">
        <is>
          <t>Gastos De Representacion</t>
        </is>
      </c>
      <c r="H85" s="65">
        <f>IF(OR(B85="",C85=""),"",IFERROR(VLOOKUP(B85&amp;"|||"&amp;C85,MAESTRA!$A$3:$J$500,9,0),""))</f>
        <v/>
      </c>
      <c r="I85" s="55" t="inlineStr">
        <is>
          <t>NO PAGAR LEGALIZA EDUARD HERNANDEZ ALMUERZO CLIENTE SEA AIR GLOBAL SOLUTIONS</t>
        </is>
      </c>
      <c r="J85" s="55" t="inlineStr">
        <is>
          <t>Calle 100</t>
        </is>
      </c>
      <c r="K85" s="55" t="inlineStr">
        <is>
          <t>FEB574158</t>
        </is>
      </c>
      <c r="L85" s="63" t="n">
        <v>46087</v>
      </c>
      <c r="M85" s="63" t="n"/>
      <c r="N85" s="66" t="n">
        <v>203878</v>
      </c>
      <c r="O85" s="55" t="inlineStr">
        <is>
          <t>1908</t>
        </is>
      </c>
      <c r="P85" s="63" t="n">
        <v>46093</v>
      </c>
      <c r="Q85" s="55" t="n"/>
      <c r="R85" s="55" t="n"/>
      <c r="S85" s="63" t="n"/>
      <c r="T85" s="65" t="inlineStr">
        <is>
          <t>marzo 2026</t>
        </is>
      </c>
    </row>
    <row r="86">
      <c r="A86" s="64" t="n">
        <v>83</v>
      </c>
      <c r="B86" s="55" t="inlineStr">
        <is>
          <t>CASALIMPIA SA</t>
        </is>
      </c>
      <c r="C86" s="55" t="n"/>
      <c r="D86" s="65" t="inlineStr">
        <is>
          <t>ADM</t>
        </is>
      </c>
      <c r="E86" s="65">
        <f>IF(OR(B86="",C86=""),"",IFERROR(VLOOKUP(B86&amp;"|||"&amp;C86,MAESTRA!$A$3:$J$500,6,0),"⚠ No encontrado"))</f>
        <v/>
      </c>
      <c r="F86" s="65">
        <f>IF(OR(B86="",C86=""),"",IFERROR(VLOOKUP(B86&amp;"|||"&amp;C86,MAESTRA!$A$3:$J$500,7,0),"⚠ No encontrado"))</f>
        <v/>
      </c>
      <c r="G86" s="65" t="inlineStr">
        <is>
          <t>Otros Gastos CASA LIMPIA PLANILLA AC OTROS</t>
        </is>
      </c>
      <c r="H86" s="65">
        <f>IF(OR(B86="",C86=""),"",IFERROR(VLOOKUP(B86&amp;"|||"&amp;C86,MAESTRA!$A$3:$J$500,9,0),""))</f>
        <v/>
      </c>
      <c r="I86" s="55" t="inlineStr">
        <is>
          <t>NO PAGAR LEGALIZA ELEONORA FLOREZ COMPRA UN SERVICIO DE CASALIMPIA AEROPUERTO</t>
        </is>
      </c>
      <c r="J86" s="55" t="inlineStr">
        <is>
          <t>Aeropuerto</t>
        </is>
      </c>
      <c r="K86" s="55" t="inlineStr">
        <is>
          <t>AP229001</t>
        </is>
      </c>
      <c r="L86" s="63" t="n">
        <v>46093</v>
      </c>
      <c r="M86" s="63" t="n"/>
      <c r="N86" s="66" t="n">
        <v>143700</v>
      </c>
      <c r="O86" s="55" t="inlineStr">
        <is>
          <t>3</t>
        </is>
      </c>
      <c r="P86" s="63" t="n">
        <v>46099</v>
      </c>
      <c r="Q86" s="55" t="n"/>
      <c r="R86" s="55" t="n"/>
      <c r="S86" s="63" t="n"/>
      <c r="T86" s="65" t="inlineStr">
        <is>
          <t>marzo 2026</t>
        </is>
      </c>
    </row>
    <row r="87">
      <c r="A87" s="64" t="n">
        <v>84</v>
      </c>
      <c r="B87" s="55" t="inlineStr">
        <is>
          <t>CADENA COMERCIAL OXXO COLOMBIA S A S</t>
        </is>
      </c>
      <c r="C87" s="55" t="n"/>
      <c r="D87" s="65" t="inlineStr">
        <is>
          <t>ADM</t>
        </is>
      </c>
      <c r="E87" s="65">
        <f>IF(OR(B87="",C87=""),"",IFERROR(VLOOKUP(B87&amp;"|||"&amp;C87,MAESTRA!$A$3:$J$500,6,0),"⚠ No encontrado"))</f>
        <v/>
      </c>
      <c r="F87" s="65">
        <f>IF(OR(B87="",C87=""),"",IFERROR(VLOOKUP(B87&amp;"|||"&amp;C87,MAESTRA!$A$3:$J$500,7,0),"⚠ No encontrado"))</f>
        <v/>
      </c>
      <c r="G87" s="65" t="inlineStr">
        <is>
          <t>Regalos clientes</t>
        </is>
      </c>
      <c r="H87" s="65">
        <f>IF(OR(B87="",C87=""),"",IFERROR(VLOOKUP(B87&amp;"|||"&amp;C87,MAESTRA!$A$3:$J$500,9,0),""))</f>
        <v/>
      </c>
      <c r="I87" s="55" t="inlineStr">
        <is>
          <t>NO PAGAR LEGALIZA CAJA MENOR BOGOTA CHOCOLATINAS ATENCON CLIENTE LOVILIZAR CARGA</t>
        </is>
      </c>
      <c r="J87" s="55" t="inlineStr">
        <is>
          <t>Calle 100</t>
        </is>
      </c>
      <c r="K87" s="55" t="inlineStr">
        <is>
          <t>334C267591</t>
        </is>
      </c>
      <c r="L87" s="63" t="n">
        <v>46092</v>
      </c>
      <c r="M87" s="63" t="n"/>
      <c r="N87" s="66" t="n">
        <v>24100</v>
      </c>
      <c r="O87" s="55" t="inlineStr">
        <is>
          <t>3209</t>
        </is>
      </c>
      <c r="P87" s="63" t="n">
        <v>46099</v>
      </c>
      <c r="Q87" s="55" t="n"/>
      <c r="R87" s="55" t="inlineStr">
        <is>
          <t>APROBACIÓN GERENCIA DE PERSONAS Y ADMÓN</t>
        </is>
      </c>
      <c r="S87" s="63" t="n"/>
      <c r="T87" s="65" t="inlineStr">
        <is>
          <t>marzo 2026</t>
        </is>
      </c>
    </row>
    <row r="88">
      <c r="A88" s="64" t="n">
        <v>85</v>
      </c>
      <c r="B88" s="55" t="inlineStr">
        <is>
          <t>CREPES Y WAFFLES S A</t>
        </is>
      </c>
      <c r="C88" s="55" t="n"/>
      <c r="D88" s="65" t="inlineStr">
        <is>
          <t>GH</t>
        </is>
      </c>
      <c r="E88" s="65">
        <f>IF(OR(B88="",C88=""),"",IFERROR(VLOOKUP(B88&amp;"|||"&amp;C88,MAESTRA!$A$3:$J$500,6,0),"⚠ No encontrado"))</f>
        <v/>
      </c>
      <c r="F88" s="65">
        <f>IF(OR(B88="",C88=""),"",IFERROR(VLOOKUP(B88&amp;"|||"&amp;C88,MAESTRA!$A$3:$J$500,7,0),"⚠ No encontrado"))</f>
        <v/>
      </c>
      <c r="G88" s="65" t="inlineStr">
        <is>
          <t>Dia de la mujer</t>
        </is>
      </c>
      <c r="H88" s="65">
        <f>IF(OR(B88="",C88=""),"",IFERROR(VLOOKUP(B88&amp;"|||"&amp;C88,MAESTRA!$A$3:$J$500,9,0),""))</f>
        <v/>
      </c>
      <c r="I88" s="55" t="inlineStr">
        <is>
          <t xml:space="preserve">NO PAGAR LEGALIZA MARIANA MUNAR APORTE DÍA DE LA MUJER </t>
        </is>
      </c>
      <c r="J88" s="55" t="inlineStr">
        <is>
          <t>Transversal</t>
        </is>
      </c>
      <c r="K88" s="55" t="inlineStr">
        <is>
          <t>R06E479666</t>
        </is>
      </c>
      <c r="L88" s="63" t="n">
        <v>46087</v>
      </c>
      <c r="M88" s="63" t="n"/>
      <c r="N88" s="66" t="n">
        <v>959000</v>
      </c>
      <c r="O88" s="55" t="inlineStr">
        <is>
          <t>3215</t>
        </is>
      </c>
      <c r="P88" s="63" t="n">
        <v>46099</v>
      </c>
      <c r="Q88" s="55" t="n"/>
      <c r="R88" s="55" t="n"/>
      <c r="S88" s="63" t="n"/>
      <c r="T88" s="65" t="inlineStr">
        <is>
          <t>marzo 2026</t>
        </is>
      </c>
    </row>
    <row r="89">
      <c r="A89" s="64" t="n">
        <v>86</v>
      </c>
      <c r="B89" s="55" t="inlineStr">
        <is>
          <t>CADENA COMERCIAL OXXO COLOMBIA S A S</t>
        </is>
      </c>
      <c r="C89" s="55" t="n"/>
      <c r="D89" s="65" t="inlineStr">
        <is>
          <t>GH</t>
        </is>
      </c>
      <c r="E89" s="65">
        <f>IF(OR(B89="",C89=""),"",IFERROR(VLOOKUP(B89&amp;"|||"&amp;C89,MAESTRA!$A$3:$J$500,6,0),"⚠ No encontrado"))</f>
        <v/>
      </c>
      <c r="F89" s="65">
        <f>IF(OR(B89="",C89=""),"",IFERROR(VLOOKUP(B89&amp;"|||"&amp;C89,MAESTRA!$A$3:$J$500,7,0),"⚠ No encontrado"))</f>
        <v/>
      </c>
      <c r="G89" s="65" t="inlineStr">
        <is>
          <t>Actividades Semana de la Salud</t>
        </is>
      </c>
      <c r="H89" s="65">
        <f>IF(OR(B89="",C89=""),"",IFERROR(VLOOKUP(B89&amp;"|||"&amp;C89,MAESTRA!$A$3:$J$500,9,0),""))</f>
        <v/>
      </c>
      <c r="I89" s="55" t="inlineStr">
        <is>
          <t>NO PAGAR LEGALIZA CAJA MENOR BOG COMPRA GAESOSA SEMANA DE LA SALID CRAFT AEROPUERTO</t>
        </is>
      </c>
      <c r="J89" s="55" t="inlineStr">
        <is>
          <t>Aeropuerto</t>
        </is>
      </c>
      <c r="K89" s="55" t="inlineStr">
        <is>
          <t>2SVV173649</t>
        </is>
      </c>
      <c r="L89" s="63" t="n">
        <v>46086</v>
      </c>
      <c r="M89" s="63" t="n"/>
      <c r="N89" s="66" t="n">
        <v>23750</v>
      </c>
      <c r="O89" s="55" t="inlineStr">
        <is>
          <t>4</t>
        </is>
      </c>
      <c r="P89" s="63" t="n">
        <v>46099</v>
      </c>
      <c r="Q89" s="55" t="n"/>
      <c r="R89" s="55" t="inlineStr">
        <is>
          <t>APROBACIÓN GERENCIA DE PERSONAS Y ADMÓN</t>
        </is>
      </c>
      <c r="S89" s="63" t="n"/>
      <c r="T89" s="65" t="inlineStr">
        <is>
          <t>marzo 2026</t>
        </is>
      </c>
    </row>
    <row r="90">
      <c r="A90" s="64" t="n">
        <v>87</v>
      </c>
      <c r="B90" s="55" t="inlineStr">
        <is>
          <t>CRISTALERIA LA REINA S.A.S</t>
        </is>
      </c>
      <c r="C90" s="55" t="n"/>
      <c r="D90" s="65" t="inlineStr">
        <is>
          <t>ADM</t>
        </is>
      </c>
      <c r="E90" s="65">
        <f>IF(OR(B90="",C90=""),"",IFERROR(VLOOKUP(B90&amp;"|||"&amp;C90,MAESTRA!$A$3:$J$500,6,0),"⚠ No encontrado"))</f>
        <v/>
      </c>
      <c r="F90" s="65">
        <f>IF(OR(B90="",C90=""),"",IFERROR(VLOOKUP(B90&amp;"|||"&amp;C90,MAESTRA!$A$3:$J$500,7,0),"⚠ No encontrado"))</f>
        <v/>
      </c>
      <c r="G90" s="65" t="inlineStr">
        <is>
          <t>Conservacion Y Manutenimiento De Oficina</t>
        </is>
      </c>
      <c r="H90" s="65">
        <f>IF(OR(B90="",C90=""),"",IFERROR(VLOOKUP(B90&amp;"|||"&amp;C90,MAESTRA!$A$3:$J$500,9,0),""))</f>
        <v/>
      </c>
      <c r="I90" s="55" t="inlineStr">
        <is>
          <t>NO PAGAR LEGALIZA CAJA MENOR BUN COMPRA SILLAS RIMAX PARA USO COMEDOR</t>
        </is>
      </c>
      <c r="J90" s="55" t="inlineStr">
        <is>
          <t>Buenaventura</t>
        </is>
      </c>
      <c r="K90" s="55" t="inlineStr">
        <is>
          <t>FER113454</t>
        </is>
      </c>
      <c r="L90" s="63" t="n">
        <v>46098</v>
      </c>
      <c r="M90" s="63" t="n"/>
      <c r="N90" s="66" t="n">
        <v>100000</v>
      </c>
      <c r="O90" s="55" t="inlineStr">
        <is>
          <t>13</t>
        </is>
      </c>
      <c r="P90" s="63" t="n">
        <v>46100</v>
      </c>
      <c r="Q90" s="55" t="n"/>
      <c r="R90" s="55" t="n"/>
      <c r="S90" s="63" t="n"/>
      <c r="T90" s="65" t="inlineStr">
        <is>
          <t>marzo 2026</t>
        </is>
      </c>
    </row>
    <row r="91">
      <c r="A91" s="64" t="n">
        <v>88</v>
      </c>
      <c r="B91" s="55" t="inlineStr">
        <is>
          <t>CASALIMPIA SA</t>
        </is>
      </c>
      <c r="C91" s="55" t="n"/>
      <c r="D91" s="65" t="inlineStr">
        <is>
          <t>ADM</t>
        </is>
      </c>
      <c r="E91" s="65">
        <f>IF(OR(B91="",C91=""),"",IFERROR(VLOOKUP(B91&amp;"|||"&amp;C91,MAESTRA!$A$3:$J$500,6,0),"⚠ No encontrado"))</f>
        <v/>
      </c>
      <c r="F91" s="65">
        <f>IF(OR(B91="",C91=""),"",IFERROR(VLOOKUP(B91&amp;"|||"&amp;C91,MAESTRA!$A$3:$J$500,7,0),"⚠ No encontrado"))</f>
        <v/>
      </c>
      <c r="G91" s="65" t="inlineStr">
        <is>
          <t>Otros Gastos CASA LIMPIA PLANILLA AC OTROS</t>
        </is>
      </c>
      <c r="H91" s="65">
        <f>IF(OR(B91="",C91=""),"",IFERROR(VLOOKUP(B91&amp;"|||"&amp;C91,MAESTRA!$A$3:$J$500,9,0),""))</f>
        <v/>
      </c>
      <c r="I91" s="55" t="inlineStr">
        <is>
          <t>NO PAGAR LEFALIZA TC 9994 COMPRA SERVICIO ASEO CRAFT AEROPUERTO HASTA ABRIL</t>
        </is>
      </c>
      <c r="J91" s="55" t="inlineStr">
        <is>
          <t>Aeropuerto</t>
        </is>
      </c>
      <c r="K91" s="55" t="inlineStr">
        <is>
          <t>AP229445</t>
        </is>
      </c>
      <c r="L91" s="63" t="n">
        <v>46098</v>
      </c>
      <c r="M91" s="63" t="n"/>
      <c r="N91" s="66" t="n">
        <v>1422629</v>
      </c>
      <c r="O91" s="55" t="inlineStr">
        <is>
          <t>7</t>
        </is>
      </c>
      <c r="P91" s="63" t="n">
        <v>46100</v>
      </c>
      <c r="Q91" s="55" t="n"/>
      <c r="R91" s="55" t="n"/>
      <c r="S91" s="63" t="n"/>
      <c r="T91" s="65" t="inlineStr">
        <is>
          <t>marzo 2026</t>
        </is>
      </c>
    </row>
    <row r="92">
      <c r="A92" s="64" t="n">
        <v>89</v>
      </c>
      <c r="B92" s="55" t="inlineStr">
        <is>
          <t>OSCAR ANTONIO HERNANDEZ GOMEZ</t>
        </is>
      </c>
      <c r="C92" s="55" t="n"/>
      <c r="D92" s="65" t="inlineStr">
        <is>
          <t>ADM</t>
        </is>
      </c>
      <c r="E92" s="65">
        <f>IF(OR(B92="",C92=""),"",IFERROR(VLOOKUP(B92&amp;"|||"&amp;C92,MAESTRA!$A$3:$J$500,6,0),"⚠ No encontrado"))</f>
        <v/>
      </c>
      <c r="F92" s="65">
        <f>IF(OR(B92="",C92=""),"",IFERROR(VLOOKUP(B92&amp;"|||"&amp;C92,MAESTRA!$A$3:$J$500,7,0),"⚠ No encontrado"))</f>
        <v/>
      </c>
      <c r="G92" s="65" t="inlineStr">
        <is>
          <t>Trámites notariales autenticaciones</t>
        </is>
      </c>
      <c r="H92" s="65">
        <f>IF(OR(B92="",C92=""),"",IFERROR(VLOOKUP(B92&amp;"|||"&amp;C92,MAESTRA!$A$3:$J$500,9,0),""))</f>
        <v/>
      </c>
      <c r="I92" s="55" t="inlineStr">
        <is>
          <t>NO PAGAR LEGALIZA CAJA MENOR BOGOTA AUTENTICA CARTA MSC SAMANTHA</t>
        </is>
      </c>
      <c r="J92" s="55" t="inlineStr">
        <is>
          <t>Calle 100</t>
        </is>
      </c>
      <c r="K92" s="55" t="inlineStr">
        <is>
          <t>FEV145031</t>
        </is>
      </c>
      <c r="L92" s="63" t="n">
        <v>46098</v>
      </c>
      <c r="M92" s="63" t="n"/>
      <c r="N92" s="66" t="n">
        <v>3998</v>
      </c>
      <c r="O92" s="55" t="inlineStr">
        <is>
          <t>3445</t>
        </is>
      </c>
      <c r="P92" s="63" t="n">
        <v>46100</v>
      </c>
      <c r="Q92" s="55" t="n"/>
      <c r="R92" s="55" t="n"/>
      <c r="S92" s="63" t="n"/>
      <c r="T92" s="65" t="inlineStr">
        <is>
          <t>marzo 2026</t>
        </is>
      </c>
    </row>
    <row r="93">
      <c r="A93" s="64" t="n">
        <v>90</v>
      </c>
      <c r="B93" s="55" t="inlineStr">
        <is>
          <t>SUPERMARKET LA COLOMBIANA SAS ZOMAC</t>
        </is>
      </c>
      <c r="C93" s="55" t="n"/>
      <c r="D93" s="65" t="inlineStr">
        <is>
          <t>ADM</t>
        </is>
      </c>
      <c r="E93" s="65">
        <f>IF(OR(B93="",C93=""),"",IFERROR(VLOOKUP(B93&amp;"|||"&amp;C93,MAESTRA!$A$3:$J$500,6,0),"⚠ No encontrado"))</f>
        <v/>
      </c>
      <c r="F93" s="65">
        <f>IF(OR(B93="",C93=""),"",IFERROR(VLOOKUP(B93&amp;"|||"&amp;C93,MAESTRA!$A$3:$J$500,7,0),"⚠ No encontrado"))</f>
        <v/>
      </c>
      <c r="G93" s="65" t="inlineStr">
        <is>
          <t>Material Copa/Cozinha</t>
        </is>
      </c>
      <c r="H93" s="65">
        <f>IF(OR(B93="",C93=""),"",IFERROR(VLOOKUP(B93&amp;"|||"&amp;C93,MAESTRA!$A$3:$J$500,9,0),""))</f>
        <v/>
      </c>
      <c r="I93" s="55" t="inlineStr">
        <is>
          <t>NO PAGAR LEGALZA CAJA MENOR BUENAVENTURA COMPRA BOTELLON AGUA</t>
        </is>
      </c>
      <c r="J93" s="55" t="inlineStr">
        <is>
          <t>Buenaventura</t>
        </is>
      </c>
      <c r="K93" s="55" t="inlineStr">
        <is>
          <t>SMEF53066</t>
        </is>
      </c>
      <c r="L93" s="63" t="n">
        <v>46098</v>
      </c>
      <c r="M93" s="63" t="n"/>
      <c r="N93" s="66" t="n">
        <v>30000</v>
      </c>
      <c r="O93" s="55" t="inlineStr">
        <is>
          <t>14</t>
        </is>
      </c>
      <c r="P93" s="63" t="n">
        <v>46100</v>
      </c>
      <c r="Q93" s="55" t="n"/>
      <c r="R93" s="55" t="n"/>
      <c r="S93" s="63" t="n"/>
      <c r="T93" s="65" t="inlineStr">
        <is>
          <t>marzo 2026</t>
        </is>
      </c>
    </row>
    <row r="94">
      <c r="A94" s="64" t="n">
        <v>91</v>
      </c>
      <c r="B94" s="55" t="inlineStr">
        <is>
          <t>CREPES Y WAFFLES S A</t>
        </is>
      </c>
      <c r="C94" s="55" t="n"/>
      <c r="D94" s="65" t="inlineStr">
        <is>
          <t>GH</t>
        </is>
      </c>
      <c r="E94" s="65">
        <f>IF(OR(B94="",C94=""),"",IFERROR(VLOOKUP(B94&amp;"|||"&amp;C94,MAESTRA!$A$3:$J$500,6,0),"⚠ No encontrado"))</f>
        <v/>
      </c>
      <c r="F94" s="65">
        <f>IF(OR(B94="",C94=""),"",IFERROR(VLOOKUP(B94&amp;"|||"&amp;C94,MAESTRA!$A$3:$J$500,7,0),"⚠ No encontrado"))</f>
        <v/>
      </c>
      <c r="G94" s="65" t="inlineStr">
        <is>
          <t>Dia de la mujer</t>
        </is>
      </c>
      <c r="H94" s="65">
        <f>IF(OR(B94="",C94=""),"",IFERROR(VLOOKUP(B94&amp;"|||"&amp;C94,MAESTRA!$A$3:$J$500,9,0),""))</f>
        <v/>
      </c>
      <c r="I94" s="55" t="inlineStr">
        <is>
          <t>NO PAGAR LEGALIZA MARIANA MUNAR APORTE DÍA DE LA MUJER</t>
        </is>
      </c>
      <c r="J94" s="55" t="inlineStr">
        <is>
          <t>Transversal</t>
        </is>
      </c>
      <c r="K94" s="55" t="inlineStr">
        <is>
          <t>R06E479666</t>
        </is>
      </c>
      <c r="L94" s="63" t="n">
        <v>46087</v>
      </c>
      <c r="M94" s="63" t="n"/>
      <c r="N94" s="66" t="n">
        <v>959000</v>
      </c>
      <c r="O94" s="55" t="inlineStr">
        <is>
          <t>3215</t>
        </is>
      </c>
      <c r="P94" s="63" t="n">
        <v>46100</v>
      </c>
      <c r="Q94" s="55" t="n"/>
      <c r="R94" s="55" t="n"/>
      <c r="S94" s="63" t="n"/>
      <c r="T94" s="65" t="inlineStr">
        <is>
          <t>marzo 2026</t>
        </is>
      </c>
    </row>
    <row r="95">
      <c r="A95" s="64" t="n">
        <v>92</v>
      </c>
      <c r="B95" s="55" t="inlineStr">
        <is>
          <t>CADENA COMERCIAL OXXO COLOMBIA S A S</t>
        </is>
      </c>
      <c r="C95" s="55" t="n"/>
      <c r="D95" s="65" t="inlineStr">
        <is>
          <t>GH</t>
        </is>
      </c>
      <c r="E95" s="65">
        <f>IF(OR(B95="",C95=""),"",IFERROR(VLOOKUP(B95&amp;"|||"&amp;C95,MAESTRA!$A$3:$J$500,6,0),"⚠ No encontrado"))</f>
        <v/>
      </c>
      <c r="F95" s="65">
        <f>IF(OR(B95="",C95=""),"",IFERROR(VLOOKUP(B95&amp;"|||"&amp;C95,MAESTRA!$A$3:$J$500,7,0),"⚠ No encontrado"))</f>
        <v/>
      </c>
      <c r="G95" s="65" t="inlineStr">
        <is>
          <t>Plan estratégico en enero 2025</t>
        </is>
      </c>
      <c r="H95" s="65">
        <f>IF(OR(B95="",C95=""),"",IFERROR(VLOOKUP(B95&amp;"|||"&amp;C95,MAESTRA!$A$3:$J$500,9,0),""))</f>
        <v/>
      </c>
      <c r="I95" s="55" t="inlineStr">
        <is>
          <t>NO PAGAR LEGALIZA CAJA MENOR BOGOTA COMPRA DESAYUNO COMERCIAL</t>
        </is>
      </c>
      <c r="J95" s="55" t="inlineStr">
        <is>
          <t>Calle 100</t>
        </is>
      </c>
      <c r="K95" s="55" t="inlineStr">
        <is>
          <t>334C269936</t>
        </is>
      </c>
      <c r="L95" s="63" t="n">
        <v>46097</v>
      </c>
      <c r="M95" s="63" t="n"/>
      <c r="N95" s="66" t="n">
        <v>32200</v>
      </c>
      <c r="O95" s="55" t="inlineStr">
        <is>
          <t>4905</t>
        </is>
      </c>
      <c r="P95" s="63" t="n">
        <v>46107</v>
      </c>
      <c r="Q95" s="55" t="n"/>
      <c r="R95" s="55" t="inlineStr">
        <is>
          <t>APROBACIÓN GERENCIA DE PERSONAS Y ADMÓN</t>
        </is>
      </c>
      <c r="S95" s="63" t="n"/>
      <c r="T95" s="65" t="inlineStr">
        <is>
          <t>marzo 2026</t>
        </is>
      </c>
    </row>
    <row r="96">
      <c r="A96" s="64" t="n">
        <v>93</v>
      </c>
      <c r="B96" s="55" t="inlineStr">
        <is>
          <t>CAMARA DE COMERCIO DE BOGOTA</t>
        </is>
      </c>
      <c r="C96" s="55" t="n"/>
      <c r="D96" s="65" t="inlineStr">
        <is>
          <t>ADM</t>
        </is>
      </c>
      <c r="E96" s="65">
        <f>IF(OR(B96="",C96=""),"",IFERROR(VLOOKUP(B96&amp;"|||"&amp;C96,MAESTRA!$A$3:$J$500,6,0),"⚠ No encontrado"))</f>
        <v/>
      </c>
      <c r="F96" s="65">
        <f>IF(OR(B96="",C96=""),"",IFERROR(VLOOKUP(B96&amp;"|||"&amp;C96,MAESTRA!$A$3:$J$500,7,0),"⚠ No encontrado"))</f>
        <v/>
      </c>
      <c r="G96" s="65" t="inlineStr">
        <is>
          <t>Trámites notariales autenticaciones</t>
        </is>
      </c>
      <c r="H96" s="65">
        <f>IF(OR(B96="",C96=""),"",IFERROR(VLOOKUP(B96&amp;"|||"&amp;C96,MAESTRA!$A$3:$J$500,9,0),""))</f>
        <v/>
      </c>
      <c r="I96" s="55" t="inlineStr">
        <is>
          <t>NO PAGAR LEGALIZA CAJA MENOR BOGOTA COMPRA CERTIFICADO CAMRA COMERCIO CRAFT</t>
        </is>
      </c>
      <c r="J96" s="55" t="inlineStr">
        <is>
          <t>Calle 100</t>
        </is>
      </c>
      <c r="K96" s="55" t="inlineStr">
        <is>
          <t>TV4310145142</t>
        </is>
      </c>
      <c r="L96" s="63" t="n">
        <v>46101</v>
      </c>
      <c r="M96" s="63" t="n"/>
      <c r="N96" s="66" t="n">
        <v>12100</v>
      </c>
      <c r="O96" s="55" t="inlineStr">
        <is>
          <t>4908</t>
        </is>
      </c>
      <c r="P96" s="63" t="n">
        <v>46107</v>
      </c>
      <c r="Q96" s="55" t="n"/>
      <c r="R96" s="55" t="n"/>
      <c r="S96" s="63" t="n"/>
      <c r="T96" s="65" t="inlineStr">
        <is>
          <t>marzo 2026</t>
        </is>
      </c>
    </row>
    <row r="97">
      <c r="A97" s="64" t="n">
        <v>94</v>
      </c>
      <c r="B97" s="55" t="inlineStr">
        <is>
          <t>BACO FOODS COLOMBIA S.A.S</t>
        </is>
      </c>
      <c r="C97" s="55" t="n"/>
      <c r="D97" s="65" t="inlineStr">
        <is>
          <t>ADM</t>
        </is>
      </c>
      <c r="E97" s="65">
        <f>IF(OR(B97="",C97=""),"",IFERROR(VLOOKUP(B97&amp;"|||"&amp;C97,MAESTRA!$A$3:$J$500,6,0),"⚠ No encontrado"))</f>
        <v/>
      </c>
      <c r="F97" s="65">
        <f>IF(OR(B97="",C97=""),"",IFERROR(VLOOKUP(B97&amp;"|||"&amp;C97,MAESTRA!$A$3:$J$500,7,0),"⚠ No encontrado"))</f>
        <v/>
      </c>
      <c r="G97" s="65" t="inlineStr">
        <is>
          <t>Gastos De Representacion</t>
        </is>
      </c>
      <c r="H97" s="65">
        <f>IF(OR(B97="",C97=""),"",IFERROR(VLOOKUP(B97&amp;"|||"&amp;C97,MAESTRA!$A$3:$J$500,9,0),""))</f>
        <v/>
      </c>
      <c r="I97" s="55" t="inlineStr">
        <is>
          <t>NO PAGAR LEGALIZA NADIA MARTINEZ ALMUERZO CLIENTE</t>
        </is>
      </c>
      <c r="J97" s="55" t="inlineStr">
        <is>
          <t>Barranquilla</t>
        </is>
      </c>
      <c r="K97" s="55" t="inlineStr">
        <is>
          <t>E901169674</t>
        </is>
      </c>
      <c r="L97" s="63" t="n">
        <v>46093</v>
      </c>
      <c r="M97" s="63" t="n"/>
      <c r="N97" s="66" t="n">
        <v>186833</v>
      </c>
      <c r="O97" s="55" t="inlineStr">
        <is>
          <t>4826</t>
        </is>
      </c>
      <c r="P97" s="63" t="n">
        <v>46107</v>
      </c>
      <c r="Q97" s="55" t="n"/>
      <c r="R97" s="55" t="n"/>
      <c r="S97" s="63" t="n"/>
      <c r="T97" s="65" t="inlineStr">
        <is>
          <t>marzo 2026</t>
        </is>
      </c>
    </row>
    <row r="98">
      <c r="A98" s="64" t="n">
        <v>95</v>
      </c>
      <c r="B98" s="55" t="inlineStr">
        <is>
          <t>ADIDAS</t>
        </is>
      </c>
      <c r="C98" s="55" t="n"/>
      <c r="D98" s="65" t="inlineStr">
        <is>
          <t>GH</t>
        </is>
      </c>
      <c r="E98" s="65">
        <f>IF(OR(B98="",C98=""),"",IFERROR(VLOOKUP(B98&amp;"|||"&amp;C98,MAESTRA!$A$3:$J$500,6,0),"⚠ No encontrado"))</f>
        <v/>
      </c>
      <c r="F98" s="65">
        <f>IF(OR(B98="",C98=""),"",IFERROR(VLOOKUP(B98&amp;"|||"&amp;C98,MAESTRA!$A$3:$J$500,7,0),"⚠ No encontrado"))</f>
        <v/>
      </c>
      <c r="G98" s="65" t="inlineStr">
        <is>
          <t>Cumpleaños</t>
        </is>
      </c>
      <c r="H98" s="65">
        <f>IF(OR(B98="",C98=""),"",IFERROR(VLOOKUP(B98&amp;"|||"&amp;C98,MAESTRA!$A$3:$J$500,9,0),""))</f>
        <v/>
      </c>
      <c r="I98" s="55" t="inlineStr">
        <is>
          <t xml:space="preserve">NO PAGAR LEGALIZA MARIANA MUNAR BONO CUMPLEANOS JHON ESPINOSA MARZO 2026 </t>
        </is>
      </c>
      <c r="J98" s="55" t="inlineStr">
        <is>
          <t>Transversal</t>
        </is>
      </c>
      <c r="K98" s="55" t="inlineStr">
        <is>
          <t>022A50871</t>
        </is>
      </c>
      <c r="L98" s="63" t="n">
        <v>46103</v>
      </c>
      <c r="M98" s="63" t="n"/>
      <c r="N98" s="66" t="n">
        <v>100000</v>
      </c>
      <c r="O98" s="55" t="inlineStr">
        <is>
          <t>4911</t>
        </is>
      </c>
      <c r="P98" s="63" t="n">
        <v>46107</v>
      </c>
      <c r="Q98" s="55" t="n"/>
      <c r="R98" s="55" t="n"/>
      <c r="S98" s="63" t="n"/>
      <c r="T98" s="65" t="inlineStr">
        <is>
          <t>marzo 2026</t>
        </is>
      </c>
    </row>
    <row r="99">
      <c r="A99" s="64" t="n">
        <v>96</v>
      </c>
      <c r="B99" s="55" t="inlineStr">
        <is>
          <t>PRODUCTOS PARA EL ALMA SAS</t>
        </is>
      </c>
      <c r="C99" s="55" t="n"/>
      <c r="D99" s="65" t="inlineStr">
        <is>
          <t>ADM</t>
        </is>
      </c>
      <c r="E99" s="65">
        <f>IF(OR(B99="",C99=""),"",IFERROR(VLOOKUP(B99&amp;"|||"&amp;C99,MAESTRA!$A$3:$J$500,6,0),"⚠ No encontrado"))</f>
        <v/>
      </c>
      <c r="F99" s="65">
        <f>IF(OR(B99="",C99=""),"",IFERROR(VLOOKUP(B99&amp;"|||"&amp;C99,MAESTRA!$A$3:$J$500,7,0),"⚠ No encontrado"))</f>
        <v/>
      </c>
      <c r="G99" s="65" t="inlineStr">
        <is>
          <t>Plan estratégico en enero 2025</t>
        </is>
      </c>
      <c r="H99" s="65">
        <f>IF(OR(B99="",C99=""),"",IFERROR(VLOOKUP(B99&amp;"|||"&amp;C99,MAESTRA!$A$3:$J$500,9,0),""))</f>
        <v/>
      </c>
      <c r="I99" s="55" t="inlineStr">
        <is>
          <t xml:space="preserve">NO PAGAR LEGALIZA TARJETA PEOPLE PASS GINNA CASTRO COMPRA DESAYUNO REUNION COMERCIAL CEM </t>
        </is>
      </c>
      <c r="J99" s="55" t="inlineStr">
        <is>
          <t>Calle 100</t>
        </is>
      </c>
      <c r="K99" s="55" t="inlineStr">
        <is>
          <t>FEJC26629</t>
        </is>
      </c>
      <c r="L99" s="63" t="n">
        <v>46105</v>
      </c>
      <c r="M99" s="63" t="n"/>
      <c r="N99" s="66" t="n">
        <v>67000</v>
      </c>
      <c r="O99" s="55" t="inlineStr">
        <is>
          <t>7059</t>
        </is>
      </c>
      <c r="P99" s="63" t="n">
        <v>46120</v>
      </c>
      <c r="Q99" s="55" t="n"/>
      <c r="R99" s="55" t="n"/>
      <c r="S99" s="63" t="n"/>
      <c r="T99" s="65" t="inlineStr">
        <is>
          <t>marzo 2026</t>
        </is>
      </c>
    </row>
    <row r="100">
      <c r="A100" s="64" t="n">
        <v>97</v>
      </c>
      <c r="B100" s="55" t="inlineStr">
        <is>
          <t>ALMACENES ÉXITO S.A</t>
        </is>
      </c>
      <c r="C100" s="55" t="n"/>
      <c r="D100" s="65" t="inlineStr">
        <is>
          <t>ADM</t>
        </is>
      </c>
      <c r="E100" s="65">
        <f>IF(OR(B100="",C100=""),"",IFERROR(VLOOKUP(B100&amp;"|||"&amp;C100,MAESTRA!$A$3:$J$500,6,0),"⚠ No encontrado"))</f>
        <v/>
      </c>
      <c r="F100" s="65">
        <f>IF(OR(B100="",C100=""),"",IFERROR(VLOOKUP(B100&amp;"|||"&amp;C100,MAESTRA!$A$3:$J$500,7,0),"⚠ No encontrado"))</f>
        <v/>
      </c>
      <c r="G100" s="65" t="inlineStr">
        <is>
          <t>Material Copa/Cozinha</t>
        </is>
      </c>
      <c r="H100" s="65">
        <f>IF(OR(B100="",C100=""),"",IFERROR(VLOOKUP(B100&amp;"|||"&amp;C100,MAESTRA!$A$3:$J$500,9,0),""))</f>
        <v/>
      </c>
      <c r="I100" s="55" t="inlineStr">
        <is>
          <t xml:space="preserve">NO PAGAR LEGALIZA TARJETA PEOPLE PASS GINNA CASTRO COMPRA DE 2 CAJAS DE AROMATICAS PARA ADRIANA CARDENAS  </t>
        </is>
      </c>
      <c r="J100" s="55" t="inlineStr">
        <is>
          <t>Calle 100</t>
        </is>
      </c>
      <c r="K100" s="55" t="inlineStr">
        <is>
          <t>UP0514054</t>
        </is>
      </c>
      <c r="L100" s="63" t="n">
        <v>46104</v>
      </c>
      <c r="M100" s="63" t="n"/>
      <c r="N100" s="66" t="n">
        <v>29700</v>
      </c>
      <c r="O100" s="55" t="inlineStr">
        <is>
          <t>7062</t>
        </is>
      </c>
      <c r="P100" s="63" t="n">
        <v>46120</v>
      </c>
      <c r="Q100" s="55" t="n"/>
      <c r="R100" s="55" t="n"/>
      <c r="S100" s="63" t="n"/>
      <c r="T100" s="65" t="inlineStr">
        <is>
          <t>marzo 2026</t>
        </is>
      </c>
    </row>
    <row r="101">
      <c r="A101" s="64" t="n">
        <v>98</v>
      </c>
      <c r="B101" s="55" t="inlineStr">
        <is>
          <t>HARRYSA S.A.S</t>
        </is>
      </c>
      <c r="C101" s="55" t="n"/>
      <c r="D101" s="65" t="inlineStr">
        <is>
          <t>ADM</t>
        </is>
      </c>
      <c r="E101" s="65">
        <f>IF(OR(B101="",C101=""),"",IFERROR(VLOOKUP(B101&amp;"|||"&amp;C101,MAESTRA!$A$3:$J$500,6,0),"⚠ No encontrado"))</f>
        <v/>
      </c>
      <c r="F101" s="65">
        <f>IF(OR(B101="",C101=""),"",IFERROR(VLOOKUP(B101&amp;"|||"&amp;C101,MAESTRA!$A$3:$J$500,7,0),"⚠ No encontrado"))</f>
        <v/>
      </c>
      <c r="G101" s="65" t="inlineStr">
        <is>
          <t>Gastos De Representacion</t>
        </is>
      </c>
      <c r="H101" s="65">
        <f>IF(OR(B101="",C101=""),"",IFERROR(VLOOKUP(B101&amp;"|||"&amp;C101,MAESTRA!$A$3:$J$500,9,0),""))</f>
        <v/>
      </c>
      <c r="I101" s="55" t="inlineStr">
        <is>
          <t xml:space="preserve">NO PAGAR LEGALIZA TC ACR CENA CLIENTE JAS CON WILLIAM MARTINEZ </t>
        </is>
      </c>
      <c r="J101" s="55" t="inlineStr">
        <is>
          <t>Calle 100</t>
        </is>
      </c>
      <c r="K101" s="55" t="inlineStr">
        <is>
          <t>FEV160497</t>
        </is>
      </c>
      <c r="L101" s="63" t="n">
        <v>46092</v>
      </c>
      <c r="M101" s="63" t="n"/>
      <c r="N101" s="66" t="n">
        <v>1516518.63</v>
      </c>
      <c r="O101" s="55" t="inlineStr">
        <is>
          <t>7057</t>
        </is>
      </c>
      <c r="P101" s="63" t="n">
        <v>46120</v>
      </c>
      <c r="Q101" s="55" t="n"/>
      <c r="R101" s="55" t="n"/>
      <c r="S101" s="63" t="n"/>
      <c r="T101" s="65" t="inlineStr">
        <is>
          <t>marzo 2026</t>
        </is>
      </c>
    </row>
    <row r="102">
      <c r="A102" s="64" t="n">
        <v>99</v>
      </c>
      <c r="B102" s="55" t="inlineStr">
        <is>
          <t>INVERSIONES SOMONTANO SAS</t>
        </is>
      </c>
      <c r="C102" s="55" t="n"/>
      <c r="D102" s="65" t="inlineStr">
        <is>
          <t>ADM</t>
        </is>
      </c>
      <c r="E102" s="65">
        <f>IF(OR(B102="",C102=""),"",IFERROR(VLOOKUP(B102&amp;"|||"&amp;C102,MAESTRA!$A$3:$J$500,6,0),"⚠ No encontrado"))</f>
        <v/>
      </c>
      <c r="F102" s="65">
        <f>IF(OR(B102="",C102=""),"",IFERROR(VLOOKUP(B102&amp;"|||"&amp;C102,MAESTRA!$A$3:$J$500,7,0),"⚠ No encontrado"))</f>
        <v/>
      </c>
      <c r="G102" s="65" t="inlineStr">
        <is>
          <t>Gastos De Representacion</t>
        </is>
      </c>
      <c r="H102" s="65">
        <f>IF(OR(B102="",C102=""),"",IFERROR(VLOOKUP(B102&amp;"|||"&amp;C102,MAESTRA!$A$3:$J$500,9,0),""))</f>
        <v/>
      </c>
      <c r="I102" s="55" t="inlineStr">
        <is>
          <t xml:space="preserve">NO PAGAR LEGALIZA TC AACR ALMUERZO PROVEEDOR HAPAG LLOYD CON WILLIAM </t>
        </is>
      </c>
      <c r="J102" s="55" t="inlineStr">
        <is>
          <t>Calle 100</t>
        </is>
      </c>
      <c r="K102" s="55" t="inlineStr">
        <is>
          <t>RPS81915</t>
        </is>
      </c>
      <c r="L102" s="63" t="n">
        <v>46092</v>
      </c>
      <c r="M102" s="63" t="n"/>
      <c r="N102" s="66" t="n">
        <v>565963</v>
      </c>
      <c r="O102" s="55" t="inlineStr">
        <is>
          <t>7058</t>
        </is>
      </c>
      <c r="P102" s="63" t="n">
        <v>46120</v>
      </c>
      <c r="Q102" s="55" t="n"/>
      <c r="R102" s="55" t="n"/>
      <c r="S102" s="63" t="n"/>
      <c r="T102" s="65" t="inlineStr">
        <is>
          <t>marzo 2026</t>
        </is>
      </c>
    </row>
    <row r="103">
      <c r="A103" s="64" t="n">
        <v>100</v>
      </c>
      <c r="B103" s="55" t="inlineStr">
        <is>
          <t>LISDEY MARYORY CARDONA OSPINA</t>
        </is>
      </c>
      <c r="C103" s="55" t="n"/>
      <c r="D103" s="65" t="inlineStr">
        <is>
          <t>ADM</t>
        </is>
      </c>
      <c r="E103" s="65">
        <f>IF(OR(B103="",C103=""),"",IFERROR(VLOOKUP(B103&amp;"|||"&amp;C103,MAESTRA!$A$3:$J$500,6,0),"⚠ No encontrado"))</f>
        <v/>
      </c>
      <c r="F103" s="65">
        <f>IF(OR(B103="",C103=""),"",IFERROR(VLOOKUP(B103&amp;"|||"&amp;C103,MAESTRA!$A$3:$J$500,7,0),"⚠ No encontrado"))</f>
        <v/>
      </c>
      <c r="G103" s="65" t="inlineStr">
        <is>
          <t>Material Copa/Cozinha</t>
        </is>
      </c>
      <c r="H103" s="65">
        <f>IF(OR(B103="",C103=""),"",IFERROR(VLOOKUP(B103&amp;"|||"&amp;C103,MAESTRA!$A$3:$J$500,9,0),""))</f>
        <v/>
      </c>
      <c r="I103" s="55" t="inlineStr">
        <is>
          <t>NO PAGAR LEGALIZA CAJA MENOR DE CARTAGENA COMPRA BOTELLON DE AGUA</t>
        </is>
      </c>
      <c r="J103" s="55" t="inlineStr">
        <is>
          <t>Cartagena</t>
        </is>
      </c>
      <c r="K103" s="55" t="inlineStr">
        <is>
          <t>FELM34805</t>
        </is>
      </c>
      <c r="L103" s="63" t="n">
        <v>46108</v>
      </c>
      <c r="M103" s="63" t="n"/>
      <c r="N103" s="66" t="n">
        <v>18000</v>
      </c>
      <c r="O103" s="55" t="inlineStr">
        <is>
          <t>26</t>
        </is>
      </c>
      <c r="P103" s="63" t="n">
        <v>46120</v>
      </c>
      <c r="Q103" s="55" t="n"/>
      <c r="R103" s="55" t="n"/>
      <c r="S103" s="63" t="n"/>
      <c r="T103" s="65" t="inlineStr">
        <is>
          <t>marzo 2026</t>
        </is>
      </c>
    </row>
    <row r="104">
      <c r="A104" s="64" t="n">
        <v>101</v>
      </c>
      <c r="B104" s="55" t="inlineStr">
        <is>
          <t>SUPERMARKET LA COLOMBIANA SAS ZOMAC</t>
        </is>
      </c>
      <c r="C104" s="55" t="n"/>
      <c r="D104" s="65" t="inlineStr">
        <is>
          <t>ADM</t>
        </is>
      </c>
      <c r="E104" s="65">
        <f>IF(OR(B104="",C104=""),"",IFERROR(VLOOKUP(B104&amp;"|||"&amp;C104,MAESTRA!$A$3:$J$500,6,0),"⚠ No encontrado"))</f>
        <v/>
      </c>
      <c r="F104" s="65">
        <f>IF(OR(B104="",C104=""),"",IFERROR(VLOOKUP(B104&amp;"|||"&amp;C104,MAESTRA!$A$3:$J$500,7,0),"⚠ No encontrado"))</f>
        <v/>
      </c>
      <c r="G104" s="65" t="inlineStr">
        <is>
          <t>Material Copa/Cozinha</t>
        </is>
      </c>
      <c r="H104" s="65">
        <f>IF(OR(B104="",C104=""),"",IFERROR(VLOOKUP(B104&amp;"|||"&amp;C104,MAESTRA!$A$3:$J$500,9,0),""))</f>
        <v/>
      </c>
      <c r="I104" s="55" t="inlineStr">
        <is>
          <t>NO PAGAR LEGALIZA CAJA MENOR BUENAVENTURA COMPRA BOTELLON DE AGUA</t>
        </is>
      </c>
      <c r="J104" s="55" t="inlineStr">
        <is>
          <t>Buenaventura</t>
        </is>
      </c>
      <c r="K104" s="55" t="inlineStr">
        <is>
          <t>SMEF54898</t>
        </is>
      </c>
      <c r="L104" s="63" t="n">
        <v>46107</v>
      </c>
      <c r="M104" s="63" t="n"/>
      <c r="N104" s="66" t="n">
        <v>30000</v>
      </c>
      <c r="O104" s="55" t="inlineStr">
        <is>
          <t>23</t>
        </is>
      </c>
      <c r="P104" s="63" t="n">
        <v>46120</v>
      </c>
      <c r="Q104" s="55" t="n"/>
      <c r="R104" s="55" t="n"/>
      <c r="S104" s="63" t="n"/>
      <c r="T104" s="65" t="inlineStr">
        <is>
          <t>marzo 2026</t>
        </is>
      </c>
    </row>
    <row r="105">
      <c r="A105" s="64" t="n">
        <v>102</v>
      </c>
      <c r="B105" s="55" t="inlineStr">
        <is>
          <t>CADENA COMERCIAL OXXO COLOMBIA S A S</t>
        </is>
      </c>
      <c r="C105" s="55" t="n"/>
      <c r="D105" s="65" t="inlineStr">
        <is>
          <t>ADM</t>
        </is>
      </c>
      <c r="E105" s="65">
        <f>IF(OR(B105="",C105=""),"",IFERROR(VLOOKUP(B105&amp;"|||"&amp;C105,MAESTRA!$A$3:$J$500,6,0),"⚠ No encontrado"))</f>
        <v/>
      </c>
      <c r="F105" s="65">
        <f>IF(OR(B105="",C105=""),"",IFERROR(VLOOKUP(B105&amp;"|||"&amp;C105,MAESTRA!$A$3:$J$500,7,0),"⚠ No encontrado"))</f>
        <v/>
      </c>
      <c r="G105" s="65" t="inlineStr">
        <is>
          <t>Reuniones gerenciales CEM (Comida)</t>
        </is>
      </c>
      <c r="H105" s="65">
        <f>IF(OR(B105="",C105=""),"",IFERROR(VLOOKUP(B105&amp;"|||"&amp;C105,MAESTRA!$A$3:$J$500,9,0),""))</f>
        <v/>
      </c>
      <c r="I105" s="55" t="inlineStr">
        <is>
          <t>NO PAGAR LEGALIZA TARJETA PEOPLE PASS GINNA CASTRO   COMPRA AGUA REUNION CEM</t>
        </is>
      </c>
      <c r="J105" s="55" t="inlineStr">
        <is>
          <t>Calle 100</t>
        </is>
      </c>
      <c r="K105" s="55" t="inlineStr">
        <is>
          <t>234C232183</t>
        </is>
      </c>
      <c r="L105" s="63" t="n">
        <v>46105</v>
      </c>
      <c r="M105" s="63" t="n"/>
      <c r="N105" s="66" t="n">
        <v>29250</v>
      </c>
      <c r="O105" s="55" t="inlineStr">
        <is>
          <t>7065</t>
        </is>
      </c>
      <c r="P105" s="63" t="n">
        <v>46120</v>
      </c>
      <c r="Q105" s="55" t="n"/>
      <c r="R105" s="55" t="inlineStr">
        <is>
          <t>APROBACIÓN GERENCIA DE PERSONAS Y ADMÓN</t>
        </is>
      </c>
      <c r="S105" s="63" t="n"/>
      <c r="T105" s="65" t="inlineStr">
        <is>
          <t>marzo 2026</t>
        </is>
      </c>
    </row>
    <row r="106">
      <c r="A106" s="64" t="n">
        <v>103</v>
      </c>
      <c r="B106" s="55" t="inlineStr">
        <is>
          <t>AMORE GROUP SAS</t>
        </is>
      </c>
      <c r="C106" s="55" t="n"/>
      <c r="D106" s="65" t="inlineStr">
        <is>
          <t>ADM</t>
        </is>
      </c>
      <c r="E106" s="65">
        <f>IF(OR(B106="",C106=""),"",IFERROR(VLOOKUP(B106&amp;"|||"&amp;C106,MAESTRA!$A$3:$J$500,6,0),"⚠ No encontrado"))</f>
        <v/>
      </c>
      <c r="F106" s="65">
        <f>IF(OR(B106="",C106=""),"",IFERROR(VLOOKUP(B106&amp;"|||"&amp;C106,MAESTRA!$A$3:$J$500,7,0),"⚠ No encontrado"))</f>
        <v/>
      </c>
      <c r="G106" s="65" t="inlineStr">
        <is>
          <t>Gastos De Representacion</t>
        </is>
      </c>
      <c r="H106" s="65">
        <f>IF(OR(B106="",C106=""),"",IFERROR(VLOOKUP(B106&amp;"|||"&amp;C106,MAESTRA!$A$3:$J$500,9,0),""))</f>
        <v/>
      </c>
      <c r="I106" s="55" t="inlineStr">
        <is>
          <t xml:space="preserve">NO PAGAR LEGALIZA DIANA GRACIA  ALMUERZO  CON CLIENTE  </t>
        </is>
      </c>
      <c r="J106" s="55" t="inlineStr">
        <is>
          <t>Cali</t>
        </is>
      </c>
      <c r="K106" s="55" t="inlineStr">
        <is>
          <t>04FA132091</t>
        </is>
      </c>
      <c r="L106" s="63" t="n">
        <v>46099</v>
      </c>
      <c r="M106" s="63" t="n"/>
      <c r="N106" s="66" t="n">
        <v>197100</v>
      </c>
      <c r="O106" s="55" t="inlineStr">
        <is>
          <t>8</t>
        </is>
      </c>
      <c r="P106" s="63" t="n">
        <v>46120</v>
      </c>
      <c r="Q106" s="55" t="n"/>
      <c r="R106" s="55" t="n"/>
      <c r="S106" s="63" t="n"/>
      <c r="T106" s="65" t="inlineStr">
        <is>
          <t>marzo 2026</t>
        </is>
      </c>
    </row>
    <row r="107">
      <c r="A107" s="64" t="n">
        <v>104</v>
      </c>
      <c r="B107" s="55" t="inlineStr">
        <is>
          <t>COMERCIAL PAPELERA S.A.</t>
        </is>
      </c>
      <c r="C107" s="55" t="n"/>
      <c r="D107" s="65" t="inlineStr">
        <is>
          <t>GH</t>
        </is>
      </c>
      <c r="E107" s="65">
        <f>IF(OR(B107="",C107=""),"",IFERROR(VLOOKUP(B107&amp;"|||"&amp;C107,MAESTRA!$A$3:$J$500,6,0),"⚠ No encontrado"))</f>
        <v/>
      </c>
      <c r="F107" s="65">
        <f>IF(OR(B107="",C107=""),"",IFERROR(VLOOKUP(B107&amp;"|||"&amp;C107,MAESTRA!$A$3:$J$500,7,0),"⚠ No encontrado"))</f>
        <v/>
      </c>
      <c r="G107" s="65" t="inlineStr">
        <is>
          <t>Cumpleaños</t>
        </is>
      </c>
      <c r="H107" s="65">
        <f>IF(OR(B107="",C107=""),"",IFERROR(VLOOKUP(B107&amp;"|||"&amp;C107,MAESTRA!$A$3:$J$500,9,0),""))</f>
        <v/>
      </c>
      <c r="I107" s="55" t="inlineStr">
        <is>
          <t xml:space="preserve">NO PAGAR LEGALIZA TARJETA PEOPLE PASS GINNA CASTRO   COMPRA  DECORACION PARA CUMPLEAÑOS   </t>
        </is>
      </c>
      <c r="J107" s="55" t="inlineStr">
        <is>
          <t>Calle 100</t>
        </is>
      </c>
      <c r="K107" s="55" t="inlineStr">
        <is>
          <t>FE04477644</t>
        </is>
      </c>
      <c r="L107" s="63" t="n">
        <v>46110</v>
      </c>
      <c r="M107" s="63" t="n"/>
      <c r="N107" s="66" t="n">
        <v>140200</v>
      </c>
      <c r="O107" s="55" t="inlineStr">
        <is>
          <t>7086</t>
        </is>
      </c>
      <c r="P107" s="63" t="n">
        <v>46120</v>
      </c>
      <c r="Q107" s="55" t="n"/>
      <c r="R107" s="55" t="n"/>
      <c r="S107" s="63" t="n"/>
      <c r="T107" s="65" t="inlineStr">
        <is>
          <t>marzo 2026</t>
        </is>
      </c>
    </row>
    <row r="108">
      <c r="A108" s="64" t="n">
        <v>105</v>
      </c>
      <c r="B108" s="55" t="inlineStr">
        <is>
          <t>GASEOSAS LUX S.A.S.</t>
        </is>
      </c>
      <c r="C108" s="55" t="n"/>
      <c r="D108" s="65" t="inlineStr">
        <is>
          <t>ADM</t>
        </is>
      </c>
      <c r="E108" s="65">
        <f>IF(OR(B108="",C108=""),"",IFERROR(VLOOKUP(B108&amp;"|||"&amp;C108,MAESTRA!$A$3:$J$500,6,0),"⚠ No encontrado"))</f>
        <v/>
      </c>
      <c r="F108" s="65">
        <f>IF(OR(B108="",C108=""),"",IFERROR(VLOOKUP(B108&amp;"|||"&amp;C108,MAESTRA!$A$3:$J$500,7,0),"⚠ No encontrado"))</f>
        <v/>
      </c>
      <c r="G108" s="65" t="inlineStr">
        <is>
          <t>Material Copa/Cozinha</t>
        </is>
      </c>
      <c r="H108" s="65">
        <f>IF(OR(B108="",C108=""),"",IFERROR(VLOOKUP(B108&amp;"|||"&amp;C108,MAESTRA!$A$3:$J$500,9,0),""))</f>
        <v/>
      </c>
      <c r="I108" s="55" t="inlineStr">
        <is>
          <t>NO PAGAR LEGALIZA CAJA MENOR AEROPUERTO COMPRA 3 BOTELLONES DE AGUA</t>
        </is>
      </c>
      <c r="J108" s="55" t="inlineStr">
        <is>
          <t>Aeropuerto</t>
        </is>
      </c>
      <c r="K108" s="55" t="n"/>
      <c r="L108" s="63" t="n">
        <v>46092</v>
      </c>
      <c r="M108" s="63" t="n"/>
      <c r="N108" s="66" t="n">
        <v>40050</v>
      </c>
      <c r="O108" s="55" t="n"/>
      <c r="P108" s="63" t="n"/>
      <c r="Q108" s="55" t="n"/>
      <c r="R108" s="55" t="inlineStr">
        <is>
          <t>APROBACIÓN GERENCIA DE PERSONAS Y ADMÓN</t>
        </is>
      </c>
      <c r="S108" s="63" t="n"/>
      <c r="T108" s="65" t="inlineStr">
        <is>
          <t>marzo 2026</t>
        </is>
      </c>
    </row>
    <row r="109">
      <c r="A109" s="64" t="n">
        <v>106</v>
      </c>
      <c r="B109" s="55" t="inlineStr">
        <is>
          <t>INMACULADA GUADALUPE Y AMIGOS S A S</t>
        </is>
      </c>
      <c r="C109" s="55" t="n"/>
      <c r="D109" s="65" t="inlineStr">
        <is>
          <t>GH</t>
        </is>
      </c>
      <c r="E109" s="65">
        <f>IF(OR(B109="",C109=""),"",IFERROR(VLOOKUP(B109&amp;"|||"&amp;C109,MAESTRA!$A$3:$J$500,6,0),"⚠ No encontrado"))</f>
        <v/>
      </c>
      <c r="F109" s="65">
        <f>IF(OR(B109="",C109=""),"",IFERROR(VLOOKUP(B109&amp;"|||"&amp;C109,MAESTRA!$A$3:$J$500,7,0),"⚠ No encontrado"))</f>
        <v/>
      </c>
      <c r="G109" s="65" t="inlineStr">
        <is>
          <t>Café / Almuerzo con colaboradores</t>
        </is>
      </c>
      <c r="H109" s="65">
        <f>IF(OR(B109="",C109=""),"",IFERROR(VLOOKUP(B109&amp;"|||"&amp;C109,MAESTRA!$A$3:$J$500,9,0),""))</f>
        <v/>
      </c>
      <c r="I109" s="55" t="inlineStr">
        <is>
          <t>NO PAGAR LEGALIZA TARJETA PEOPLE PASS GINNA CASTRO  ALMUERZO ADRIANA CARDENAS Y GESTION HUMANA.</t>
        </is>
      </c>
      <c r="J109" s="55" t="inlineStr">
        <is>
          <t>Calle 100</t>
        </is>
      </c>
      <c r="K109" s="55" t="inlineStr">
        <is>
          <t>M401253355</t>
        </is>
      </c>
      <c r="L109" s="63" t="n">
        <v>46084</v>
      </c>
      <c r="M109" s="63" t="n"/>
      <c r="N109" s="66" t="n">
        <v>188472</v>
      </c>
      <c r="O109" s="55" t="inlineStr">
        <is>
          <t>7094</t>
        </is>
      </c>
      <c r="P109" s="63" t="n">
        <v>46120</v>
      </c>
      <c r="Q109" s="55" t="n"/>
      <c r="R109" s="55" t="n"/>
      <c r="S109" s="63" t="n"/>
      <c r="T109" s="65" t="inlineStr">
        <is>
          <t>marzo 2026</t>
        </is>
      </c>
    </row>
    <row r="110">
      <c r="A110" s="64" t="n">
        <v>107</v>
      </c>
      <c r="B110" s="55" t="inlineStr">
        <is>
          <t>CADENA COMERCIAL OXXO COLOMBIA S A S</t>
        </is>
      </c>
      <c r="C110" s="55" t="n"/>
      <c r="D110" s="65" t="inlineStr">
        <is>
          <t>GH</t>
        </is>
      </c>
      <c r="E110" s="65">
        <f>IF(OR(B110="",C110=""),"",IFERROR(VLOOKUP(B110&amp;"|||"&amp;C110,MAESTRA!$A$3:$J$500,6,0),"⚠ No encontrado"))</f>
        <v/>
      </c>
      <c r="F110" s="65">
        <f>IF(OR(B110="",C110=""),"",IFERROR(VLOOKUP(B110&amp;"|||"&amp;C110,MAESTRA!$A$3:$J$500,7,0),"⚠ No encontrado"))</f>
        <v/>
      </c>
      <c r="G110" s="65" t="inlineStr">
        <is>
          <t>Plan estratégico en enero 2025</t>
        </is>
      </c>
      <c r="H110" s="65">
        <f>IF(OR(B110="",C110=""),"",IFERROR(VLOOKUP(B110&amp;"|||"&amp;C110,MAESTRA!$A$3:$J$500,9,0),""))</f>
        <v/>
      </c>
      <c r="I110" s="55" t="inlineStr">
        <is>
          <t>NO PAGAR DESAYUNO COMERCIAL TARJETA PEOPLE PASS GINNA CASTRO</t>
        </is>
      </c>
      <c r="J110" s="55" t="inlineStr">
        <is>
          <t>Calle 100</t>
        </is>
      </c>
      <c r="K110" s="55" t="inlineStr">
        <is>
          <t>334C266048</t>
        </is>
      </c>
      <c r="L110" s="63" t="n">
        <v>46090</v>
      </c>
      <c r="M110" s="63" t="n"/>
      <c r="N110" s="66" t="n">
        <v>42250</v>
      </c>
      <c r="O110" s="55" t="inlineStr">
        <is>
          <t>7099</t>
        </is>
      </c>
      <c r="P110" s="63" t="n">
        <v>46120</v>
      </c>
      <c r="Q110" s="55" t="n"/>
      <c r="R110" s="55" t="inlineStr">
        <is>
          <t>APROBACIÓN GERENCIA DE PERSONAS Y ADMÓN</t>
        </is>
      </c>
      <c r="S110" s="63" t="n"/>
      <c r="T110" s="65" t="inlineStr">
        <is>
          <t>marzo 2026</t>
        </is>
      </c>
    </row>
    <row r="111">
      <c r="A111" s="64" t="n">
        <v>108</v>
      </c>
      <c r="B111" s="55" t="inlineStr">
        <is>
          <t>CADENA COMERCIAL OXXO COLOMBIA S A S</t>
        </is>
      </c>
      <c r="C111" s="55" t="n"/>
      <c r="D111" s="65">
        <f>IF(OR(B111="",C111=""),"",IFERROR(VLOOKUP(B111&amp;"|||"&amp;C111,MAESTRA!$A$3:$J$500,5,0),"⚠ No encontrado"))</f>
        <v/>
      </c>
      <c r="E111" s="65">
        <f>IF(OR(B111="",C111=""),"",IFERROR(VLOOKUP(B111&amp;"|||"&amp;C111,MAESTRA!$A$3:$J$500,6,0),"⚠ No encontrado"))</f>
        <v/>
      </c>
      <c r="F111" s="65">
        <f>IF(OR(B111="",C111=""),"",IFERROR(VLOOKUP(B111&amp;"|||"&amp;C111,MAESTRA!$A$3:$J$500,7,0),"⚠ No encontrado"))</f>
        <v/>
      </c>
      <c r="G111" s="65">
        <f>IF(OR(B111="",C111=""),"",IFERROR(VLOOKUP(B111&amp;"|||"&amp;C111,MAESTRA!$A$3:$J$500,8,0),"⚠ No encontrado"))</f>
        <v/>
      </c>
      <c r="H111" s="65">
        <f>IF(OR(B111="",C111=""),"",IFERROR(VLOOKUP(B111&amp;"|||"&amp;C111,MAESTRA!$A$3:$J$500,9,0),""))</f>
        <v/>
      </c>
      <c r="I111" s="55" t="inlineStr">
        <is>
          <t xml:space="preserve">NO PAGAR  BEBIDAS GASEOSAS PARA DANIEL SUAREZ Y MARIANA MUNAR LEGALIZADO POR DANIEL SUAREZ  </t>
        </is>
      </c>
      <c r="J111" s="55" t="inlineStr">
        <is>
          <t>Calle 100</t>
        </is>
      </c>
      <c r="K111" s="55" t="inlineStr">
        <is>
          <t>234C227161</t>
        </is>
      </c>
      <c r="L111" s="63" t="n">
        <v>46085</v>
      </c>
      <c r="M111" s="63" t="n"/>
      <c r="N111" s="66" t="n">
        <v>14500</v>
      </c>
      <c r="O111" s="55" t="inlineStr">
        <is>
          <t>7101</t>
        </is>
      </c>
      <c r="P111" s="63" t="n">
        <v>46120</v>
      </c>
      <c r="Q111" s="55" t="n"/>
      <c r="R111" s="55" t="inlineStr">
        <is>
          <t>APROBACIÓN GERENCIA DE PERSONAS Y ADMÓN</t>
        </is>
      </c>
      <c r="S111" s="63" t="n"/>
      <c r="T111" s="65" t="inlineStr">
        <is>
          <t>marzo 2026</t>
        </is>
      </c>
    </row>
    <row r="112">
      <c r="A112" s="64" t="n">
        <v>109</v>
      </c>
      <c r="B112" s="55" t="inlineStr">
        <is>
          <t>CADENA COMERCIAL OXXO COLOMBIA S A S</t>
        </is>
      </c>
      <c r="C112" s="55" t="n"/>
      <c r="D112" s="65">
        <f>IF(OR(B112="",C112=""),"",IFERROR(VLOOKUP(B112&amp;"|||"&amp;C112,MAESTRA!$A$3:$J$500,5,0),"⚠ No encontrado"))</f>
        <v/>
      </c>
      <c r="E112" s="65">
        <f>IF(OR(B112="",C112=""),"",IFERROR(VLOOKUP(B112&amp;"|||"&amp;C112,MAESTRA!$A$3:$J$500,6,0),"⚠ No encontrado"))</f>
        <v/>
      </c>
      <c r="F112" s="65">
        <f>IF(OR(B112="",C112=""),"",IFERROR(VLOOKUP(B112&amp;"|||"&amp;C112,MAESTRA!$A$3:$J$500,7,0),"⚠ No encontrado"))</f>
        <v/>
      </c>
      <c r="G112" s="65">
        <f>IF(OR(B112="",C112=""),"",IFERROR(VLOOKUP(B112&amp;"|||"&amp;C112,MAESTRA!$A$3:$J$500,8,0),"⚠ No encontrado"))</f>
        <v/>
      </c>
      <c r="H112" s="65">
        <f>IF(OR(B112="",C112=""),"",IFERROR(VLOOKUP(B112&amp;"|||"&amp;C112,MAESTRA!$A$3:$J$500,9,0),""))</f>
        <v/>
      </c>
      <c r="I112" s="55" t="inlineStr">
        <is>
          <t>NO PAGAR ANULA FAC 234C227161</t>
        </is>
      </c>
      <c r="J112" s="55" t="n"/>
      <c r="K112" s="55" t="inlineStr">
        <is>
          <t>234C250</t>
        </is>
      </c>
      <c r="L112" s="63" t="n">
        <v>46085</v>
      </c>
      <c r="M112" s="63" t="n"/>
      <c r="N112" s="66" t="n">
        <v>14500</v>
      </c>
      <c r="O112" s="55" t="n"/>
      <c r="P112" s="63" t="n"/>
      <c r="Q112" s="55" t="n"/>
      <c r="R112" s="55" t="inlineStr">
        <is>
          <t>APROBACIÓN GERENCIA DE PERSONAS Y ADMÓN</t>
        </is>
      </c>
      <c r="S112" s="63" t="n"/>
      <c r="T112" s="65" t="inlineStr">
        <is>
          <t>marzo 2026</t>
        </is>
      </c>
    </row>
    <row r="113">
      <c r="A113" s="64" t="n">
        <v>110</v>
      </c>
      <c r="B113" s="55" t="inlineStr">
        <is>
          <t>GASEOSAS LUX S.A.S.</t>
        </is>
      </c>
      <c r="C113" s="55" t="n"/>
      <c r="D113" s="65">
        <f>IF(OR(B113="",C113=""),"",IFERROR(VLOOKUP(B113&amp;"|||"&amp;C113,MAESTRA!$A$3:$J$500,5,0),"⚠ No encontrado"))</f>
        <v/>
      </c>
      <c r="E113" s="65">
        <f>IF(OR(B113="",C113=""),"",IFERROR(VLOOKUP(B113&amp;"|||"&amp;C113,MAESTRA!$A$3:$J$500,6,0),"⚠ No encontrado"))</f>
        <v/>
      </c>
      <c r="F113" s="65">
        <f>IF(OR(B113="",C113=""),"",IFERROR(VLOOKUP(B113&amp;"|||"&amp;C113,MAESTRA!$A$3:$J$500,7,0),"⚠ No encontrado"))</f>
        <v/>
      </c>
      <c r="G113" s="65">
        <f>IF(OR(B113="",C113=""),"",IFERROR(VLOOKUP(B113&amp;"|||"&amp;C113,MAESTRA!$A$3:$J$500,8,0),"⚠ No encontrado"))</f>
        <v/>
      </c>
      <c r="H113" s="65">
        <f>IF(OR(B113="",C113=""),"",IFERROR(VLOOKUP(B113&amp;"|||"&amp;C113,MAESTRA!$A$3:$J$500,9,0),""))</f>
        <v/>
      </c>
      <c r="I113" s="55" t="inlineStr">
        <is>
          <t>NO PAGAR ANULA FAC GL071422220</t>
        </is>
      </c>
      <c r="J113" s="55" t="n"/>
      <c r="K113" s="55" t="inlineStr">
        <is>
          <t>NL6698021</t>
        </is>
      </c>
      <c r="L113" s="63" t="n">
        <v>46093</v>
      </c>
      <c r="M113" s="63" t="n"/>
      <c r="N113" s="66" t="n">
        <v>53400</v>
      </c>
      <c r="O113" s="55" t="n"/>
      <c r="P113" s="63" t="n"/>
      <c r="Q113" s="55" t="n"/>
      <c r="R113" s="55" t="n"/>
      <c r="S113" s="63" t="n"/>
      <c r="T113" s="65" t="inlineStr">
        <is>
          <t>marzo 2026</t>
        </is>
      </c>
    </row>
    <row r="114">
      <c r="A114" s="64" t="n">
        <v>111</v>
      </c>
      <c r="B114" s="55" t="inlineStr">
        <is>
          <t>INMACULADA GUADALUPE Y AMIGOS S A S</t>
        </is>
      </c>
      <c r="C114" s="55" t="n"/>
      <c r="D114" s="65" t="inlineStr">
        <is>
          <t>ADM</t>
        </is>
      </c>
      <c r="E114" s="65">
        <f>IF(OR(B114="",C114=""),"",IFERROR(VLOOKUP(B114&amp;"|||"&amp;C114,MAESTRA!$A$3:$J$500,6,0),"⚠ No encontrado"))</f>
        <v/>
      </c>
      <c r="F114" s="65">
        <f>IF(OR(B114="",C114=""),"",IFERROR(VLOOKUP(B114&amp;"|||"&amp;C114,MAESTRA!$A$3:$J$500,7,0),"⚠ No encontrado"))</f>
        <v/>
      </c>
      <c r="G114" s="65" t="inlineStr">
        <is>
          <t>Gastos De Representacion</t>
        </is>
      </c>
      <c r="H114" s="65">
        <f>IF(OR(B114="",C114=""),"",IFERROR(VLOOKUP(B114&amp;"|||"&amp;C114,MAESTRA!$A$3:$J$500,9,0),""))</f>
        <v/>
      </c>
      <c r="I114" s="55" t="inlineStr">
        <is>
          <t>NO PAGAR LEGALIZA NADIA MARTINEZ CENA CLIENTE MOVILIZAR</t>
        </is>
      </c>
      <c r="J114" s="55" t="inlineStr">
        <is>
          <t>Barranquilla</t>
        </is>
      </c>
      <c r="K114" s="55" t="inlineStr">
        <is>
          <t>ADC3489410</t>
        </is>
      </c>
      <c r="L114" s="63" t="n">
        <v>46112</v>
      </c>
      <c r="M114" s="63" t="n"/>
      <c r="N114" s="66" t="n">
        <v>744819</v>
      </c>
      <c r="O114" s="55" t="inlineStr">
        <is>
          <t>7121</t>
        </is>
      </c>
      <c r="P114" s="63" t="n">
        <v>46120</v>
      </c>
      <c r="Q114" s="55" t="n"/>
      <c r="R114" s="55" t="n"/>
      <c r="S114" s="63" t="n"/>
      <c r="T114" s="65" t="inlineStr">
        <is>
          <t>marzo 2026</t>
        </is>
      </c>
    </row>
    <row r="115">
      <c r="A115" s="64" t="n">
        <v>112</v>
      </c>
      <c r="B115" s="55" t="inlineStr">
        <is>
          <t>CAMARA COMERCIO DE CALI</t>
        </is>
      </c>
      <c r="C115" s="55" t="n"/>
      <c r="D115" s="65" t="inlineStr">
        <is>
          <t>ADM</t>
        </is>
      </c>
      <c r="E115" s="65">
        <f>IF(OR(B115="",C115=""),"",IFERROR(VLOOKUP(B115&amp;"|||"&amp;C115,MAESTRA!$A$3:$J$500,6,0),"⚠ No encontrado"))</f>
        <v/>
      </c>
      <c r="F115" s="65">
        <f>IF(OR(B115="",C115=""),"",IFERROR(VLOOKUP(B115&amp;"|||"&amp;C115,MAESTRA!$A$3:$J$500,7,0),"⚠ No encontrado"))</f>
        <v/>
      </c>
      <c r="G115" s="65" t="inlineStr">
        <is>
          <t>Trámites notariales autenticaciones</t>
        </is>
      </c>
      <c r="H115" s="65">
        <f>IF(OR(B115="",C115=""),"",IFERROR(VLOOKUP(B115&amp;"|||"&amp;C115,MAESTRA!$A$3:$J$500,9,0),""))</f>
        <v/>
      </c>
      <c r="I115" s="55" t="inlineStr">
        <is>
          <t xml:space="preserve">NO PAGAR LEGALIZA CAJA MENOR BOGOTA COMPRA CERTIFICADO CAMARA COMERCIO CLIENTE  CALI SOLICITADA POR NICOLAS SALDAÑA  </t>
        </is>
      </c>
      <c r="J115" s="55" t="inlineStr">
        <is>
          <t>Cali</t>
        </is>
      </c>
      <c r="K115" s="55" t="inlineStr">
        <is>
          <t>27VT357544</t>
        </is>
      </c>
      <c r="L115" s="63" t="n">
        <v>46118</v>
      </c>
      <c r="M115" s="63" t="n"/>
      <c r="N115" s="66" t="n">
        <v>12100</v>
      </c>
      <c r="O115" s="55" t="inlineStr">
        <is>
          <t>4</t>
        </is>
      </c>
      <c r="P115" s="63" t="n">
        <v>46128</v>
      </c>
      <c r="Q115" s="55" t="n"/>
      <c r="R115" s="55" t="n"/>
      <c r="S115" s="63" t="n"/>
      <c r="T115" s="65" t="inlineStr">
        <is>
          <t>abril 2026</t>
        </is>
      </c>
    </row>
    <row r="116">
      <c r="A116" s="64" t="n">
        <v>113</v>
      </c>
      <c r="B116" s="55" t="inlineStr">
        <is>
          <t>OSCAR FERNANDO MESA GRANADO</t>
        </is>
      </c>
      <c r="C116" s="55" t="n"/>
      <c r="D116" s="65" t="inlineStr">
        <is>
          <t>ADM</t>
        </is>
      </c>
      <c r="E116" s="65">
        <f>IF(OR(B116="",C116=""),"",IFERROR(VLOOKUP(B116&amp;"|||"&amp;C116,MAESTRA!$A$3:$J$500,6,0),"⚠ No encontrado"))</f>
        <v/>
      </c>
      <c r="F116" s="65">
        <f>IF(OR(B116="",C116=""),"",IFERROR(VLOOKUP(B116&amp;"|||"&amp;C116,MAESTRA!$A$3:$J$500,7,0),"⚠ No encontrado"))</f>
        <v/>
      </c>
      <c r="G116" s="65" t="inlineStr">
        <is>
          <t>Trámites notariales autenticaciones</t>
        </is>
      </c>
      <c r="H116" s="65">
        <f>IF(OR(B116="",C116=""),"",IFERROR(VLOOKUP(B116&amp;"|||"&amp;C116,MAESTRA!$A$3:$J$500,9,0),""))</f>
        <v/>
      </c>
      <c r="I116" s="55" t="inlineStr">
        <is>
          <t xml:space="preserve">NO PAGAR LEGALIZA CAJA MENOR BOGOTA COMPRA DE 5 AUTENTICACIONES PARA OLGA MONTOYA  </t>
        </is>
      </c>
      <c r="J116" s="55" t="inlineStr">
        <is>
          <t>Calle 100</t>
        </is>
      </c>
      <c r="K116" s="55" t="inlineStr">
        <is>
          <t>FVE1170</t>
        </is>
      </c>
      <c r="L116" s="63" t="n">
        <v>46118</v>
      </c>
      <c r="M116" s="63" t="n"/>
      <c r="N116" s="66" t="n">
        <v>17326</v>
      </c>
      <c r="O116" s="55" t="inlineStr">
        <is>
          <t>2494</t>
        </is>
      </c>
      <c r="P116" s="63" t="n">
        <v>46128</v>
      </c>
      <c r="Q116" s="55" t="n"/>
      <c r="R116" s="55" t="n"/>
      <c r="S116" s="63" t="n"/>
      <c r="T116" s="65" t="inlineStr">
        <is>
          <t>abril 2026</t>
        </is>
      </c>
    </row>
    <row r="117">
      <c r="A117" s="64" t="n">
        <v>114</v>
      </c>
      <c r="B117" s="55" t="inlineStr">
        <is>
          <t>OSCAR FERNANDO MESA GRANADO</t>
        </is>
      </c>
      <c r="C117" s="55" t="n"/>
      <c r="D117" s="65" t="inlineStr">
        <is>
          <t>ADM</t>
        </is>
      </c>
      <c r="E117" s="65">
        <f>IF(OR(B117="",C117=""),"",IFERROR(VLOOKUP(B117&amp;"|||"&amp;C117,MAESTRA!$A$3:$J$500,6,0),"⚠ No encontrado"))</f>
        <v/>
      </c>
      <c r="F117" s="65">
        <f>IF(OR(B117="",C117=""),"",IFERROR(VLOOKUP(B117&amp;"|||"&amp;C117,MAESTRA!$A$3:$J$500,7,0),"⚠ No encontrado"))</f>
        <v/>
      </c>
      <c r="G117" s="65" t="inlineStr">
        <is>
          <t>Trámites notariales autenticaciones</t>
        </is>
      </c>
      <c r="H117" s="65">
        <f>IF(OR(B117="",C117=""),"",IFERROR(VLOOKUP(B117&amp;"|||"&amp;C117,MAESTRA!$A$3:$J$500,9,0),""))</f>
        <v/>
      </c>
      <c r="I117" s="55" t="inlineStr">
        <is>
          <t xml:space="preserve">NO PAGAR LEGALIZA CAJA MENOR BOGOTA COMPRA DE 3 AUTENTICACIONES PARA OLGA MONTOYA  </t>
        </is>
      </c>
      <c r="J117" s="55" t="inlineStr">
        <is>
          <t>Calle 100</t>
        </is>
      </c>
      <c r="K117" s="55" t="inlineStr">
        <is>
          <t>FVE1097</t>
        </is>
      </c>
      <c r="L117" s="63" t="n">
        <v>46118</v>
      </c>
      <c r="M117" s="63" t="n"/>
      <c r="N117" s="66" t="n">
        <v>19992</v>
      </c>
      <c r="O117" s="55" t="inlineStr">
        <is>
          <t>2495</t>
        </is>
      </c>
      <c r="P117" s="63" t="n">
        <v>46128</v>
      </c>
      <c r="Q117" s="55" t="n"/>
      <c r="R117" s="55" t="n"/>
      <c r="S117" s="63" t="n"/>
      <c r="T117" s="65" t="inlineStr">
        <is>
          <t>abril 2026</t>
        </is>
      </c>
    </row>
    <row r="118">
      <c r="A118" s="64" t="n">
        <v>115</v>
      </c>
      <c r="B118" s="55" t="inlineStr">
        <is>
          <t>CAMARA DE COMERCIO DE BARRANQUILLA</t>
        </is>
      </c>
      <c r="C118" s="55" t="n"/>
      <c r="D118" s="65" t="inlineStr">
        <is>
          <t>ADM</t>
        </is>
      </c>
      <c r="E118" s="65">
        <f>IF(OR(B118="",C118=""),"",IFERROR(VLOOKUP(B118&amp;"|||"&amp;C118,MAESTRA!$A$3:$J$500,6,0),"⚠ No encontrado"))</f>
        <v/>
      </c>
      <c r="F118" s="65">
        <f>IF(OR(B118="",C118=""),"",IFERROR(VLOOKUP(B118&amp;"|||"&amp;C118,MAESTRA!$A$3:$J$500,7,0),"⚠ No encontrado"))</f>
        <v/>
      </c>
      <c r="G118" s="65" t="inlineStr">
        <is>
          <t>Trámites notariales autenticaciones</t>
        </is>
      </c>
      <c r="H118" s="65">
        <f>IF(OR(B118="",C118=""),"",IFERROR(VLOOKUP(B118&amp;"|||"&amp;C118,MAESTRA!$A$3:$J$500,9,0),""))</f>
        <v/>
      </c>
      <c r="I118" s="55" t="inlineStr">
        <is>
          <t>NO PAGAR LEGALIZA PAGO RENOVACIÓN MATRICULA MERCANTIL CAMARA COMERCIO OF BRQ</t>
        </is>
      </c>
      <c r="J118" s="55" t="inlineStr">
        <is>
          <t>Barranquilla</t>
        </is>
      </c>
      <c r="K118" s="55" t="inlineStr">
        <is>
          <t>VRT1443814</t>
        </is>
      </c>
      <c r="L118" s="63" t="n">
        <v>46112</v>
      </c>
      <c r="M118" s="63" t="n"/>
      <c r="N118" s="66" t="n">
        <v>105500</v>
      </c>
      <c r="O118" s="55" t="inlineStr">
        <is>
          <t>6</t>
        </is>
      </c>
      <c r="P118" s="63" t="n">
        <v>46119</v>
      </c>
      <c r="Q118" s="55" t="n"/>
      <c r="R118" s="55" t="n"/>
      <c r="S118" s="63" t="n"/>
      <c r="T118" s="65" t="inlineStr">
        <is>
          <t>marzo 2026</t>
        </is>
      </c>
    </row>
    <row r="119">
      <c r="A119" s="64" t="n">
        <v>116</v>
      </c>
      <c r="B119" s="55" t="inlineStr">
        <is>
          <t>CAMARA DE COMERCIO DE BOGOTA</t>
        </is>
      </c>
      <c r="C119" s="55" t="n"/>
      <c r="D119" s="65" t="inlineStr">
        <is>
          <t>ADM</t>
        </is>
      </c>
      <c r="E119" s="65">
        <f>IF(OR(B119="",C119=""),"",IFERROR(VLOOKUP(B119&amp;"|||"&amp;C119,MAESTRA!$A$3:$J$500,6,0),"⚠ No encontrado"))</f>
        <v/>
      </c>
      <c r="F119" s="65">
        <f>IF(OR(B119="",C119=""),"",IFERROR(VLOOKUP(B119&amp;"|||"&amp;C119,MAESTRA!$A$3:$J$500,7,0),"⚠ No encontrado"))</f>
        <v/>
      </c>
      <c r="G119" s="65" t="inlineStr">
        <is>
          <t>Trámites notariales autenticaciones</t>
        </is>
      </c>
      <c r="H119" s="65">
        <f>IF(OR(B119="",C119=""),"",IFERROR(VLOOKUP(B119&amp;"|||"&amp;C119,MAESTRA!$A$3:$J$500,9,0),""))</f>
        <v/>
      </c>
      <c r="I119" s="55" t="inlineStr">
        <is>
          <t>NO PAGAR LEGALIZA PAGO RENOVACIÓN MATRICULA MERCANTIL CAMARA COMERCIO OF BOG</t>
        </is>
      </c>
      <c r="J119" s="55" t="inlineStr">
        <is>
          <t>Calle 100</t>
        </is>
      </c>
      <c r="K119" s="55" t="inlineStr">
        <is>
          <t>TV4310323015</t>
        </is>
      </c>
      <c r="L119" s="63" t="n">
        <v>46112</v>
      </c>
      <c r="M119" s="63" t="n"/>
      <c r="N119" s="66" t="n">
        <v>9198700</v>
      </c>
      <c r="O119" s="55" t="inlineStr">
        <is>
          <t>6988</t>
        </is>
      </c>
      <c r="P119" s="63" t="n">
        <v>46119</v>
      </c>
      <c r="Q119" s="55" t="n"/>
      <c r="R119" s="55" t="n"/>
      <c r="S119" s="63" t="n"/>
      <c r="T119" s="65" t="inlineStr">
        <is>
          <t>marzo 2026</t>
        </is>
      </c>
    </row>
    <row r="120">
      <c r="A120" s="64" t="n">
        <v>117</v>
      </c>
      <c r="B120" s="55" t="inlineStr">
        <is>
          <t>CAMARA DE COMERCIO DE CARTAGENA</t>
        </is>
      </c>
      <c r="C120" s="55" t="n"/>
      <c r="D120" s="65" t="inlineStr">
        <is>
          <t>ADM</t>
        </is>
      </c>
      <c r="E120" s="65">
        <f>IF(OR(B120="",C120=""),"",IFERROR(VLOOKUP(B120&amp;"|||"&amp;C120,MAESTRA!$A$3:$J$500,6,0),"⚠ No encontrado"))</f>
        <v/>
      </c>
      <c r="F120" s="65">
        <f>IF(OR(B120="",C120=""),"",IFERROR(VLOOKUP(B120&amp;"|||"&amp;C120,MAESTRA!$A$3:$J$500,7,0),"⚠ No encontrado"))</f>
        <v/>
      </c>
      <c r="G120" s="65" t="inlineStr">
        <is>
          <t>Trámites notariales autenticaciones</t>
        </is>
      </c>
      <c r="H120" s="65">
        <f>IF(OR(B120="",C120=""),"",IFERROR(VLOOKUP(B120&amp;"|||"&amp;C120,MAESTRA!$A$3:$J$500,9,0),""))</f>
        <v/>
      </c>
      <c r="I120" s="55" t="inlineStr">
        <is>
          <t>NO PAGAR LEGALIZA PAGO RENOVACIÓN MATRICULA MERCANTIL CAMARA COMERCIO OF CTG</t>
        </is>
      </c>
      <c r="J120" s="55" t="inlineStr">
        <is>
          <t>Cartagena</t>
        </is>
      </c>
      <c r="K120" s="55" t="inlineStr">
        <is>
          <t>SIVT89645</t>
        </is>
      </c>
      <c r="L120" s="63" t="n">
        <v>46112</v>
      </c>
      <c r="M120" s="63" t="n"/>
      <c r="N120" s="66" t="n">
        <v>111600</v>
      </c>
      <c r="O120" s="55" t="inlineStr">
        <is>
          <t>21</t>
        </is>
      </c>
      <c r="P120" s="63" t="n">
        <v>46119</v>
      </c>
      <c r="Q120" s="55" t="n"/>
      <c r="R120" s="55" t="n"/>
      <c r="S120" s="63" t="n"/>
      <c r="T120" s="65" t="inlineStr">
        <is>
          <t>marzo 2026</t>
        </is>
      </c>
    </row>
    <row r="121">
      <c r="A121" s="64" t="n">
        <v>118</v>
      </c>
      <c r="B121" s="55" t="inlineStr">
        <is>
          <t>CAMARA DE COMERCIO BUENAVENTURA</t>
        </is>
      </c>
      <c r="C121" s="55" t="n"/>
      <c r="D121" s="65" t="inlineStr">
        <is>
          <t>ADM</t>
        </is>
      </c>
      <c r="E121" s="65">
        <f>IF(OR(B121="",C121=""),"",IFERROR(VLOOKUP(B121&amp;"|||"&amp;C121,MAESTRA!$A$3:$J$500,6,0),"⚠ No encontrado"))</f>
        <v/>
      </c>
      <c r="F121" s="65">
        <f>IF(OR(B121="",C121=""),"",IFERROR(VLOOKUP(B121&amp;"|||"&amp;C121,MAESTRA!$A$3:$J$500,7,0),"⚠ No encontrado"))</f>
        <v/>
      </c>
      <c r="G121" s="65" t="inlineStr">
        <is>
          <t>Trámites notariales autenticaciones</t>
        </is>
      </c>
      <c r="H121" s="65">
        <f>IF(OR(B121="",C121=""),"",IFERROR(VLOOKUP(B121&amp;"|||"&amp;C121,MAESTRA!$A$3:$J$500,9,0),""))</f>
        <v/>
      </c>
      <c r="I121" s="55" t="inlineStr">
        <is>
          <t>NO PAGAR LEGALIZA PAOLA ROA PAGO RENOVACIÓN MATRICULA MERCANTIL CAMARA COMERCIO OF BUN</t>
        </is>
      </c>
      <c r="J121" s="55" t="inlineStr">
        <is>
          <t>Buenaventura</t>
        </is>
      </c>
      <c r="K121" s="55" t="inlineStr">
        <is>
          <t>VIRT58962</t>
        </is>
      </c>
      <c r="L121" s="63" t="n">
        <v>46112</v>
      </c>
      <c r="M121" s="63" t="n"/>
      <c r="N121" s="66" t="n">
        <v>837600</v>
      </c>
      <c r="O121" s="55" t="inlineStr">
        <is>
          <t>24</t>
        </is>
      </c>
      <c r="P121" s="63" t="n">
        <v>46121</v>
      </c>
      <c r="Q121" s="55" t="n"/>
      <c r="R121" s="55" t="n"/>
      <c r="S121" s="63" t="n"/>
      <c r="T121" s="65" t="inlineStr">
        <is>
          <t>marzo 2026</t>
        </is>
      </c>
    </row>
    <row r="122">
      <c r="A122" s="64" t="n">
        <v>119</v>
      </c>
      <c r="B122" s="55" t="inlineStr">
        <is>
          <t>CREPES Y WAFFLES S A</t>
        </is>
      </c>
      <c r="C122" s="55" t="n"/>
      <c r="D122" s="65" t="inlineStr">
        <is>
          <t>ADM</t>
        </is>
      </c>
      <c r="E122" s="65">
        <f>IF(OR(B122="",C122=""),"",IFERROR(VLOOKUP(B122&amp;"|||"&amp;C122,MAESTRA!$A$3:$J$500,6,0),"⚠ No encontrado"))</f>
        <v/>
      </c>
      <c r="F122" s="65">
        <f>IF(OR(B122="",C122=""),"",IFERROR(VLOOKUP(B122&amp;"|||"&amp;C122,MAESTRA!$A$3:$J$500,7,0),"⚠ No encontrado"))</f>
        <v/>
      </c>
      <c r="G122" s="65" t="inlineStr">
        <is>
          <t>Gastos De Representacion</t>
        </is>
      </c>
      <c r="H122" s="65">
        <f>IF(OR(B122="",C122=""),"",IFERROR(VLOOKUP(B122&amp;"|||"&amp;C122,MAESTRA!$A$3:$J$500,9,0),""))</f>
        <v/>
      </c>
      <c r="I122" s="55" t="inlineStr">
        <is>
          <t>NO PAGAR COMPRA TARJETA ADRINA CARDENA CAFÉ CLIENTE COMEX</t>
        </is>
      </c>
      <c r="J122" s="55" t="inlineStr">
        <is>
          <t>Calle 100</t>
        </is>
      </c>
      <c r="K122" s="55" t="inlineStr">
        <is>
          <t>R06E480856</t>
        </is>
      </c>
      <c r="L122" s="63" t="n">
        <v>46090</v>
      </c>
      <c r="M122" s="63" t="n"/>
      <c r="N122" s="66" t="n">
        <v>123400</v>
      </c>
      <c r="O122" s="55" t="inlineStr">
        <is>
          <t>7106</t>
        </is>
      </c>
      <c r="P122" s="63" t="n">
        <v>46120</v>
      </c>
      <c r="Q122" s="55" t="n"/>
      <c r="R122" s="55" t="n"/>
      <c r="S122" s="63" t="n"/>
      <c r="T122" s="65" t="inlineStr">
        <is>
          <t>marzo 2026</t>
        </is>
      </c>
    </row>
    <row r="123">
      <c r="A123" s="64" t="n">
        <v>120</v>
      </c>
      <c r="B123" s="55" t="inlineStr">
        <is>
          <t>TAKAMI S.A</t>
        </is>
      </c>
      <c r="C123" s="55" t="n"/>
      <c r="D123" s="65" t="inlineStr">
        <is>
          <t>ADM</t>
        </is>
      </c>
      <c r="E123" s="65">
        <f>IF(OR(B123="",C123=""),"",IFERROR(VLOOKUP(B123&amp;"|||"&amp;C123,MAESTRA!$A$3:$J$500,6,0),"⚠ No encontrado"))</f>
        <v/>
      </c>
      <c r="F123" s="65">
        <f>IF(OR(B123="",C123=""),"",IFERROR(VLOOKUP(B123&amp;"|||"&amp;C123,MAESTRA!$A$3:$J$500,7,0),"⚠ No encontrado"))</f>
        <v/>
      </c>
      <c r="G123" s="65" t="inlineStr">
        <is>
          <t>Gastos De Representacion</t>
        </is>
      </c>
      <c r="H123" s="65">
        <f>IF(OR(B123="",C123=""),"",IFERROR(VLOOKUP(B123&amp;"|||"&amp;C123,MAESTRA!$A$3:$J$500,9,0),""))</f>
        <v/>
      </c>
      <c r="I123" s="55" t="inlineStr">
        <is>
          <t>NO PAGAR COMPRA TARJETA ADRINA CERDENA ALMUERZO CLIENTE SEA AIR GLOBAL</t>
        </is>
      </c>
      <c r="J123" s="55" t="inlineStr">
        <is>
          <t>Calle 100</t>
        </is>
      </c>
      <c r="K123" s="55" t="inlineStr">
        <is>
          <t>O8FE95324</t>
        </is>
      </c>
      <c r="L123" s="63" t="n">
        <v>46085</v>
      </c>
      <c r="M123" s="63" t="n"/>
      <c r="N123" s="66" t="n">
        <v>354210</v>
      </c>
      <c r="O123" s="55" t="inlineStr">
        <is>
          <t>7111</t>
        </is>
      </c>
      <c r="P123" s="63" t="n">
        <v>46120</v>
      </c>
      <c r="Q123" s="55" t="n"/>
      <c r="R123" s="55" t="n"/>
      <c r="S123" s="63" t="n"/>
      <c r="T123" s="65" t="inlineStr">
        <is>
          <t>marzo 2026</t>
        </is>
      </c>
    </row>
    <row r="124">
      <c r="A124" s="64" t="n">
        <v>121</v>
      </c>
      <c r="B124" s="55" t="inlineStr">
        <is>
          <t>EVLOGIA SAS</t>
        </is>
      </c>
      <c r="C124" s="55" t="n"/>
      <c r="D124" s="65" t="inlineStr">
        <is>
          <t>GH</t>
        </is>
      </c>
      <c r="E124" s="65">
        <f>IF(OR(B124="",C124=""),"",IFERROR(VLOOKUP(B124&amp;"|||"&amp;C124,MAESTRA!$A$3:$J$500,6,0),"⚠ No encontrado"))</f>
        <v/>
      </c>
      <c r="F124" s="65">
        <f>IF(OR(B124="",C124=""),"",IFERROR(VLOOKUP(B124&amp;"|||"&amp;C124,MAESTRA!$A$3:$J$500,7,0),"⚠ No encontrado"))</f>
        <v/>
      </c>
      <c r="G124" s="65" t="inlineStr">
        <is>
          <t>Café / Almuerzo con colaboradores</t>
        </is>
      </c>
      <c r="H124" s="65">
        <f>IF(OR(B124="",C124=""),"",IFERROR(VLOOKUP(B124&amp;"|||"&amp;C124,MAESTRA!$A$3:$J$500,9,0),""))</f>
        <v/>
      </c>
      <c r="I124" s="55" t="inlineStr">
        <is>
          <t>NO PAGAR COMPRA TARJETA ADRIANA CARDENAS ALMUERZO REUNIÓN CON GGHH</t>
        </is>
      </c>
      <c r="J124" s="55" t="inlineStr">
        <is>
          <t>Calle 100</t>
        </is>
      </c>
      <c r="K124" s="55" t="inlineStr">
        <is>
          <t>FR42302</t>
        </is>
      </c>
      <c r="L124" s="63" t="n">
        <v>46098</v>
      </c>
      <c r="M124" s="63" t="n"/>
      <c r="N124" s="66" t="n">
        <v>187380.01</v>
      </c>
      <c r="O124" s="55" t="inlineStr">
        <is>
          <t>7117</t>
        </is>
      </c>
      <c r="P124" s="63" t="n">
        <v>46120</v>
      </c>
      <c r="Q124" s="55" t="n"/>
      <c r="R124" s="55" t="n"/>
      <c r="S124" s="63" t="n"/>
      <c r="T124" s="65" t="inlineStr">
        <is>
          <t>marzo 2026</t>
        </is>
      </c>
    </row>
    <row r="125">
      <c r="A125" s="64" t="n">
        <v>122</v>
      </c>
      <c r="B125" s="55" t="inlineStr">
        <is>
          <t>CREAMOS MARQUILLAS SAS</t>
        </is>
      </c>
      <c r="C125" s="55" t="n"/>
      <c r="D125" s="65" t="inlineStr">
        <is>
          <t>GH</t>
        </is>
      </c>
      <c r="E125" s="65">
        <f>IF(OR(B125="",C125=""),"",IFERROR(VLOOKUP(B125&amp;"|||"&amp;C125,MAESTRA!$A$3:$J$500,6,0),"⚠ No encontrado"))</f>
        <v/>
      </c>
      <c r="F125" s="65">
        <f>IF(OR(B125="",C125=""),"",IFERROR(VLOOKUP(B125&amp;"|||"&amp;C125,MAESTRA!$A$3:$J$500,7,0),"⚠ No encontrado"))</f>
        <v/>
      </c>
      <c r="G125" s="65" t="inlineStr">
        <is>
          <t>Cinta carnet y portacarnet</t>
        </is>
      </c>
      <c r="H125" s="65">
        <f>IF(OR(B125="",C125=""),"",IFERROR(VLOOKUP(B125&amp;"|||"&amp;C125,MAESTRA!$A$3:$J$500,9,0),""))</f>
        <v/>
      </c>
      <c r="I125" s="55" t="inlineStr">
        <is>
          <t xml:space="preserve">NO PAGAR LEG CAJA MENOR BOG COMPRA DE CINTAS PARA CARNET </t>
        </is>
      </c>
      <c r="J125" s="55" t="inlineStr">
        <is>
          <t>Transversal</t>
        </is>
      </c>
      <c r="K125" s="55" t="inlineStr">
        <is>
          <t>FAC4290</t>
        </is>
      </c>
      <c r="L125" s="63" t="n">
        <v>46111</v>
      </c>
      <c r="M125" s="63" t="n"/>
      <c r="N125" s="66" t="n">
        <v>214200</v>
      </c>
      <c r="O125" s="55" t="inlineStr">
        <is>
          <t>7040</t>
        </is>
      </c>
      <c r="P125" s="63" t="n">
        <v>46120</v>
      </c>
      <c r="Q125" s="55" t="n"/>
      <c r="R125" s="55" t="n"/>
      <c r="S125" s="63" t="n"/>
      <c r="T125" s="65" t="inlineStr">
        <is>
          <t>marzo 2026</t>
        </is>
      </c>
    </row>
    <row r="126">
      <c r="A126" s="64" t="n">
        <v>123</v>
      </c>
      <c r="B126" s="55" t="inlineStr">
        <is>
          <t>CAMARA DE COMERCIO DEL ORIENTE ANTIOQUEÑO</t>
        </is>
      </c>
      <c r="C126" s="55" t="n"/>
      <c r="D126" s="65" t="inlineStr">
        <is>
          <t>ADM</t>
        </is>
      </c>
      <c r="E126" s="65">
        <f>IF(OR(B126="",C126=""),"",IFERROR(VLOOKUP(B126&amp;"|||"&amp;C126,MAESTRA!$A$3:$J$500,6,0),"⚠ No encontrado"))</f>
        <v/>
      </c>
      <c r="F126" s="65">
        <f>IF(OR(B126="",C126=""),"",IFERROR(VLOOKUP(B126&amp;"|||"&amp;C126,MAESTRA!$A$3:$J$500,7,0),"⚠ No encontrado"))</f>
        <v/>
      </c>
      <c r="G126" s="65" t="inlineStr">
        <is>
          <t>Trámites notariales autenticaciones</t>
        </is>
      </c>
      <c r="H126" s="65">
        <f>IF(OR(B126="",C126=""),"",IFERROR(VLOOKUP(B126&amp;"|||"&amp;C126,MAESTRA!$A$3:$J$500,9,0),""))</f>
        <v/>
      </c>
      <c r="I126" s="55" t="inlineStr">
        <is>
          <t>NO PAGAR LEGALIZA CAJA MENOR BOGOTA COMPRA CERT CLIENTE IMPORT RZ</t>
        </is>
      </c>
      <c r="J126" s="55" t="inlineStr">
        <is>
          <t>Medellín</t>
        </is>
      </c>
      <c r="K126" s="55" t="inlineStr">
        <is>
          <t>VIRT370881</t>
        </is>
      </c>
      <c r="L126" s="63" t="n">
        <v>46125</v>
      </c>
      <c r="M126" s="63" t="n"/>
      <c r="N126" s="66" t="n">
        <v>12100</v>
      </c>
      <c r="O126" s="55" t="inlineStr">
        <is>
          <t>55</t>
        </is>
      </c>
      <c r="P126" s="63" t="n">
        <v>46135</v>
      </c>
      <c r="Q126" s="55" t="n"/>
      <c r="R126" s="55" t="n"/>
      <c r="S126" s="63" t="n"/>
      <c r="T126" s="65" t="inlineStr">
        <is>
          <t>abril 2026</t>
        </is>
      </c>
    </row>
    <row r="127">
      <c r="A127" s="64" t="n">
        <v>124</v>
      </c>
      <c r="B127" s="55" t="inlineStr">
        <is>
          <t>MB TECH DE COLOMBIA S.A.S</t>
        </is>
      </c>
      <c r="C127" s="55" t="n"/>
      <c r="D127" s="65" t="inlineStr">
        <is>
          <t>GH</t>
        </is>
      </c>
      <c r="E127" s="65">
        <f>IF(OR(B127="",C127=""),"",IFERROR(VLOOKUP(B127&amp;"|||"&amp;C127,MAESTRA!$A$3:$J$500,6,0),"⚠ No encontrado"))</f>
        <v/>
      </c>
      <c r="F127" s="65">
        <f>IF(OR(B127="",C127=""),"",IFERROR(VLOOKUP(B127&amp;"|||"&amp;C127,MAESTRA!$A$3:$J$500,7,0),"⚠ No encontrado"))</f>
        <v/>
      </c>
      <c r="G127" s="65" t="inlineStr">
        <is>
          <t>Dotación a colaboradores</t>
        </is>
      </c>
      <c r="H127" s="65">
        <f>IF(OR(B127="",C127=""),"",IFERROR(VLOOKUP(B127&amp;"|||"&amp;C127,MAESTRA!$A$3:$J$500,9,0),""))</f>
        <v/>
      </c>
      <c r="I127" s="55" t="inlineStr">
        <is>
          <t>NO PAGAR LEGALIZA GINNA CASTRO COMPRA UNIFORMES DOTACIÓN MARIA MUÑOZ</t>
        </is>
      </c>
      <c r="J127" s="55" t="inlineStr">
        <is>
          <t>Calle 100</t>
        </is>
      </c>
      <c r="K127" s="55" t="inlineStr">
        <is>
          <t>NTFV293</t>
        </is>
      </c>
      <c r="L127" s="63" t="n">
        <v>46119</v>
      </c>
      <c r="M127" s="63" t="n"/>
      <c r="N127" s="66" t="n">
        <v>229700</v>
      </c>
      <c r="O127" s="55" t="inlineStr">
        <is>
          <t>2496</t>
        </is>
      </c>
      <c r="P127" s="63" t="n">
        <v>46128</v>
      </c>
      <c r="Q127" s="55" t="n"/>
      <c r="R127" s="55" t="n"/>
      <c r="S127" s="63" t="n"/>
      <c r="T127" s="65" t="inlineStr">
        <is>
          <t>abril 2026</t>
        </is>
      </c>
    </row>
    <row r="128">
      <c r="A128" s="64" t="n">
        <v>125</v>
      </c>
      <c r="B128" s="55" t="inlineStr">
        <is>
          <t>RED COMERCIAL LA MINA SAS</t>
        </is>
      </c>
      <c r="C128" s="55" t="n"/>
      <c r="D128" s="65" t="inlineStr">
        <is>
          <t>ADM</t>
        </is>
      </c>
      <c r="E128" s="65">
        <f>IF(OR(B128="",C128=""),"",IFERROR(VLOOKUP(B128&amp;"|||"&amp;C128,MAESTRA!$A$3:$J$500,6,0),"⚠ No encontrado"))</f>
        <v/>
      </c>
      <c r="F128" s="65">
        <f>IF(OR(B128="",C128=""),"",IFERROR(VLOOKUP(B128&amp;"|||"&amp;C128,MAESTRA!$A$3:$J$500,7,0),"⚠ No encontrado"))</f>
        <v/>
      </c>
      <c r="G128" s="65" t="inlineStr">
        <is>
          <t>Intermodal</t>
        </is>
      </c>
      <c r="H128" s="65">
        <f>IF(OR(B128="",C128=""),"",IFERROR(VLOOKUP(B128&amp;"|||"&amp;C128,MAESTRA!$A$3:$J$500,9,0),""))</f>
        <v/>
      </c>
      <c r="I128" s="55" t="inlineStr">
        <is>
          <t>NO PAGAR LEGALIZA VIVIANA LEÓN COMPRA PARA REGALOS AGENTES EN INTERMODAL BRASIL</t>
        </is>
      </c>
      <c r="J128" s="55" t="inlineStr">
        <is>
          <t>Calle 100</t>
        </is>
      </c>
      <c r="K128" s="55" t="inlineStr">
        <is>
          <t>F122111657</t>
        </is>
      </c>
      <c r="L128" s="63" t="n">
        <v>46120</v>
      </c>
      <c r="M128" s="63" t="n"/>
      <c r="N128" s="66" t="n">
        <v>32000</v>
      </c>
      <c r="O128" s="55" t="inlineStr">
        <is>
          <t>2499</t>
        </is>
      </c>
      <c r="P128" s="63" t="n">
        <v>46128</v>
      </c>
      <c r="Q128" s="55" t="n"/>
      <c r="R128" s="55" t="n"/>
      <c r="S128" s="63" t="n"/>
      <c r="T128" s="65" t="inlineStr">
        <is>
          <t>abril 2026</t>
        </is>
      </c>
    </row>
    <row r="129">
      <c r="A129" s="64" t="n">
        <v>126</v>
      </c>
      <c r="B129" s="55" t="inlineStr">
        <is>
          <t>ALMACENES ÉXITO S.A</t>
        </is>
      </c>
      <c r="C129" s="55" t="n"/>
      <c r="D129" s="65" t="inlineStr">
        <is>
          <t>ADM</t>
        </is>
      </c>
      <c r="E129" s="65">
        <f>IF(OR(B129="",C129=""),"",IFERROR(VLOOKUP(B129&amp;"|||"&amp;C129,MAESTRA!$A$3:$J$500,6,0),"⚠ No encontrado"))</f>
        <v/>
      </c>
      <c r="F129" s="65">
        <f>IF(OR(B129="",C129=""),"",IFERROR(VLOOKUP(B129&amp;"|||"&amp;C129,MAESTRA!$A$3:$J$500,7,0),"⚠ No encontrado"))</f>
        <v/>
      </c>
      <c r="G129" s="65" t="inlineStr">
        <is>
          <t>Material Copa/Cozinha</t>
        </is>
      </c>
      <c r="H129" s="65">
        <f>IF(OR(B129="",C129=""),"",IFERROR(VLOOKUP(B129&amp;"|||"&amp;C129,MAESTRA!$A$3:$J$500,9,0),""))</f>
        <v/>
      </c>
      <c r="I129" s="55" t="inlineStr">
        <is>
          <t>NO PAGAR LEGALIZA CAJA MENOR BOGOTA COMPRA TE AACR</t>
        </is>
      </c>
      <c r="J129" s="55" t="inlineStr">
        <is>
          <t>Calle 100</t>
        </is>
      </c>
      <c r="K129" s="55" t="inlineStr">
        <is>
          <t>ET67152678</t>
        </is>
      </c>
      <c r="L129" s="63" t="n">
        <v>46129</v>
      </c>
      <c r="M129" s="63" t="n"/>
      <c r="N129" s="66" t="n">
        <v>53800</v>
      </c>
      <c r="O129" s="55" t="inlineStr">
        <is>
          <t>3904</t>
        </is>
      </c>
      <c r="P129" s="63" t="n">
        <v>46135</v>
      </c>
      <c r="Q129" s="55" t="n"/>
      <c r="R129" s="55" t="n"/>
      <c r="S129" s="63" t="n"/>
      <c r="T129" s="65" t="inlineStr">
        <is>
          <t>abril 2026</t>
        </is>
      </c>
    </row>
    <row r="130">
      <c r="A130" s="64" t="n">
        <v>127</v>
      </c>
      <c r="B130" s="55" t="inlineStr">
        <is>
          <t>SUPERMARKET LA COLOMBIANA SAS ZOMAC</t>
        </is>
      </c>
      <c r="C130" s="55" t="n"/>
      <c r="D130" s="65" t="inlineStr">
        <is>
          <t>ADM</t>
        </is>
      </c>
      <c r="E130" s="65">
        <f>IF(OR(B130="",C130=""),"",IFERROR(VLOOKUP(B130&amp;"|||"&amp;C130,MAESTRA!$A$3:$J$500,6,0),"⚠ No encontrado"))</f>
        <v/>
      </c>
      <c r="F130" s="65">
        <f>IF(OR(B130="",C130=""),"",IFERROR(VLOOKUP(B130&amp;"|||"&amp;C130,MAESTRA!$A$3:$J$500,7,0),"⚠ No encontrado"))</f>
        <v/>
      </c>
      <c r="G130" s="65" t="inlineStr">
        <is>
          <t>Material Copa/Cozinha</t>
        </is>
      </c>
      <c r="H130" s="65">
        <f>IF(OR(B130="",C130=""),"",IFERROR(VLOOKUP(B130&amp;"|||"&amp;C130,MAESTRA!$A$3:$J$500,9,0),""))</f>
        <v/>
      </c>
      <c r="I130" s="55" t="inlineStr">
        <is>
          <t>NO PAGAR LEGALIZA CAJA MENOR BUENAVENTURA COMPRA BOTELLON DE AGUA</t>
        </is>
      </c>
      <c r="J130" s="55" t="inlineStr">
        <is>
          <t>Buenaventura</t>
        </is>
      </c>
      <c r="K130" s="55" t="inlineStr">
        <is>
          <t>SMEF58384</t>
        </is>
      </c>
      <c r="L130" s="63" t="n">
        <v>46128</v>
      </c>
      <c r="M130" s="63" t="n"/>
      <c r="N130" s="66" t="n">
        <v>30000</v>
      </c>
      <c r="O130" s="55" t="inlineStr">
        <is>
          <t>137</t>
        </is>
      </c>
      <c r="P130" s="63" t="n">
        <v>46135</v>
      </c>
      <c r="Q130" s="55" t="n"/>
      <c r="R130" s="55" t="n"/>
      <c r="S130" s="63" t="n"/>
      <c r="T130" s="65" t="inlineStr">
        <is>
          <t>abril 2026</t>
        </is>
      </c>
    </row>
    <row r="131">
      <c r="A131" s="64" t="n">
        <v>128</v>
      </c>
      <c r="B131" s="55" t="inlineStr">
        <is>
          <t>GASEOSAS LUX S.A.S.</t>
        </is>
      </c>
      <c r="C131" s="55" t="n"/>
      <c r="D131" s="65">
        <f>IF(OR(B131="",C131=""),"",IFERROR(VLOOKUP(B131&amp;"|||"&amp;C131,MAESTRA!$A$3:$J$500,5,0),"⚠ No encontrado"))</f>
        <v/>
      </c>
      <c r="E131" s="65">
        <f>IF(OR(B131="",C131=""),"",IFERROR(VLOOKUP(B131&amp;"|||"&amp;C131,MAESTRA!$A$3:$J$500,6,0),"⚠ No encontrado"))</f>
        <v/>
      </c>
      <c r="F131" s="65">
        <f>IF(OR(B131="",C131=""),"",IFERROR(VLOOKUP(B131&amp;"|||"&amp;C131,MAESTRA!$A$3:$J$500,7,0),"⚠ No encontrado"))</f>
        <v/>
      </c>
      <c r="G131" s="65">
        <f>IF(OR(B131="",C131=""),"",IFERROR(VLOOKUP(B131&amp;"|||"&amp;C131,MAESTRA!$A$3:$J$500,8,0),"⚠ No encontrado"))</f>
        <v/>
      </c>
      <c r="H131" s="65">
        <f>IF(OR(B131="",C131=""),"",IFERROR(VLOOKUP(B131&amp;"|||"&amp;C131,MAESTRA!$A$3:$J$500,9,0),""))</f>
        <v/>
      </c>
      <c r="I131" s="55" t="inlineStr">
        <is>
          <t>NO PAGAR LEGALIZA CAJA MENOR AEROPUERTO COMPRA BOTELLONES DE AGUA</t>
        </is>
      </c>
      <c r="J131" s="55" t="inlineStr">
        <is>
          <t>Aeropuerto</t>
        </is>
      </c>
      <c r="K131" s="55" t="inlineStr">
        <is>
          <t>GL071516265</t>
        </is>
      </c>
      <c r="L131" s="63" t="n">
        <v>46120</v>
      </c>
      <c r="M131" s="63" t="n"/>
      <c r="N131" s="66" t="n">
        <v>53400</v>
      </c>
      <c r="O131" s="55" t="n"/>
      <c r="P131" s="63" t="n"/>
      <c r="Q131" s="55" t="n"/>
      <c r="R131" s="55" t="n"/>
      <c r="S131" s="63" t="n"/>
      <c r="T131" s="65" t="inlineStr">
        <is>
          <t>abril 2026</t>
        </is>
      </c>
    </row>
    <row r="132">
      <c r="A132" s="64" t="n">
        <v>129</v>
      </c>
      <c r="B132" s="55" t="inlineStr">
        <is>
          <t>CAMARA DE COMERCIO DE BOGOTA</t>
        </is>
      </c>
      <c r="C132" s="55" t="n"/>
      <c r="D132" s="65" t="inlineStr">
        <is>
          <t>ADM</t>
        </is>
      </c>
      <c r="E132" s="65">
        <f>IF(OR(B132="",C132=""),"",IFERROR(VLOOKUP(B132&amp;"|||"&amp;C132,MAESTRA!$A$3:$J$500,6,0),"⚠ No encontrado"))</f>
        <v/>
      </c>
      <c r="F132" s="65">
        <f>IF(OR(B132="",C132=""),"",IFERROR(VLOOKUP(B132&amp;"|||"&amp;C132,MAESTRA!$A$3:$J$500,7,0),"⚠ No encontrado"))</f>
        <v/>
      </c>
      <c r="G132" s="65" t="inlineStr">
        <is>
          <t>Trámites notariales autenticaciones</t>
        </is>
      </c>
      <c r="H132" s="65">
        <f>IF(OR(B132="",C132=""),"",IFERROR(VLOOKUP(B132&amp;"|||"&amp;C132,MAESTRA!$A$3:$J$500,9,0),""))</f>
        <v/>
      </c>
      <c r="I132" s="55" t="inlineStr">
        <is>
          <t>NO PAGAR LEGALIZA CAJA MENOR BOGOTA COMPRA CAMARA COMERCIO</t>
        </is>
      </c>
      <c r="J132" s="55" t="inlineStr">
        <is>
          <t>Calle 100</t>
        </is>
      </c>
      <c r="K132" s="55" t="inlineStr">
        <is>
          <t>TV4310354491</t>
        </is>
      </c>
      <c r="L132" s="63" t="n">
        <v>46113</v>
      </c>
      <c r="M132" s="63" t="n"/>
      <c r="N132" s="66" t="n">
        <v>12100</v>
      </c>
      <c r="O132" s="55" t="inlineStr">
        <is>
          <t>3911</t>
        </is>
      </c>
      <c r="P132" s="63" t="n">
        <v>46135</v>
      </c>
      <c r="Q132" s="55" t="n"/>
      <c r="R132" s="55" t="n"/>
      <c r="S132" s="63" t="n"/>
      <c r="T132" s="65" t="inlineStr">
        <is>
          <t>abril 2026</t>
        </is>
      </c>
    </row>
    <row r="133">
      <c r="A133" s="64" t="n">
        <v>130</v>
      </c>
      <c r="B133" s="55" t="inlineStr">
        <is>
          <t>CAMARA COMERCIO DE CALI</t>
        </is>
      </c>
      <c r="C133" s="55" t="n"/>
      <c r="D133" s="65" t="inlineStr">
        <is>
          <t>ADM</t>
        </is>
      </c>
      <c r="E133" s="65">
        <f>IF(OR(B133="",C133=""),"",IFERROR(VLOOKUP(B133&amp;"|||"&amp;C133,MAESTRA!$A$3:$J$500,6,0),"⚠ No encontrado"))</f>
        <v/>
      </c>
      <c r="F133" s="65">
        <f>IF(OR(B133="",C133=""),"",IFERROR(VLOOKUP(B133&amp;"|||"&amp;C133,MAESTRA!$A$3:$J$500,7,0),"⚠ No encontrado"))</f>
        <v/>
      </c>
      <c r="G133" s="65" t="inlineStr">
        <is>
          <t>Trámites notariales autenticaciones</t>
        </is>
      </c>
      <c r="H133" s="65">
        <f>IF(OR(B133="",C133=""),"",IFERROR(VLOOKUP(B133&amp;"|||"&amp;C133,MAESTRA!$A$3:$J$500,9,0),""))</f>
        <v/>
      </c>
      <c r="I133" s="55" t="inlineStr">
        <is>
          <t>NO PAGAR LEGALIZA DIANA GRACIA RENOVACION CAMARA COMERCIO CALI</t>
        </is>
      </c>
      <c r="J133" s="55" t="inlineStr">
        <is>
          <t>Cali</t>
        </is>
      </c>
      <c r="K133" s="55" t="inlineStr">
        <is>
          <t>21PP64158</t>
        </is>
      </c>
      <c r="L133" s="63" t="n">
        <v>46120</v>
      </c>
      <c r="M133" s="63" t="n"/>
      <c r="N133" s="66" t="n">
        <v>837600</v>
      </c>
      <c r="O133" s="55" t="inlineStr">
        <is>
          <t>5</t>
        </is>
      </c>
      <c r="P133" s="63" t="n">
        <v>46135</v>
      </c>
      <c r="Q133" s="55" t="n"/>
      <c r="R133" s="55" t="n"/>
      <c r="S133" s="63" t="n"/>
      <c r="T133" s="65" t="inlineStr">
        <is>
          <t>abril 2026</t>
        </is>
      </c>
    </row>
    <row r="134">
      <c r="A134" s="64" t="n">
        <v>131</v>
      </c>
      <c r="B134" s="55" t="inlineStr">
        <is>
          <t>SUPERMARKET LA COLOMBIANA SAS ZOMAC</t>
        </is>
      </c>
      <c r="C134" s="55" t="n"/>
      <c r="D134" s="65" t="inlineStr">
        <is>
          <t>ADM</t>
        </is>
      </c>
      <c r="E134" s="65">
        <f>IF(OR(B134="",C134=""),"",IFERROR(VLOOKUP(B134&amp;"|||"&amp;C134,MAESTRA!$A$3:$J$500,6,0),"⚠ No encontrado"))</f>
        <v/>
      </c>
      <c r="F134" s="65">
        <f>IF(OR(B134="",C134=""),"",IFERROR(VLOOKUP(B134&amp;"|||"&amp;C134,MAESTRA!$A$3:$J$500,7,0),"⚠ No encontrado"))</f>
        <v/>
      </c>
      <c r="G134" s="65" t="inlineStr">
        <is>
          <t>Material Copa/Cozinha</t>
        </is>
      </c>
      <c r="H134" s="65">
        <f>IF(OR(B134="",C134=""),"",IFERROR(VLOOKUP(B134&amp;"|||"&amp;C134,MAESTRA!$A$3:$J$500,9,0),""))</f>
        <v/>
      </c>
      <c r="I134" s="55" t="inlineStr">
        <is>
          <t>NO PAGAR LEGALIZA CAJA MENOR BUENAVENTURA COMPRA BOTELLON DE AGUA</t>
        </is>
      </c>
      <c r="J134" s="55" t="inlineStr">
        <is>
          <t>Buenaventura</t>
        </is>
      </c>
      <c r="K134" s="55" t="inlineStr">
        <is>
          <t>SMEF56919</t>
        </is>
      </c>
      <c r="L134" s="63" t="n">
        <v>46119</v>
      </c>
      <c r="M134" s="63" t="n"/>
      <c r="N134" s="66" t="n">
        <v>30000</v>
      </c>
      <c r="O134" s="55" t="inlineStr">
        <is>
          <t>138</t>
        </is>
      </c>
      <c r="P134" s="63" t="n">
        <v>46135</v>
      </c>
      <c r="Q134" s="55" t="n"/>
      <c r="R134" s="55" t="n"/>
      <c r="S134" s="63" t="n"/>
      <c r="T134" s="65" t="inlineStr">
        <is>
          <t>abril 2026</t>
        </is>
      </c>
    </row>
    <row r="135">
      <c r="A135" s="64" t="n">
        <v>132</v>
      </c>
      <c r="B135" s="55" t="inlineStr">
        <is>
          <t>CADENA COMERCIAL OXXO COLOMBIA S A S</t>
        </is>
      </c>
      <c r="C135" s="55" t="n"/>
      <c r="D135" s="65" t="inlineStr">
        <is>
          <t>GH</t>
        </is>
      </c>
      <c r="E135" s="65">
        <f>IF(OR(B135="",C135=""),"",IFERROR(VLOOKUP(B135&amp;"|||"&amp;C135,MAESTRA!$A$3:$J$500,6,0),"⚠ No encontrado"))</f>
        <v/>
      </c>
      <c r="F135" s="65">
        <f>IF(OR(B135="",C135=""),"",IFERROR(VLOOKUP(B135&amp;"|||"&amp;C135,MAESTRA!$A$3:$J$500,7,0),"⚠ No encontrado"))</f>
        <v/>
      </c>
      <c r="G135" s="65" t="inlineStr">
        <is>
          <t>Plan estratégico en enero 2025</t>
        </is>
      </c>
      <c r="H135" s="65">
        <f>IF(OR(B135="",C135=""),"",IFERROR(VLOOKUP(B135&amp;"|||"&amp;C135,MAESTRA!$A$3:$J$500,9,0),""))</f>
        <v/>
      </c>
      <c r="I135" s="55" t="inlineStr">
        <is>
          <t>NO PAGAR LEGALIZA GINNA CASTRO TARJETA PEOPLE PASS COMPRA DESAYUNO REUNION COMERCIAL</t>
        </is>
      </c>
      <c r="J135" s="55" t="inlineStr">
        <is>
          <t>Calle 100</t>
        </is>
      </c>
      <c r="K135" s="55" t="inlineStr">
        <is>
          <t>234C240207</t>
        </is>
      </c>
      <c r="L135" s="63" t="n">
        <v>46132</v>
      </c>
      <c r="M135" s="63" t="n"/>
      <c r="N135" s="66" t="n">
        <v>38800</v>
      </c>
      <c r="O135" s="55" t="inlineStr">
        <is>
          <t>3918</t>
        </is>
      </c>
      <c r="P135" s="63" t="n">
        <v>46135</v>
      </c>
      <c r="Q135" s="55" t="n"/>
      <c r="R135" s="55" t="inlineStr">
        <is>
          <t>APROBACIÓN GERENCIA DE PERSONAS Y ADMÓN</t>
        </is>
      </c>
      <c r="S135" s="63" t="n"/>
      <c r="T135" s="65" t="inlineStr">
        <is>
          <t>abril 2026</t>
        </is>
      </c>
    </row>
    <row r="136">
      <c r="A136" s="64" t="n">
        <v>133</v>
      </c>
      <c r="B136" s="55" t="inlineStr">
        <is>
          <t>CONTINENTE S.A.S</t>
        </is>
      </c>
      <c r="C136" s="55" t="n"/>
      <c r="D136" s="65" t="inlineStr">
        <is>
          <t>GH</t>
        </is>
      </c>
      <c r="E136" s="65">
        <f>IF(OR(B136="",C136=""),"",IFERROR(VLOOKUP(B136&amp;"|||"&amp;C136,MAESTRA!$A$3:$J$500,6,0),"⚠ No encontrado"))</f>
        <v/>
      </c>
      <c r="F136" s="65">
        <f>IF(OR(B136="",C136=""),"",IFERROR(VLOOKUP(B136&amp;"|||"&amp;C136,MAESTRA!$A$3:$J$500,7,0),"⚠ No encontrado"))</f>
        <v/>
      </c>
      <c r="G136" s="65" t="inlineStr">
        <is>
          <t>Baby shower</t>
        </is>
      </c>
      <c r="H136" s="65">
        <f>IF(OR(B136="",C136=""),"",IFERROR(VLOOKUP(B136&amp;"|||"&amp;C136,MAESTRA!$A$3:$J$500,9,0),""))</f>
        <v/>
      </c>
      <c r="I136" s="55" t="inlineStr">
        <is>
          <t>NO PAGAR LEG TC 9994 COMPRA SILLA PARA BEBE SHOWER SANDRA PAOLA PULECIO</t>
        </is>
      </c>
      <c r="J136" s="55" t="inlineStr">
        <is>
          <t>Transversal</t>
        </is>
      </c>
      <c r="K136" s="55" t="inlineStr">
        <is>
          <t>PGV131498</t>
        </is>
      </c>
      <c r="L136" s="63" t="n">
        <v>46077</v>
      </c>
      <c r="M136" s="63" t="n"/>
      <c r="N136" s="66" t="n">
        <v>307188</v>
      </c>
      <c r="O136" s="55" t="inlineStr">
        <is>
          <t>3949</t>
        </is>
      </c>
      <c r="P136" s="63" t="n">
        <v>46135</v>
      </c>
      <c r="Q136" s="55" t="n"/>
      <c r="R136" s="55" t="n"/>
      <c r="S136" s="63" t="n"/>
      <c r="T136" s="65" t="inlineStr">
        <is>
          <t>febrero 2026</t>
        </is>
      </c>
    </row>
    <row r="137">
      <c r="A137" s="64" t="n">
        <v>134</v>
      </c>
      <c r="B137" s="55" t="inlineStr">
        <is>
          <t>D1 S A S</t>
        </is>
      </c>
      <c r="C137" s="55" t="n"/>
      <c r="D137" s="65" t="inlineStr">
        <is>
          <t>GH</t>
        </is>
      </c>
      <c r="E137" s="65">
        <f>IF(OR(B137="",C137=""),"",IFERROR(VLOOKUP(B137&amp;"|||"&amp;C137,MAESTRA!$A$3:$J$500,6,0),"⚠ No encontrado"))</f>
        <v/>
      </c>
      <c r="F137" s="65">
        <f>IF(OR(B137="",C137=""),"",IFERROR(VLOOKUP(B137&amp;"|||"&amp;C137,MAESTRA!$A$3:$J$500,7,0),"⚠ No encontrado"))</f>
        <v/>
      </c>
      <c r="G137" s="65" t="inlineStr">
        <is>
          <t>Fundación Techo para mi país</t>
        </is>
      </c>
      <c r="H137" s="65">
        <f>IF(OR(B137="",C137=""),"",IFERROR(VLOOKUP(B137&amp;"|||"&amp;C137,MAESTRA!$A$3:$J$500,9,0),""))</f>
        <v/>
      </c>
      <c r="I137" s="55" t="inlineStr">
        <is>
          <t>NO PAGAR LEG TC 9994 DONACIÓN CORDOBA COMPRA MERCADO</t>
        </is>
      </c>
      <c r="J137" s="55" t="inlineStr">
        <is>
          <t>Transversal</t>
        </is>
      </c>
      <c r="K137" s="55" t="inlineStr">
        <is>
          <t>K1P618891</t>
        </is>
      </c>
      <c r="L137" s="63" t="n">
        <v>46084</v>
      </c>
      <c r="M137" s="63" t="n"/>
      <c r="N137" s="66" t="n">
        <v>998810</v>
      </c>
      <c r="O137" s="55" t="inlineStr">
        <is>
          <t>3950</t>
        </is>
      </c>
      <c r="P137" s="63" t="n">
        <v>46135</v>
      </c>
      <c r="Q137" s="55" t="n"/>
      <c r="R137" s="55" t="n"/>
      <c r="S137" s="63" t="n"/>
      <c r="T137" s="65" t="inlineStr">
        <is>
          <t>marzo 2026</t>
        </is>
      </c>
    </row>
    <row r="138">
      <c r="A138" s="64" t="n">
        <v>135</v>
      </c>
      <c r="B138" s="55" t="inlineStr">
        <is>
          <t>BAGATELLE S.A.S.</t>
        </is>
      </c>
      <c r="C138" s="55" t="n"/>
      <c r="D138" s="65" t="inlineStr">
        <is>
          <t>ADM</t>
        </is>
      </c>
      <c r="E138" s="65">
        <f>IF(OR(B138="",C138=""),"",IFERROR(VLOOKUP(B138&amp;"|||"&amp;C138,MAESTRA!$A$3:$J$500,6,0),"⚠ No encontrado"))</f>
        <v/>
      </c>
      <c r="F138" s="65">
        <f>IF(OR(B138="",C138=""),"",IFERROR(VLOOKUP(B138&amp;"|||"&amp;C138,MAESTRA!$A$3:$J$500,7,0),"⚠ No encontrado"))</f>
        <v/>
      </c>
      <c r="G138" s="65" t="inlineStr">
        <is>
          <t>Gastos De Representacion</t>
        </is>
      </c>
      <c r="H138" s="65">
        <f>IF(OR(B138="",C138=""),"",IFERROR(VLOOKUP(B138&amp;"|||"&amp;C138,MAESTRA!$A$3:$J$500,9,0),""))</f>
        <v/>
      </c>
      <c r="I138" s="55" t="inlineStr">
        <is>
          <t>NO PAGAR DESCONTAR DE DEUDA AACR DESAYUNO CLIENTE SCHRYVER CON AACR</t>
        </is>
      </c>
      <c r="J138" s="55" t="inlineStr">
        <is>
          <t>Calle 100</t>
        </is>
      </c>
      <c r="K138" s="55" t="inlineStr">
        <is>
          <t>B2200795</t>
        </is>
      </c>
      <c r="L138" s="63" t="n">
        <v>46055</v>
      </c>
      <c r="M138" s="63" t="n"/>
      <c r="N138" s="66" t="n">
        <v>411390</v>
      </c>
      <c r="O138" s="55" t="inlineStr">
        <is>
          <t>3952</t>
        </is>
      </c>
      <c r="P138" s="63" t="n">
        <v>46135</v>
      </c>
      <c r="Q138" s="55" t="n"/>
      <c r="R138" s="55" t="n"/>
      <c r="S138" s="63" t="n"/>
      <c r="T138" s="65" t="inlineStr">
        <is>
          <t>febrero 2026</t>
        </is>
      </c>
    </row>
    <row r="139">
      <c r="A139" s="64" t="n">
        <v>136</v>
      </c>
      <c r="B139" s="55" t="inlineStr">
        <is>
          <t>CREPES Y WAFFLES S A</t>
        </is>
      </c>
      <c r="C139" s="55" t="n"/>
      <c r="D139" s="65" t="inlineStr">
        <is>
          <t>ADM</t>
        </is>
      </c>
      <c r="E139" s="65">
        <f>IF(OR(B139="",C139=""),"",IFERROR(VLOOKUP(B139&amp;"|||"&amp;C139,MAESTRA!$A$3:$J$500,6,0),"⚠ No encontrado"))</f>
        <v/>
      </c>
      <c r="F139" s="65">
        <f>IF(OR(B139="",C139=""),"",IFERROR(VLOOKUP(B139&amp;"|||"&amp;C139,MAESTRA!$A$3:$J$500,7,0),"⚠ No encontrado"))</f>
        <v/>
      </c>
      <c r="G139" s="65" t="inlineStr">
        <is>
          <t>Gastos De Representacion</t>
        </is>
      </c>
      <c r="H139" s="65">
        <f>IF(OR(B139="",C139=""),"",IFERROR(VLOOKUP(B139&amp;"|||"&amp;C139,MAESTRA!$A$3:$J$500,9,0),""))</f>
        <v/>
      </c>
      <c r="I139" s="55" t="inlineStr">
        <is>
          <t>NO PAGAR DESCONTAR DE DEUDA AACR DESAYUNO CLIENTE AMASS CON AACR</t>
        </is>
      </c>
      <c r="J139" s="55" t="inlineStr">
        <is>
          <t>Calle 100</t>
        </is>
      </c>
      <c r="K139" s="55" t="inlineStr">
        <is>
          <t>R06E469260</t>
        </is>
      </c>
      <c r="L139" s="63" t="n">
        <v>46064</v>
      </c>
      <c r="M139" s="63" t="n"/>
      <c r="N139" s="66" t="n">
        <v>128500</v>
      </c>
      <c r="O139" s="55" t="inlineStr">
        <is>
          <t>3967</t>
        </is>
      </c>
      <c r="P139" s="63" t="n">
        <v>46135</v>
      </c>
      <c r="Q139" s="55" t="n"/>
      <c r="R139" s="55" t="n"/>
      <c r="S139" s="63" t="n"/>
      <c r="T139" s="65" t="inlineStr">
        <is>
          <t>febrero 2026</t>
        </is>
      </c>
    </row>
    <row r="140">
      <c r="A140" s="64" t="n">
        <v>137</v>
      </c>
      <c r="B140" s="55" t="inlineStr">
        <is>
          <t>DOCE ROSARIO QUINCE SAS</t>
        </is>
      </c>
      <c r="C140" s="55" t="n"/>
      <c r="D140" s="65" t="inlineStr">
        <is>
          <t>GH</t>
        </is>
      </c>
      <c r="E140" s="65">
        <f>IF(OR(B140="",C140=""),"",IFERROR(VLOOKUP(B140&amp;"|||"&amp;C140,MAESTRA!$A$3:$J$500,6,0),"⚠ No encontrado"))</f>
        <v/>
      </c>
      <c r="F140" s="65">
        <f>IF(OR(B140="",C140=""),"",IFERROR(VLOOKUP(B140&amp;"|||"&amp;C140,MAESTRA!$A$3:$J$500,7,0),"⚠ No encontrado"))</f>
        <v/>
      </c>
      <c r="G140" s="65" t="inlineStr">
        <is>
          <t>Detalles en momentos especificos (Matrimonio, grados, fallecimientos)</t>
        </is>
      </c>
      <c r="H140" s="65">
        <f>IF(OR(B140="",C140=""),"",IFERROR(VLOOKUP(B140&amp;"|||"&amp;C140,MAESTRA!$A$3:$J$500,9,0),""))</f>
        <v/>
      </c>
      <c r="I140" s="55" t="inlineStr">
        <is>
          <t>NO PAGAR LEG TC 0028 DESAYUNO DESPEDIDA ELIZABETH MORA</t>
        </is>
      </c>
      <c r="J140" s="55" t="inlineStr">
        <is>
          <t>Calle 100</t>
        </is>
      </c>
      <c r="K140" s="55" t="inlineStr">
        <is>
          <t>FEM50296</t>
        </is>
      </c>
      <c r="L140" s="63" t="n">
        <v>46098</v>
      </c>
      <c r="M140" s="63" t="n"/>
      <c r="N140" s="66" t="n">
        <v>542741</v>
      </c>
      <c r="O140" s="55" t="inlineStr">
        <is>
          <t>3978</t>
        </is>
      </c>
      <c r="P140" s="63" t="n">
        <v>46135</v>
      </c>
      <c r="Q140" s="55" t="n"/>
      <c r="R140" s="55" t="n"/>
      <c r="S140" s="63" t="n"/>
      <c r="T140" s="65" t="inlineStr">
        <is>
          <t>marzo 2026</t>
        </is>
      </c>
    </row>
    <row r="141">
      <c r="A141" s="64" t="n">
        <v>138</v>
      </c>
      <c r="B141" s="55" t="inlineStr">
        <is>
          <t>CASALIMPIA SA</t>
        </is>
      </c>
      <c r="C141" s="55" t="n"/>
      <c r="D141" s="65" t="inlineStr">
        <is>
          <t>ADM</t>
        </is>
      </c>
      <c r="E141" s="65">
        <f>IF(OR(B141="",C141=""),"",IFERROR(VLOOKUP(B141&amp;"|||"&amp;C141,MAESTRA!$A$3:$J$500,6,0),"⚠ No encontrado"))</f>
        <v/>
      </c>
      <c r="F141" s="65">
        <f>IF(OR(B141="",C141=""),"",IFERROR(VLOOKUP(B141&amp;"|||"&amp;C141,MAESTRA!$A$3:$J$500,7,0),"⚠ No encontrado"))</f>
        <v/>
      </c>
      <c r="G141" s="65" t="inlineStr">
        <is>
          <t>Otros Gastos CASA LIMPIA PLANILLA AC OTROS</t>
        </is>
      </c>
      <c r="H141" s="65">
        <f>IF(OR(B141="",C141=""),"",IFERROR(VLOOKUP(B141&amp;"|||"&amp;C141,MAESTRA!$A$3:$J$500,9,0),""))</f>
        <v/>
      </c>
      <c r="I141" s="55" t="inlineStr">
        <is>
          <t>NO PAGAR LEGALIZA TC 9994 COMPRA ASEO OFICINA CRAFT AEROPUERTO</t>
        </is>
      </c>
      <c r="J141" s="55" t="inlineStr">
        <is>
          <t>Aeropuerto</t>
        </is>
      </c>
      <c r="K141" s="55" t="inlineStr">
        <is>
          <t>AP232918</t>
        </is>
      </c>
      <c r="L141" s="63" t="n">
        <v>46140</v>
      </c>
      <c r="M141" s="63" t="n"/>
      <c r="N141" s="66" t="n">
        <v>2149751</v>
      </c>
      <c r="O141" s="55" t="inlineStr">
        <is>
          <t>5</t>
        </is>
      </c>
      <c r="P141" s="63" t="n">
        <v>46149</v>
      </c>
      <c r="Q141" s="55" t="n"/>
      <c r="R141" s="55" t="n"/>
      <c r="S141" s="63" t="n"/>
      <c r="T141" s="65" t="inlineStr">
        <is>
          <t>abril 2026</t>
        </is>
      </c>
    </row>
    <row r="142">
      <c r="A142" s="64" t="n">
        <v>139</v>
      </c>
      <c r="B142" s="55" t="inlineStr">
        <is>
          <t>CASALIMPIA SA</t>
        </is>
      </c>
      <c r="C142" s="55" t="n"/>
      <c r="D142" s="65" t="inlineStr">
        <is>
          <t>ADM</t>
        </is>
      </c>
      <c r="E142" s="65">
        <f>IF(OR(B142="",C142=""),"",IFERROR(VLOOKUP(B142&amp;"|||"&amp;C142,MAESTRA!$A$3:$J$500,6,0),"⚠ No encontrado"))</f>
        <v/>
      </c>
      <c r="F142" s="65">
        <f>IF(OR(B142="",C142=""),"",IFERROR(VLOOKUP(B142&amp;"|||"&amp;C142,MAESTRA!$A$3:$J$500,7,0),"⚠ No encontrado"))</f>
        <v/>
      </c>
      <c r="G142" s="65" t="inlineStr">
        <is>
          <t>Otros Gastos CASA LIMPIA PLANILLA AC OTROS</t>
        </is>
      </c>
      <c r="H142" s="65">
        <f>IF(OR(B142="",C142=""),"",IFERROR(VLOOKUP(B142&amp;"|||"&amp;C142,MAESTRA!$A$3:$J$500,9,0),""))</f>
        <v/>
      </c>
      <c r="I142" s="55" t="inlineStr">
        <is>
          <t>NO PAGAR LEGALIZA TC 9994 COMPRA ASEO OFICINA CRAFT BOGOTA REEMPLAZO VACACIONES MARIA</t>
        </is>
      </c>
      <c r="J142" s="55" t="inlineStr">
        <is>
          <t>Calle 100</t>
        </is>
      </c>
      <c r="K142" s="55" t="inlineStr">
        <is>
          <t>AP233067</t>
        </is>
      </c>
      <c r="L142" s="63" t="n">
        <v>46140</v>
      </c>
      <c r="M142" s="63" t="n"/>
      <c r="N142" s="66" t="n">
        <v>753029</v>
      </c>
      <c r="O142" s="55" t="inlineStr">
        <is>
          <t>6622</t>
        </is>
      </c>
      <c r="P142" s="63" t="n">
        <v>46149</v>
      </c>
      <c r="Q142" s="55" t="n"/>
      <c r="R142" s="55" t="n"/>
      <c r="S142" s="63" t="n"/>
      <c r="T142" s="65" t="inlineStr">
        <is>
          <t>abril 2026</t>
        </is>
      </c>
    </row>
    <row r="143">
      <c r="A143" s="64" t="n">
        <v>140</v>
      </c>
      <c r="B143" s="55" t="inlineStr">
        <is>
          <t>CADENA COMERCIAL OXXO COLOMBIA S A S</t>
        </is>
      </c>
      <c r="C143" s="55" t="n"/>
      <c r="D143" s="65" t="inlineStr">
        <is>
          <t>ADM</t>
        </is>
      </c>
      <c r="E143" s="65">
        <f>IF(OR(B143="",C143=""),"",IFERROR(VLOOKUP(B143&amp;"|||"&amp;C143,MAESTRA!$A$3:$J$500,6,0),"⚠ No encontrado"))</f>
        <v/>
      </c>
      <c r="F143" s="65">
        <f>IF(OR(B143="",C143=""),"",IFERROR(VLOOKUP(B143&amp;"|||"&amp;C143,MAESTRA!$A$3:$J$500,7,0),"⚠ No encontrado"))</f>
        <v/>
      </c>
      <c r="G143" s="65" t="inlineStr">
        <is>
          <t>Reuniones gerenciales CEM (Comida)</t>
        </is>
      </c>
      <c r="H143" s="65">
        <f>IF(OR(B143="",C143=""),"",IFERROR(VLOOKUP(B143&amp;"|||"&amp;C143,MAESTRA!$A$3:$J$500,9,0),""))</f>
        <v/>
      </c>
      <c r="I143" s="55" t="inlineStr">
        <is>
          <t>NO PAGAR LEGALIZA CAJA MENOR BOGOTA COMPRA QUESO DESAYUNO CEM</t>
        </is>
      </c>
      <c r="J143" s="55" t="inlineStr">
        <is>
          <t>Calle 100</t>
        </is>
      </c>
      <c r="K143" s="55" t="inlineStr">
        <is>
          <t>234C244324</t>
        </is>
      </c>
      <c r="L143" s="63" t="n">
        <v>46142</v>
      </c>
      <c r="M143" s="63" t="n"/>
      <c r="N143" s="66" t="n">
        <v>32300</v>
      </c>
      <c r="O143" s="55" t="inlineStr">
        <is>
          <t>6624</t>
        </is>
      </c>
      <c r="P143" s="63" t="n">
        <v>46149</v>
      </c>
      <c r="Q143" s="55" t="n"/>
      <c r="R143" s="55" t="inlineStr">
        <is>
          <t>APROBACIÓN GERENCIA DE PERSONAS Y ADMÓN</t>
        </is>
      </c>
      <c r="S143" s="63" t="n"/>
      <c r="T143" s="65" t="inlineStr">
        <is>
          <t>abril 2026</t>
        </is>
      </c>
    </row>
    <row r="144">
      <c r="A144" s="64" t="n">
        <v>141</v>
      </c>
      <c r="B144" s="55" t="inlineStr">
        <is>
          <t>CASALIMPIA SA</t>
        </is>
      </c>
      <c r="C144" s="55" t="n"/>
      <c r="D144" s="65" t="inlineStr">
        <is>
          <t>ADM</t>
        </is>
      </c>
      <c r="E144" s="65">
        <f>IF(OR(B144="",C144=""),"",IFERROR(VLOOKUP(B144&amp;"|||"&amp;C144,MAESTRA!$A$3:$J$500,6,0),"⚠ No encontrado"))</f>
        <v/>
      </c>
      <c r="F144" s="65">
        <f>IF(OR(B144="",C144=""),"",IFERROR(VLOOKUP(B144&amp;"|||"&amp;C144,MAESTRA!$A$3:$J$500,7,0),"⚠ No encontrado"))</f>
        <v/>
      </c>
      <c r="G144" s="65" t="inlineStr">
        <is>
          <t>Otros Gastos CASA LIMPIA PLANILLA AC OTROS</t>
        </is>
      </c>
      <c r="H144" s="65">
        <f>IF(OR(B144="",C144=""),"",IFERROR(VLOOKUP(B144&amp;"|||"&amp;C144,MAESTRA!$A$3:$J$500,9,0),""))</f>
        <v/>
      </c>
      <c r="I144" s="55" t="inlineStr">
        <is>
          <t>NO PAGAR LEGALIZA TC 9994 SERVICIO SEO OFICINA CRFT BARRNQUILLA</t>
        </is>
      </c>
      <c r="J144" s="55" t="inlineStr">
        <is>
          <t>Barranquilla</t>
        </is>
      </c>
      <c r="K144" s="55" t="inlineStr">
        <is>
          <t>AP232927</t>
        </is>
      </c>
      <c r="L144" s="63" t="n">
        <v>46140</v>
      </c>
      <c r="M144" s="63" t="n"/>
      <c r="N144" s="66" t="n">
        <v>491760</v>
      </c>
      <c r="O144" s="55" t="inlineStr">
        <is>
          <t>6</t>
        </is>
      </c>
      <c r="P144" s="63" t="n">
        <v>46149</v>
      </c>
      <c r="Q144" s="55" t="n"/>
      <c r="R144" s="55" t="n"/>
      <c r="S144" s="63" t="n"/>
      <c r="T144" s="65" t="inlineStr">
        <is>
          <t>abril 2026</t>
        </is>
      </c>
    </row>
    <row r="145">
      <c r="A145" s="64" t="n">
        <v>142</v>
      </c>
      <c r="B145" s="55" t="inlineStr">
        <is>
          <t>CASALIMPIA SA</t>
        </is>
      </c>
      <c r="C145" s="55" t="n"/>
      <c r="D145" s="65" t="inlineStr">
        <is>
          <t>ADM</t>
        </is>
      </c>
      <c r="E145" s="65">
        <f>IF(OR(B145="",C145=""),"",IFERROR(VLOOKUP(B145&amp;"|||"&amp;C145,MAESTRA!$A$3:$J$500,6,0),"⚠ No encontrado"))</f>
        <v/>
      </c>
      <c r="F145" s="65">
        <f>IF(OR(B145="",C145=""),"",IFERROR(VLOOKUP(B145&amp;"|||"&amp;C145,MAESTRA!$A$3:$J$500,7,0),"⚠ No encontrado"))</f>
        <v/>
      </c>
      <c r="G145" s="65" t="inlineStr">
        <is>
          <t>Otros Gastos CASA LIMPIA PLANILLA AC OTROS</t>
        </is>
      </c>
      <c r="H145" s="65">
        <f>IF(OR(B145="",C145=""),"",IFERROR(VLOOKUP(B145&amp;"|||"&amp;C145,MAESTRA!$A$3:$J$500,9,0),""))</f>
        <v/>
      </c>
      <c r="I145" s="55" t="inlineStr">
        <is>
          <t>NO PAGAR LEGALIZA TC 9994 SERVICIO SEO OFICINA CRAFT CALI</t>
        </is>
      </c>
      <c r="J145" s="55" t="inlineStr">
        <is>
          <t>Cali</t>
        </is>
      </c>
      <c r="K145" s="55" t="inlineStr">
        <is>
          <t>AP232921</t>
        </is>
      </c>
      <c r="L145" s="63" t="n">
        <v>46150</v>
      </c>
      <c r="M145" s="63" t="n"/>
      <c r="N145" s="66" t="n">
        <v>614699</v>
      </c>
      <c r="O145" s="55" t="inlineStr">
        <is>
          <t>8</t>
        </is>
      </c>
      <c r="P145" s="63" t="n">
        <v>46150</v>
      </c>
      <c r="Q145" s="55" t="n"/>
      <c r="R145" s="55" t="n"/>
      <c r="S145" s="63" t="n"/>
      <c r="T145" s="65" t="inlineStr">
        <is>
          <t>mayo 2026</t>
        </is>
      </c>
    </row>
    <row r="146">
      <c r="A146" s="64" t="n">
        <v>143</v>
      </c>
      <c r="B146" s="55" t="inlineStr">
        <is>
          <t>CADENA COMERCIAL OXXO COLOMBIA S A S</t>
        </is>
      </c>
      <c r="C146" s="55" t="n"/>
      <c r="D146" s="65" t="inlineStr">
        <is>
          <t>ADM</t>
        </is>
      </c>
      <c r="E146" s="65">
        <f>IF(OR(B146="",C146=""),"",IFERROR(VLOOKUP(B146&amp;"|||"&amp;C146,MAESTRA!$A$3:$J$500,6,0),"⚠ No encontrado"))</f>
        <v/>
      </c>
      <c r="F146" s="65">
        <f>IF(OR(B146="",C146=""),"",IFERROR(VLOOKUP(B146&amp;"|||"&amp;C146,MAESTRA!$A$3:$J$500,7,0),"⚠ No encontrado"))</f>
        <v/>
      </c>
      <c r="G146" s="65" t="inlineStr">
        <is>
          <t>Reuniones gerenciales CEM (Comida)</t>
        </is>
      </c>
      <c r="H146" s="65">
        <f>IF(OR(B146="",C146=""),"",IFERROR(VLOOKUP(B146&amp;"|||"&amp;C146,MAESTRA!$A$3:$J$500,9,0),""))</f>
        <v/>
      </c>
      <c r="I146" s="55" t="inlineStr">
        <is>
          <t xml:space="preserve">NO PAGAR LEGALIZA CAJA MENOR BOGOTA COMPRA GASEOSA CEM </t>
        </is>
      </c>
      <c r="J146" s="55" t="inlineStr">
        <is>
          <t>Calle 100</t>
        </is>
      </c>
      <c r="K146" s="55" t="inlineStr">
        <is>
          <t>234C244410</t>
        </is>
      </c>
      <c r="L146" s="63" t="n">
        <v>46142</v>
      </c>
      <c r="M146" s="63" t="n"/>
      <c r="N146" s="66" t="n">
        <v>31100</v>
      </c>
      <c r="O146" s="55" t="inlineStr">
        <is>
          <t>6721</t>
        </is>
      </c>
      <c r="P146" s="63" t="n">
        <v>46150</v>
      </c>
      <c r="Q146" s="55" t="n"/>
      <c r="R146" s="55" t="n"/>
      <c r="S146" s="63" t="n"/>
      <c r="T146" s="65" t="inlineStr">
        <is>
          <t>abril 2026</t>
        </is>
      </c>
    </row>
    <row r="147">
      <c r="A147" s="64" t="n">
        <v>144</v>
      </c>
      <c r="B147" s="55" t="inlineStr">
        <is>
          <t>CADENA COMERCIAL OXXO COLOMBIA S A S</t>
        </is>
      </c>
      <c r="C147" s="55" t="n"/>
      <c r="D147" s="65" t="inlineStr">
        <is>
          <t>ADM</t>
        </is>
      </c>
      <c r="E147" s="65">
        <f>IF(OR(B147="",C147=""),"",IFERROR(VLOOKUP(B147&amp;"|||"&amp;C147,MAESTRA!$A$3:$J$500,6,0),"⚠ No encontrado"))</f>
        <v/>
      </c>
      <c r="F147" s="65">
        <f>IF(OR(B147="",C147=""),"",IFERROR(VLOOKUP(B147&amp;"|||"&amp;C147,MAESTRA!$A$3:$J$500,7,0),"⚠ No encontrado"))</f>
        <v/>
      </c>
      <c r="G147" s="65">
        <f>IF(OR(B147="",C147=""),"",IFERROR(VLOOKUP(B147&amp;"|||"&amp;C147,MAESTRA!$A$3:$J$500,8,0),"⚠ No encontrado"))</f>
        <v/>
      </c>
      <c r="H147" s="65">
        <f>IF(OR(B147="",C147=""),"",IFERROR(VLOOKUP(B147&amp;"|||"&amp;C147,MAESTRA!$A$3:$J$500,9,0),""))</f>
        <v/>
      </c>
      <c r="I147" s="55" t="inlineStr">
        <is>
          <t>NO PAGAR LEGALIZA CAJA MENOR BOGOTA COMPRA GALLETAS ATENCION CLIENTE AACR</t>
        </is>
      </c>
      <c r="J147" s="55" t="inlineStr">
        <is>
          <t>Calle 100</t>
        </is>
      </c>
      <c r="K147" s="55" t="inlineStr">
        <is>
          <t>334C289568</t>
        </is>
      </c>
      <c r="L147" s="63" t="n">
        <v>46142</v>
      </c>
      <c r="M147" s="63" t="n"/>
      <c r="N147" s="66" t="n">
        <v>11000</v>
      </c>
      <c r="O147" s="55" t="inlineStr">
        <is>
          <t>6722</t>
        </is>
      </c>
      <c r="P147" s="63" t="n">
        <v>46150</v>
      </c>
      <c r="Q147" s="55" t="n"/>
      <c r="R147" s="55" t="n"/>
      <c r="S147" s="63" t="n"/>
      <c r="T147" s="65" t="inlineStr">
        <is>
          <t>abril 2026</t>
        </is>
      </c>
    </row>
    <row r="148">
      <c r="A148" s="64" t="n">
        <v>145</v>
      </c>
      <c r="B148" s="55" t="inlineStr">
        <is>
          <t>CREPES Y WAFFLES</t>
        </is>
      </c>
      <c r="C148" s="55" t="n"/>
      <c r="D148" s="65">
        <f>IF(OR(B148="",C148=""),"",IFERROR(VLOOKUP(B148&amp;"|||"&amp;C148,MAESTRA!$A$3:$J$500,5,0),"⚠ No encontrado"))</f>
        <v/>
      </c>
      <c r="E148" s="65">
        <f>IF(OR(B148="",C148=""),"",IFERROR(VLOOKUP(B148&amp;"|||"&amp;C148,MAESTRA!$A$3:$J$500,6,0),"⚠ No encontrado"))</f>
        <v/>
      </c>
      <c r="F148" s="65">
        <f>IF(OR(B148="",C148=""),"",IFERROR(VLOOKUP(B148&amp;"|||"&amp;C148,MAESTRA!$A$3:$J$500,7,0),"⚠ No encontrado"))</f>
        <v/>
      </c>
      <c r="G148" s="65">
        <f>IF(OR(B148="",C148=""),"",IFERROR(VLOOKUP(B148&amp;"|||"&amp;C148,MAESTRA!$A$3:$J$500,8,0),"⚠ No encontrado"))</f>
        <v/>
      </c>
      <c r="H148" s="65">
        <f>IF(OR(B148="",C148=""),"",IFERROR(VLOOKUP(B148&amp;"|||"&amp;C148,MAESTRA!$A$3:$J$500,9,0),""))</f>
        <v/>
      </c>
      <c r="I148" s="55" t="inlineStr">
        <is>
          <t>NO PAGAR LEGALIZA CAJA MENOR CALI ALMUERZO CLIENTE C3 CON DIANA GRACIA</t>
        </is>
      </c>
      <c r="J148" s="55" t="inlineStr">
        <is>
          <t>Cali</t>
        </is>
      </c>
      <c r="K148" s="55" t="inlineStr">
        <is>
          <t>R06R394806</t>
        </is>
      </c>
      <c r="L148" s="63" t="n">
        <v>46122</v>
      </c>
      <c r="M148" s="63" t="n"/>
      <c r="N148" s="66" t="n">
        <v>115900</v>
      </c>
      <c r="O148" s="55" t="inlineStr">
        <is>
          <t>6</t>
        </is>
      </c>
      <c r="P148" s="63" t="n">
        <v>46150</v>
      </c>
      <c r="Q148" s="55" t="n"/>
      <c r="R148" s="55" t="n"/>
      <c r="S148" s="63" t="n"/>
      <c r="T148" s="65" t="inlineStr">
        <is>
          <t>abril 2026</t>
        </is>
      </c>
    </row>
    <row r="149">
      <c r="A149" s="64" t="n">
        <v>146</v>
      </c>
      <c r="B149" s="55" t="inlineStr">
        <is>
          <t>DOS GARDENIAS PARA TI SAS</t>
        </is>
      </c>
      <c r="C149" s="55" t="n"/>
      <c r="D149" s="65">
        <f>IF(OR(B149="",C149=""),"",IFERROR(VLOOKUP(B149&amp;"|||"&amp;C149,MAESTRA!$A$3:$J$500,5,0),"⚠ No encontrado"))</f>
        <v/>
      </c>
      <c r="E149" s="65">
        <f>IF(OR(B149="",C149=""),"",IFERROR(VLOOKUP(B149&amp;"|||"&amp;C149,MAESTRA!$A$3:$J$500,6,0),"⚠ No encontrado"))</f>
        <v/>
      </c>
      <c r="F149" s="65">
        <f>IF(OR(B149="",C149=""),"",IFERROR(VLOOKUP(B149&amp;"|||"&amp;C149,MAESTRA!$A$3:$J$500,7,0),"⚠ No encontrado"))</f>
        <v/>
      </c>
      <c r="G149" s="65">
        <f>IF(OR(B149="",C149=""),"",IFERROR(VLOOKUP(B149&amp;"|||"&amp;C149,MAESTRA!$A$3:$J$500,8,0),"⚠ No encontrado"))</f>
        <v/>
      </c>
      <c r="H149" s="65">
        <f>IF(OR(B149="",C149=""),"",IFERROR(VLOOKUP(B149&amp;"|||"&amp;C149,MAESTRA!$A$3:$J$500,9,0),""))</f>
        <v/>
      </c>
      <c r="I149" s="55" t="inlineStr">
        <is>
          <t>NO PAGAR LEGALIZA CAJA MENOR CALI DESAYUNO  CLIENTE ALA CON DIANA GRACIA</t>
        </is>
      </c>
      <c r="J149" s="55" t="inlineStr">
        <is>
          <t>Cali</t>
        </is>
      </c>
      <c r="K149" s="55" t="inlineStr">
        <is>
          <t>FE43804</t>
        </is>
      </c>
      <c r="L149" s="63" t="n">
        <v>46128</v>
      </c>
      <c r="M149" s="63" t="n"/>
      <c r="N149" s="66" t="n">
        <v>112200</v>
      </c>
      <c r="O149" s="55" t="inlineStr">
        <is>
          <t>7</t>
        </is>
      </c>
      <c r="P149" s="63" t="n">
        <v>46150</v>
      </c>
      <c r="Q149" s="55" t="n"/>
      <c r="R149" s="55" t="n"/>
      <c r="S149" s="63" t="n"/>
      <c r="T149" s="65" t="inlineStr">
        <is>
          <t>abril 2026</t>
        </is>
      </c>
    </row>
    <row r="150">
      <c r="A150" s="64" t="n">
        <v>147</v>
      </c>
      <c r="B150" s="55" t="inlineStr">
        <is>
          <t>SUPERMARKET LA COLOMBIANA SAS ZOMAC</t>
        </is>
      </c>
      <c r="C150" s="55" t="n"/>
      <c r="D150" s="65">
        <f>IF(OR(B150="",C150=""),"",IFERROR(VLOOKUP(B150&amp;"|||"&amp;C150,MAESTRA!$A$3:$J$500,5,0),"⚠ No encontrado"))</f>
        <v/>
      </c>
      <c r="E150" s="65">
        <f>IF(OR(B150="",C150=""),"",IFERROR(VLOOKUP(B150&amp;"|||"&amp;C150,MAESTRA!$A$3:$J$500,6,0),"⚠ No encontrado"))</f>
        <v/>
      </c>
      <c r="F150" s="65">
        <f>IF(OR(B150="",C150=""),"",IFERROR(VLOOKUP(B150&amp;"|||"&amp;C150,MAESTRA!$A$3:$J$500,7,0),"⚠ No encontrado"))</f>
        <v/>
      </c>
      <c r="G150" s="65">
        <f>IF(OR(B150="",C150=""),"",IFERROR(VLOOKUP(B150&amp;"|||"&amp;C150,MAESTRA!$A$3:$J$500,8,0),"⚠ No encontrado"))</f>
        <v/>
      </c>
      <c r="H150" s="65">
        <f>IF(OR(B150="",C150=""),"",IFERROR(VLOOKUP(B150&amp;"|||"&amp;C150,MAESTRA!$A$3:$J$500,9,0),""))</f>
        <v/>
      </c>
      <c r="I150" s="55" t="inlineStr">
        <is>
          <t>NO PAGAR LEGALIZA CAJA MENOR BUENAVENTURA COMPRA BOTELLON DE AGUA</t>
        </is>
      </c>
      <c r="J150" s="55" t="inlineStr">
        <is>
          <t>Buenaventura</t>
        </is>
      </c>
      <c r="K150" s="55" t="inlineStr">
        <is>
          <t>SMEF60404</t>
        </is>
      </c>
      <c r="L150" s="63" t="n">
        <v>46139</v>
      </c>
      <c r="M150" s="63" t="n"/>
      <c r="N150" s="66" t="n">
        <v>30000</v>
      </c>
      <c r="O150" s="55" t="inlineStr">
        <is>
          <t>167</t>
        </is>
      </c>
      <c r="P150" s="63" t="n">
        <v>46150</v>
      </c>
      <c r="Q150" s="55" t="n"/>
      <c r="R150" s="55" t="n"/>
      <c r="S150" s="63" t="n"/>
      <c r="T150" s="65" t="inlineStr">
        <is>
          <t>abril 2026</t>
        </is>
      </c>
    </row>
    <row r="151">
      <c r="A151" s="64" t="n">
        <v>148</v>
      </c>
      <c r="B151" s="55" t="inlineStr">
        <is>
          <t>LA PONKY S.A.S</t>
        </is>
      </c>
      <c r="C151" s="55" t="n"/>
      <c r="D151" s="65">
        <f>IF(OR(B151="",C151=""),"",IFERROR(VLOOKUP(B151&amp;"|||"&amp;C151,MAESTRA!$A$3:$J$500,5,0),"⚠ No encontrado"))</f>
        <v/>
      </c>
      <c r="E151" s="65">
        <f>IF(OR(B151="",C151=""),"",IFERROR(VLOOKUP(B151&amp;"|||"&amp;C151,MAESTRA!$A$3:$J$500,6,0),"⚠ No encontrado"))</f>
        <v/>
      </c>
      <c r="F151" s="65">
        <f>IF(OR(B151="",C151=""),"",IFERROR(VLOOKUP(B151&amp;"|||"&amp;C151,MAESTRA!$A$3:$J$500,7,0),"⚠ No encontrado"))</f>
        <v/>
      </c>
      <c r="G151" s="65">
        <f>IF(OR(B151="",C151=""),"",IFERROR(VLOOKUP(B151&amp;"|||"&amp;C151,MAESTRA!$A$3:$J$500,8,0),"⚠ No encontrado"))</f>
        <v/>
      </c>
      <c r="H151" s="65">
        <f>IF(OR(B151="",C151=""),"",IFERROR(VLOOKUP(B151&amp;"|||"&amp;C151,MAESTRA!$A$3:$J$500,9,0),""))</f>
        <v/>
      </c>
      <c r="I151" s="55" t="inlineStr">
        <is>
          <t>NO PAGAR LEGALIZA NADIA MARTINEZ CAFÉ CLIENTE ANDES LOGISTICS CON NADIA MARTINEZ</t>
        </is>
      </c>
      <c r="J151" s="55" t="inlineStr">
        <is>
          <t>Barranquilla</t>
        </is>
      </c>
      <c r="K151" s="55" t="inlineStr">
        <is>
          <t>PPV19767</t>
        </is>
      </c>
      <c r="L151" s="63" t="n">
        <v>46121</v>
      </c>
      <c r="M151" s="63" t="n"/>
      <c r="N151" s="66" t="n">
        <v>102922</v>
      </c>
      <c r="O151" s="55" t="inlineStr">
        <is>
          <t>7</t>
        </is>
      </c>
      <c r="P151" s="63" t="n">
        <v>46150</v>
      </c>
      <c r="Q151" s="55" t="n"/>
      <c r="R151" s="55" t="n"/>
      <c r="S151" s="63" t="n"/>
      <c r="T151" s="65" t="inlineStr">
        <is>
          <t>abril 2026</t>
        </is>
      </c>
    </row>
    <row r="152">
      <c r="A152" s="64" t="n">
        <v>149</v>
      </c>
      <c r="B152" s="55" t="inlineStr">
        <is>
          <t>PROCAFECOL S.A.</t>
        </is>
      </c>
      <c r="C152" s="55" t="n"/>
      <c r="D152" s="65">
        <f>IF(OR(B152="",C152=""),"",IFERROR(VLOOKUP(B152&amp;"|||"&amp;C152,MAESTRA!$A$3:$J$500,5,0),"⚠ No encontrado"))</f>
        <v/>
      </c>
      <c r="E152" s="65">
        <f>IF(OR(B152="",C152=""),"",IFERROR(VLOOKUP(B152&amp;"|||"&amp;C152,MAESTRA!$A$3:$J$500,6,0),"⚠ No encontrado"))</f>
        <v/>
      </c>
      <c r="F152" s="65">
        <f>IF(OR(B152="",C152=""),"",IFERROR(VLOOKUP(B152&amp;"|||"&amp;C152,MAESTRA!$A$3:$J$500,7,0),"⚠ No encontrado"))</f>
        <v/>
      </c>
      <c r="G152" s="65">
        <f>IF(OR(B152="",C152=""),"",IFERROR(VLOOKUP(B152&amp;"|||"&amp;C152,MAESTRA!$A$3:$J$500,8,0),"⚠ No encontrado"))</f>
        <v/>
      </c>
      <c r="H152" s="65">
        <f>IF(OR(B152="",C152=""),"",IFERROR(VLOOKUP(B152&amp;"|||"&amp;C152,MAESTRA!$A$3:$J$500,9,0),""))</f>
        <v/>
      </c>
      <c r="I152" s="55" t="inlineStr">
        <is>
          <t>NO PAGAR LEGALIZA NADIA MARTINEZ CAFÉ CLIENTE SPC CON NADIA MARTINEZ</t>
        </is>
      </c>
      <c r="J152" s="55" t="inlineStr">
        <is>
          <t>Barranquilla</t>
        </is>
      </c>
      <c r="K152" s="55" t="inlineStr">
        <is>
          <t>F17699908</t>
        </is>
      </c>
      <c r="L152" s="63" t="n">
        <v>46135</v>
      </c>
      <c r="M152" s="63" t="n"/>
      <c r="N152" s="66" t="n">
        <v>43000</v>
      </c>
      <c r="O152" s="55" t="inlineStr">
        <is>
          <t>6717</t>
        </is>
      </c>
      <c r="P152" s="63" t="n">
        <v>46150</v>
      </c>
      <c r="Q152" s="55" t="n"/>
      <c r="R152" s="55" t="n"/>
      <c r="S152" s="63" t="n"/>
      <c r="T152" s="65" t="inlineStr">
        <is>
          <t>abril 2026</t>
        </is>
      </c>
    </row>
    <row r="153">
      <c r="A153" s="64" t="n">
        <v>150</v>
      </c>
      <c r="B153" s="55" t="inlineStr">
        <is>
          <t>OSCAR FERNANDO MESA GRANADO NOTARI 10</t>
        </is>
      </c>
      <c r="C153" s="55" t="n"/>
      <c r="D153" s="65" t="inlineStr">
        <is>
          <t>ADM</t>
        </is>
      </c>
      <c r="E153" s="65">
        <f>IF(OR(B153="",C153=""),"",IFERROR(VLOOKUP(B153&amp;"|||"&amp;C153,MAESTRA!$A$3:$J$500,6,0),"⚠ No encontrado"))</f>
        <v/>
      </c>
      <c r="F153" s="65">
        <f>IF(OR(B153="",C153=""),"",IFERROR(VLOOKUP(B153&amp;"|||"&amp;C153,MAESTRA!$A$3:$J$500,7,0),"⚠ No encontrado"))</f>
        <v/>
      </c>
      <c r="G153" s="65" t="inlineStr">
        <is>
          <t>Trámites notariales autenticaciones</t>
        </is>
      </c>
      <c r="H153" s="65">
        <f>IF(OR(B153="",C153=""),"",IFERROR(VLOOKUP(B153&amp;"|||"&amp;C153,MAESTRA!$A$3:$J$500,9,0),""))</f>
        <v/>
      </c>
      <c r="I153" s="55" t="inlineStr">
        <is>
          <t>NO PAGAR LEGALIZA CAJA MENOR BOGOTA AUTENTICACION OLGA MONTOYA</t>
        </is>
      </c>
      <c r="J153" s="55" t="inlineStr">
        <is>
          <t>Transversal</t>
        </is>
      </c>
      <c r="K153" s="55" t="inlineStr">
        <is>
          <t>FVE2757</t>
        </is>
      </c>
      <c r="L153" s="63" t="n">
        <v>46141</v>
      </c>
      <c r="M153" s="63" t="n"/>
      <c r="N153" s="66" t="n">
        <v>3350</v>
      </c>
      <c r="O153" s="55" t="inlineStr">
        <is>
          <t>6723</t>
        </is>
      </c>
      <c r="P153" s="63" t="n">
        <v>46150</v>
      </c>
      <c r="Q153" s="55" t="n"/>
      <c r="R153" s="55" t="n"/>
      <c r="S153" s="63" t="n"/>
      <c r="T153" s="65" t="inlineStr">
        <is>
          <t>abril 2026</t>
        </is>
      </c>
    </row>
    <row r="154">
      <c r="A154" s="64" t="n">
        <v>151</v>
      </c>
      <c r="B154" s="55" t="inlineStr">
        <is>
          <t>CADENA COMERCIAL OXXO COLOMBIA S A S</t>
        </is>
      </c>
      <c r="C154" s="55" t="n"/>
      <c r="D154" s="65" t="inlineStr">
        <is>
          <t>ADM</t>
        </is>
      </c>
      <c r="E154" s="65">
        <f>IF(OR(B154="",C154=""),"",IFERROR(VLOOKUP(B154&amp;"|||"&amp;C154,MAESTRA!$A$3:$J$500,6,0),"⚠ No encontrado"))</f>
        <v/>
      </c>
      <c r="F154" s="65">
        <f>IF(OR(B154="",C154=""),"",IFERROR(VLOOKUP(B154&amp;"|||"&amp;C154,MAESTRA!$A$3:$J$500,7,0),"⚠ No encontrado"))</f>
        <v/>
      </c>
      <c r="G154" s="65">
        <f>IF(OR(B154="",C154=""),"",IFERROR(VLOOKUP(B154&amp;"|||"&amp;C154,MAESTRA!$A$3:$J$500,8,0),"⚠ No encontrado"))</f>
        <v/>
      </c>
      <c r="H154" s="65">
        <f>IF(OR(B154="",C154=""),"",IFERROR(VLOOKUP(B154&amp;"|||"&amp;C154,MAESTRA!$A$3:$J$500,9,0),""))</f>
        <v/>
      </c>
      <c r="I154" s="55" t="inlineStr">
        <is>
          <t>NO PAGAR LEGLIZA TARJETA PP GINNA CASTRO DESYUNO REUNION COMERCIAL</t>
        </is>
      </c>
      <c r="J154" s="55" t="inlineStr">
        <is>
          <t>Transversal</t>
        </is>
      </c>
      <c r="K154" s="55" t="inlineStr">
        <is>
          <t>334C287581</t>
        </is>
      </c>
      <c r="L154" s="63" t="n">
        <v>46139</v>
      </c>
      <c r="M154" s="63" t="n"/>
      <c r="N154" s="66" t="n">
        <v>42800</v>
      </c>
      <c r="O154" s="55" t="inlineStr">
        <is>
          <t>6724</t>
        </is>
      </c>
      <c r="P154" s="63" t="n">
        <v>46150</v>
      </c>
      <c r="Q154" s="55" t="n"/>
      <c r="R154" s="55" t="n"/>
      <c r="S154" s="63" t="n"/>
      <c r="T154" s="65" t="inlineStr">
        <is>
          <t>abril 2026</t>
        </is>
      </c>
    </row>
    <row r="155">
      <c r="A155" s="64" t="n">
        <v>152</v>
      </c>
      <c r="B155" s="55" t="inlineStr">
        <is>
          <t>CREPES Y WAFFLES S A</t>
        </is>
      </c>
      <c r="C155" s="55" t="n"/>
      <c r="D155" s="65" t="inlineStr">
        <is>
          <t>ADM</t>
        </is>
      </c>
      <c r="E155" s="65">
        <f>IF(OR(B155="",C155=""),"",IFERROR(VLOOKUP(B155&amp;"|||"&amp;C155,MAESTRA!$A$3:$J$500,6,0),"⚠ No encontrado"))</f>
        <v/>
      </c>
      <c r="F155" s="65">
        <f>IF(OR(B155="",C155=""),"",IFERROR(VLOOKUP(B155&amp;"|||"&amp;C155,MAESTRA!$A$3:$J$500,7,0),"⚠ No encontrado"))</f>
        <v/>
      </c>
      <c r="G155" s="65">
        <f>IF(OR(B155="",C155=""),"",IFERROR(VLOOKUP(B155&amp;"|||"&amp;C155,MAESTRA!$A$3:$J$500,8,0),"⚠ No encontrado"))</f>
        <v/>
      </c>
      <c r="H155" s="65">
        <f>IF(OR(B155="",C155=""),"",IFERROR(VLOOKUP(B155&amp;"|||"&amp;C155,MAESTRA!$A$3:$J$500,9,0),""))</f>
        <v/>
      </c>
      <c r="I155" s="55" t="inlineStr">
        <is>
          <t>NO PAGAR LEGLIZA REEMBOLSO GINNA CASTRO COMPRA HELDO CUMPLE LEONELA Y DIEGO CEDIEL</t>
        </is>
      </c>
      <c r="J155" s="55" t="inlineStr">
        <is>
          <t>Calle 100</t>
        </is>
      </c>
      <c r="K155" s="55" t="inlineStr">
        <is>
          <t>R06E491592</t>
        </is>
      </c>
      <c r="L155" s="63" t="n">
        <v>46118</v>
      </c>
      <c r="M155" s="63" t="n"/>
      <c r="N155" s="66" t="n">
        <v>32800</v>
      </c>
      <c r="O155" s="55" t="inlineStr">
        <is>
          <t>6725</t>
        </is>
      </c>
      <c r="P155" s="63" t="n">
        <v>46150</v>
      </c>
      <c r="Q155" s="55" t="n"/>
      <c r="R155" s="55" t="n"/>
      <c r="S155" s="63" t="n"/>
      <c r="T155" s="65" t="inlineStr">
        <is>
          <t>abril 2026</t>
        </is>
      </c>
    </row>
    <row r="156">
      <c r="A156" s="64" t="n">
        <v>153</v>
      </c>
      <c r="B156" s="55" t="inlineStr">
        <is>
          <t>GRUPO KALLPASAPA SAS</t>
        </is>
      </c>
      <c r="C156" s="55" t="n"/>
      <c r="D156" s="65" t="inlineStr">
        <is>
          <t>ADM</t>
        </is>
      </c>
      <c r="E156" s="65">
        <f>IF(OR(B156="",C156=""),"",IFERROR(VLOOKUP(B156&amp;"|||"&amp;C156,MAESTRA!$A$3:$J$500,6,0),"⚠ No encontrado"))</f>
        <v/>
      </c>
      <c r="F156" s="65">
        <f>IF(OR(B156="",C156=""),"",IFERROR(VLOOKUP(B156&amp;"|||"&amp;C156,MAESTRA!$A$3:$J$500,7,0),"⚠ No encontrado"))</f>
        <v/>
      </c>
      <c r="G156" s="65" t="inlineStr">
        <is>
          <t>Intermodal</t>
        </is>
      </c>
      <c r="H156" s="65">
        <f>IF(OR(B156="",C156=""),"",IFERROR(VLOOKUP(B156&amp;"|||"&amp;C156,MAESTRA!$A$3:$J$500,9,0),""))</f>
        <v/>
      </c>
      <c r="I156" s="55" t="inlineStr">
        <is>
          <t>NO PAGAR LEGALIZA REEMBOLSO WILLIM MRTINEZ COMPR CAFÉ PARA BRASIL INTERMODAL</t>
        </is>
      </c>
      <c r="J156" s="55" t="inlineStr">
        <is>
          <t>Transversal</t>
        </is>
      </c>
      <c r="K156" s="55" t="inlineStr">
        <is>
          <t>3USQ79248</t>
        </is>
      </c>
      <c r="L156" s="63" t="n">
        <v>46118</v>
      </c>
      <c r="M156" s="63" t="n"/>
      <c r="N156" s="66" t="n">
        <v>806200</v>
      </c>
      <c r="O156" s="55" t="inlineStr">
        <is>
          <t>6728</t>
        </is>
      </c>
      <c r="P156" s="63" t="n">
        <v>46150</v>
      </c>
      <c r="Q156" s="55" t="n"/>
      <c r="R156" s="55" t="n"/>
      <c r="S156" s="63" t="n"/>
      <c r="T156" s="65" t="inlineStr">
        <is>
          <t>abril 2026</t>
        </is>
      </c>
    </row>
    <row r="157">
      <c r="A157" s="64" t="n">
        <v>154</v>
      </c>
      <c r="B157" s="55" t="inlineStr">
        <is>
          <t>ALMACENES ÉXITO S.A</t>
        </is>
      </c>
      <c r="C157" s="55" t="n"/>
      <c r="D157" s="65" t="inlineStr">
        <is>
          <t>ADM</t>
        </is>
      </c>
      <c r="E157" s="65">
        <f>IF(OR(B157="",C157=""),"",IFERROR(VLOOKUP(B157&amp;"|||"&amp;C157,MAESTRA!$A$3:$J$500,6,0),"⚠ No encontrado"))</f>
        <v/>
      </c>
      <c r="F157" s="65">
        <f>IF(OR(B157="",C157=""),"",IFERROR(VLOOKUP(B157&amp;"|||"&amp;C157,MAESTRA!$A$3:$J$500,7,0),"⚠ No encontrado"))</f>
        <v/>
      </c>
      <c r="G157" s="65" t="inlineStr">
        <is>
          <t>Intermodal</t>
        </is>
      </c>
      <c r="H157" s="65">
        <f>IF(OR(B157="",C157=""),"",IFERROR(VLOOKUP(B157&amp;"|||"&amp;C157,MAESTRA!$A$3:$J$500,9,0),""))</f>
        <v/>
      </c>
      <c r="I157" s="55" t="inlineStr">
        <is>
          <t>NO PAGAR LEGALIZA REEMBOLSO WILLIM MRTINEZ COMPR CAFÉ PARA BRASIL INTERMODAL</t>
        </is>
      </c>
      <c r="J157" s="55" t="inlineStr">
        <is>
          <t>Transversal</t>
        </is>
      </c>
      <c r="K157" s="55" t="inlineStr">
        <is>
          <t>UI5812880</t>
        </is>
      </c>
      <c r="L157" s="63" t="n">
        <v>46121</v>
      </c>
      <c r="M157" s="63" t="n"/>
      <c r="N157" s="66" t="n">
        <v>674600</v>
      </c>
      <c r="O157" s="55" t="inlineStr">
        <is>
          <t>6730</t>
        </is>
      </c>
      <c r="P157" s="63" t="n">
        <v>46150</v>
      </c>
      <c r="Q157" s="55" t="n"/>
      <c r="R157" s="55" t="n"/>
      <c r="S157" s="63" t="n"/>
      <c r="T157" s="65" t="inlineStr">
        <is>
          <t>abril 2026</t>
        </is>
      </c>
    </row>
    <row r="158">
      <c r="A158" s="64" t="n">
        <v>155</v>
      </c>
      <c r="B158" s="55" t="inlineStr">
        <is>
          <t>CREPES Y WAFFLES S A</t>
        </is>
      </c>
      <c r="C158" s="55" t="n"/>
      <c r="D158" s="65" t="inlineStr">
        <is>
          <t>ADM</t>
        </is>
      </c>
      <c r="E158" s="65">
        <f>IF(OR(B158="",C158=""),"",IFERROR(VLOOKUP(B158&amp;"|||"&amp;C158,MAESTRA!$A$3:$J$500,6,0),"⚠ No encontrado"))</f>
        <v/>
      </c>
      <c r="F158" s="65">
        <f>IF(OR(B158="",C158=""),"",IFERROR(VLOOKUP(B158&amp;"|||"&amp;C158,MAESTRA!$A$3:$J$500,7,0),"⚠ No encontrado"))</f>
        <v/>
      </c>
      <c r="G158" s="65">
        <f>IF(OR(B158="",C158=""),"",IFERROR(VLOOKUP(B158&amp;"|||"&amp;C158,MAESTRA!$A$3:$J$500,8,0),"⚠ No encontrado"))</f>
        <v/>
      </c>
      <c r="H158" s="65">
        <f>IF(OR(B158="",C158=""),"",IFERROR(VLOOKUP(B158&amp;"|||"&amp;C158,MAESTRA!$A$3:$J$500,9,0),""))</f>
        <v/>
      </c>
      <c r="I158" s="55" t="inlineStr">
        <is>
          <t xml:space="preserve">NO PAGAR LEGALIZA TARJETA PP GINN CASTRO COMPRA HELADO SANTIAGO Y ANGGE GOMEZ </t>
        </is>
      </c>
      <c r="J158" s="55" t="inlineStr">
        <is>
          <t>Calle 100</t>
        </is>
      </c>
      <c r="K158" s="55" t="inlineStr">
        <is>
          <t>R06E493054</t>
        </is>
      </c>
      <c r="L158" s="63" t="n">
        <v>46121</v>
      </c>
      <c r="M158" s="63" t="n"/>
      <c r="N158" s="66" t="n">
        <v>27200</v>
      </c>
      <c r="O158" s="55" t="inlineStr">
        <is>
          <t>6732</t>
        </is>
      </c>
      <c r="P158" s="63" t="n">
        <v>46150</v>
      </c>
      <c r="Q158" s="55" t="n"/>
      <c r="R158" s="55" t="n"/>
      <c r="S158" s="63" t="n"/>
      <c r="T158" s="65" t="inlineStr">
        <is>
          <t>abril 2026</t>
        </is>
      </c>
    </row>
    <row r="159">
      <c r="A159" s="64" t="n">
        <v>156</v>
      </c>
      <c r="B159" s="55" t="inlineStr">
        <is>
          <t>VISIONARY GROUP MDE S.A.S</t>
        </is>
      </c>
      <c r="C159" s="55" t="n"/>
      <c r="D159" s="65">
        <f>IF(OR(B159="",C159=""),"",IFERROR(VLOOKUP(B159&amp;"|||"&amp;C159,MAESTRA!$A$3:$J$500,5,0),"⚠ No encontrado"))</f>
        <v/>
      </c>
      <c r="E159" s="65">
        <f>IF(OR(B159="",C159=""),"",IFERROR(VLOOKUP(B159&amp;"|||"&amp;C159,MAESTRA!$A$3:$J$500,6,0),"⚠ No encontrado"))</f>
        <v/>
      </c>
      <c r="F159" s="65">
        <f>IF(OR(B159="",C159=""),"",IFERROR(VLOOKUP(B159&amp;"|||"&amp;C159,MAESTRA!$A$3:$J$500,7,0),"⚠ No encontrado"))</f>
        <v/>
      </c>
      <c r="G159" s="65">
        <f>IF(OR(B159="",C159=""),"",IFERROR(VLOOKUP(B159&amp;"|||"&amp;C159,MAESTRA!$A$3:$J$500,8,0),"⚠ No encontrado"))</f>
        <v/>
      </c>
      <c r="H159" s="65">
        <f>IF(OR(B159="",C159=""),"",IFERROR(VLOOKUP(B159&amp;"|||"&amp;C159,MAESTRA!$A$3:$J$500,9,0),""))</f>
        <v/>
      </c>
      <c r="I159" s="55" t="inlineStr">
        <is>
          <t>NO PAGAR LEGALIZA CAJA MENOR MED ALMUERZO CLIENTE A&amp;F CARGO CON STEFANNY HERNANDEZ</t>
        </is>
      </c>
      <c r="J159" s="55" t="inlineStr">
        <is>
          <t>Medellín</t>
        </is>
      </c>
      <c r="K159" s="55" t="inlineStr">
        <is>
          <t>FVVG13973</t>
        </is>
      </c>
      <c r="L159" s="63" t="n">
        <v>46128</v>
      </c>
      <c r="M159" s="63" t="n"/>
      <c r="N159" s="66" t="n">
        <v>173722.22</v>
      </c>
      <c r="O159" s="55" t="inlineStr">
        <is>
          <t>73</t>
        </is>
      </c>
      <c r="P159" s="63" t="n">
        <v>46150</v>
      </c>
      <c r="Q159" s="55" t="n"/>
      <c r="R159" s="55" t="n"/>
      <c r="S159" s="63" t="n"/>
      <c r="T159" s="65" t="inlineStr">
        <is>
          <t>abril 2026</t>
        </is>
      </c>
    </row>
    <row r="160">
      <c r="A160" s="64" t="n">
        <v>157</v>
      </c>
      <c r="B160" s="55" t="inlineStr">
        <is>
          <t>INVERSIONES KGM LIMITADA</t>
        </is>
      </c>
      <c r="C160" s="55" t="n"/>
      <c r="D160" s="65">
        <f>IF(OR(B160="",C160=""),"",IFERROR(VLOOKUP(B160&amp;"|||"&amp;C160,MAESTRA!$A$3:$J$500,5,0),"⚠ No encontrado"))</f>
        <v/>
      </c>
      <c r="E160" s="65">
        <f>IF(OR(B160="",C160=""),"",IFERROR(VLOOKUP(B160&amp;"|||"&amp;C160,MAESTRA!$A$3:$J$500,6,0),"⚠ No encontrado"))</f>
        <v/>
      </c>
      <c r="F160" s="65">
        <f>IF(OR(B160="",C160=""),"",IFERROR(VLOOKUP(B160&amp;"|||"&amp;C160,MAESTRA!$A$3:$J$500,7,0),"⚠ No encontrado"))</f>
        <v/>
      </c>
      <c r="G160" s="65">
        <f>IF(OR(B160="",C160=""),"",IFERROR(VLOOKUP(B160&amp;"|||"&amp;C160,MAESTRA!$A$3:$J$500,8,0),"⚠ No encontrado"))</f>
        <v/>
      </c>
      <c r="H160" s="65">
        <f>IF(OR(B160="",C160=""),"",IFERROR(VLOOKUP(B160&amp;"|||"&amp;C160,MAESTRA!$A$3:$J$500,9,0),""))</f>
        <v/>
      </c>
      <c r="I160" s="55" t="inlineStr">
        <is>
          <t>NO PAGAR LEGALIZA TARJETA PP GINNA CASTRO ALMUERZO BIENVENIDA FABIAN DIAZ Y LAURA VALENTINA ARIAS</t>
        </is>
      </c>
      <c r="J160" s="55" t="inlineStr">
        <is>
          <t>Calle 100</t>
        </is>
      </c>
      <c r="K160" s="55" t="inlineStr">
        <is>
          <t>FV29800</t>
        </is>
      </c>
      <c r="L160" s="63" t="n">
        <v>46132</v>
      </c>
      <c r="M160" s="63" t="n"/>
      <c r="N160" s="66" t="n">
        <v>192187</v>
      </c>
      <c r="O160" s="55" t="inlineStr">
        <is>
          <t>6741</t>
        </is>
      </c>
      <c r="P160" s="63" t="n">
        <v>46150</v>
      </c>
      <c r="Q160" s="55" t="n"/>
      <c r="R160" s="55" t="n"/>
      <c r="S160" s="63" t="n"/>
      <c r="T160" s="65" t="inlineStr">
        <is>
          <t>abril 2026</t>
        </is>
      </c>
    </row>
    <row r="161">
      <c r="A161" s="64" t="n">
        <v>158</v>
      </c>
      <c r="B161" s="55" t="inlineStr">
        <is>
          <t>MERCADER DEL VINO SAS</t>
        </is>
      </c>
      <c r="C161" s="55" t="n"/>
      <c r="D161" s="65">
        <f>IF(OR(B161="",C161=""),"",IFERROR(VLOOKUP(B161&amp;"|||"&amp;C161,MAESTRA!$A$3:$J$500,5,0),"⚠ No encontrado"))</f>
        <v/>
      </c>
      <c r="E161" s="65">
        <f>IF(OR(B161="",C161=""),"",IFERROR(VLOOKUP(B161&amp;"|||"&amp;C161,MAESTRA!$A$3:$J$500,6,0),"⚠ No encontrado"))</f>
        <v/>
      </c>
      <c r="F161" s="65">
        <f>IF(OR(B161="",C161=""),"",IFERROR(VLOOKUP(B161&amp;"|||"&amp;C161,MAESTRA!$A$3:$J$500,7,0),"⚠ No encontrado"))</f>
        <v/>
      </c>
      <c r="G161" s="65">
        <f>IF(OR(B161="",C161=""),"",IFERROR(VLOOKUP(B161&amp;"|||"&amp;C161,MAESTRA!$A$3:$J$500,8,0),"⚠ No encontrado"))</f>
        <v/>
      </c>
      <c r="H161" s="65">
        <f>IF(OR(B161="",C161=""),"",IFERROR(VLOOKUP(B161&amp;"|||"&amp;C161,MAESTRA!$A$3:$J$500,9,0),""))</f>
        <v/>
      </c>
      <c r="I161" s="55" t="inlineStr">
        <is>
          <t>NO PAGAR LEGALIZA REEMBOLSO RAFAEL DE SA ALMUERZO PROVEEDOR BRASIL</t>
        </is>
      </c>
      <c r="J161" s="55" t="inlineStr">
        <is>
          <t>Transversal</t>
        </is>
      </c>
      <c r="K161" s="55" t="inlineStr">
        <is>
          <t>FEMT3875</t>
        </is>
      </c>
      <c r="L161" s="63" t="n">
        <v>46133</v>
      </c>
      <c r="M161" s="63" t="n"/>
      <c r="N161" s="66" t="n">
        <v>212837</v>
      </c>
      <c r="O161" s="55" t="inlineStr">
        <is>
          <t>2216</t>
        </is>
      </c>
      <c r="P161" s="63" t="n">
        <v>46156</v>
      </c>
      <c r="Q161" s="55" t="n"/>
      <c r="R161" s="55" t="n"/>
      <c r="S161" s="63" t="n"/>
      <c r="T161" s="65" t="inlineStr">
        <is>
          <t>abril 2026</t>
        </is>
      </c>
    </row>
    <row r="162">
      <c r="A162" s="64" t="n">
        <v>159</v>
      </c>
      <c r="B162" s="55" t="inlineStr">
        <is>
          <t>CAMARA DE COMERCIO DE MEDELLIN PARA ANTIOQUIA</t>
        </is>
      </c>
      <c r="C162" s="55" t="n"/>
      <c r="D162" s="65">
        <f>IF(OR(B162="",C162=""),"",IFERROR(VLOOKUP(B162&amp;"|||"&amp;C162,MAESTRA!$A$3:$J$500,5,0),"⚠ No encontrado"))</f>
        <v/>
      </c>
      <c r="E162" s="65">
        <f>IF(OR(B162="",C162=""),"",IFERROR(VLOOKUP(B162&amp;"|||"&amp;C162,MAESTRA!$A$3:$J$500,6,0),"⚠ No encontrado"))</f>
        <v/>
      </c>
      <c r="F162" s="65">
        <f>IF(OR(B162="",C162=""),"",IFERROR(VLOOKUP(B162&amp;"|||"&amp;C162,MAESTRA!$A$3:$J$500,7,0),"⚠ No encontrado"))</f>
        <v/>
      </c>
      <c r="G162" s="65">
        <f>IF(OR(B162="",C162=""),"",IFERROR(VLOOKUP(B162&amp;"|||"&amp;C162,MAESTRA!$A$3:$J$500,8,0),"⚠ No encontrado"))</f>
        <v/>
      </c>
      <c r="H162" s="65">
        <f>IF(OR(B162="",C162=""),"",IFERROR(VLOOKUP(B162&amp;"|||"&amp;C162,MAESTRA!$A$3:$J$500,9,0),""))</f>
        <v/>
      </c>
      <c r="I162" s="55" t="inlineStr">
        <is>
          <t>NO PAGAR LEGALIZA PAGO PSE RENOVACIÓN MATRICULA MERCANTIL MED</t>
        </is>
      </c>
      <c r="J162" s="55" t="inlineStr">
        <is>
          <t>Transversal</t>
        </is>
      </c>
      <c r="K162" s="55" t="inlineStr">
        <is>
          <t>REPO273068</t>
        </is>
      </c>
      <c r="L162" s="63" t="n">
        <v>46121</v>
      </c>
      <c r="M162" s="63" t="n"/>
      <c r="N162" s="66" t="n">
        <v>831500</v>
      </c>
      <c r="O162" s="55" t="inlineStr">
        <is>
          <t>77</t>
        </is>
      </c>
      <c r="P162" s="63" t="n">
        <v>46153</v>
      </c>
      <c r="Q162" s="55" t="n"/>
      <c r="R162" s="55" t="n"/>
      <c r="S162" s="63" t="n"/>
      <c r="T162" s="65" t="inlineStr">
        <is>
          <t>abril 2026</t>
        </is>
      </c>
    </row>
    <row r="163">
      <c r="A163" s="64" t="n">
        <v>160</v>
      </c>
      <c r="B163" s="55" t="inlineStr">
        <is>
          <t>SOCIEDAD CAMERAL DE CERTIFICACION DIGITAL CERTICAMARA</t>
        </is>
      </c>
      <c r="C163" s="55" t="n"/>
      <c r="D163" s="65" t="inlineStr">
        <is>
          <t>ADM</t>
        </is>
      </c>
      <c r="E163" s="65">
        <f>IF(OR(B163="",C163=""),"",IFERROR(VLOOKUP(B163&amp;"|||"&amp;C163,MAESTRA!$A$3:$J$500,6,0),"⚠ No encontrado"))</f>
        <v/>
      </c>
      <c r="F163" s="65">
        <f>IF(OR(B163="",C163=""),"",IFERROR(VLOOKUP(B163&amp;"|||"&amp;C163,MAESTRA!$A$3:$J$500,7,0),"⚠ No encontrado"))</f>
        <v/>
      </c>
      <c r="G163" s="65" t="inlineStr">
        <is>
          <t>Trámites notariales autenticaciones</t>
        </is>
      </c>
      <c r="H163" s="65">
        <f>IF(OR(B163="",C163=""),"",IFERROR(VLOOKUP(B163&amp;"|||"&amp;C163,MAESTRA!$A$3:$J$500,9,0),""))</f>
        <v/>
      </c>
      <c r="I163" s="55" t="inlineStr">
        <is>
          <t>NO PAGAR LEGALIZA ANTICIPO RENOVACION FIRMA DIGITAL AACR</t>
        </is>
      </c>
      <c r="J163" s="55" t="inlineStr">
        <is>
          <t>Transversal</t>
        </is>
      </c>
      <c r="K163" s="55" t="inlineStr">
        <is>
          <t>FEV1668</t>
        </is>
      </c>
      <c r="L163" s="63" t="n">
        <v>46153</v>
      </c>
      <c r="M163" s="63" t="n"/>
      <c r="N163" s="66" t="n">
        <v>502819</v>
      </c>
      <c r="O163" s="55" t="inlineStr">
        <is>
          <t>2243</t>
        </is>
      </c>
      <c r="P163" s="63" t="n">
        <v>46156</v>
      </c>
      <c r="Q163" s="55" t="n"/>
      <c r="R163" s="55" t="n"/>
      <c r="S163" s="63" t="n"/>
      <c r="T163" s="65" t="inlineStr">
        <is>
          <t>mayo 2026</t>
        </is>
      </c>
    </row>
    <row r="164">
      <c r="A164" s="64" t="n">
        <v>161</v>
      </c>
      <c r="B164" s="55" t="inlineStr">
        <is>
          <t>CAMARA DE COMERCIO DE BOGOTA</t>
        </is>
      </c>
      <c r="C164" s="55" t="n"/>
      <c r="D164" s="65" t="inlineStr">
        <is>
          <t>ADM</t>
        </is>
      </c>
      <c r="E164" s="65">
        <f>IF(OR(B164="",C164=""),"",IFERROR(VLOOKUP(B164&amp;"|||"&amp;C164,MAESTRA!$A$3:$J$500,6,0),"⚠ No encontrado"))</f>
        <v/>
      </c>
      <c r="F164" s="65">
        <f>IF(OR(B164="",C164=""),"",IFERROR(VLOOKUP(B164&amp;"|||"&amp;C164,MAESTRA!$A$3:$J$500,7,0),"⚠ No encontrado"))</f>
        <v/>
      </c>
      <c r="G164" s="65" t="inlineStr">
        <is>
          <t>Renovacion camara de comercio</t>
        </is>
      </c>
      <c r="H164" s="65">
        <f>IF(OR(B164="",C164=""),"",IFERROR(VLOOKUP(B164&amp;"|||"&amp;C164,MAESTRA!$A$3:$J$500,9,0),""))</f>
        <v/>
      </c>
      <c r="I164" s="55" t="inlineStr">
        <is>
          <t>NO PAGAR LEGALIZA CAJA MENOR BOGOTA COMPRA CERTIFICADO CRA CIO CRAFT</t>
        </is>
      </c>
      <c r="J164" s="55" t="inlineStr">
        <is>
          <t>Transversal</t>
        </is>
      </c>
      <c r="K164" s="55" t="inlineStr">
        <is>
          <t>TV4310529969</t>
        </is>
      </c>
      <c r="L164" s="63" t="n">
        <v>46146</v>
      </c>
      <c r="M164" s="63" t="n"/>
      <c r="N164" s="66" t="n">
        <v>12100</v>
      </c>
      <c r="O164" s="55" t="inlineStr">
        <is>
          <t>2220</t>
        </is>
      </c>
      <c r="P164" s="63" t="n">
        <v>46156</v>
      </c>
      <c r="Q164" s="55" t="n"/>
      <c r="R164" s="55" t="n"/>
      <c r="S164" s="63" t="n"/>
      <c r="T164" s="65" t="inlineStr">
        <is>
          <t>mayo 2026</t>
        </is>
      </c>
    </row>
    <row r="165">
      <c r="A165" s="64" t="n">
        <v>162</v>
      </c>
      <c r="B165" s="55" t="inlineStr">
        <is>
          <t>CAMARA DE COMERCIO DE BOGOTA</t>
        </is>
      </c>
      <c r="C165" s="55" t="n"/>
      <c r="D165" s="65" t="inlineStr">
        <is>
          <t>ADM</t>
        </is>
      </c>
      <c r="E165" s="65">
        <f>IF(OR(B165="",C165=""),"",IFERROR(VLOOKUP(B165&amp;"|||"&amp;C165,MAESTRA!$A$3:$J$500,6,0),"⚠ No encontrado"))</f>
        <v/>
      </c>
      <c r="F165" s="65">
        <f>IF(OR(B165="",C165=""),"",IFERROR(VLOOKUP(B165&amp;"|||"&amp;C165,MAESTRA!$A$3:$J$500,7,0),"⚠ No encontrado"))</f>
        <v/>
      </c>
      <c r="G165" s="65" t="inlineStr">
        <is>
          <t>Renovacion camara de comercio</t>
        </is>
      </c>
      <c r="H165" s="65">
        <f>IF(OR(B165="",C165=""),"",IFERROR(VLOOKUP(B165&amp;"|||"&amp;C165,MAESTRA!$A$3:$J$500,9,0),""))</f>
        <v/>
      </c>
      <c r="I165" s="55" t="inlineStr">
        <is>
          <t>NO PAGAR LEGALIZA CAJA MENOR BOGOTA COMPRA CERTIFICADO CRA CIO PORTAL CARGO</t>
        </is>
      </c>
      <c r="J165" s="55" t="inlineStr">
        <is>
          <t>Transversal</t>
        </is>
      </c>
      <c r="K165" s="55" t="inlineStr">
        <is>
          <t>TV4310535741</t>
        </is>
      </c>
      <c r="L165" s="63" t="n">
        <v>46147</v>
      </c>
      <c r="M165" s="63" t="n"/>
      <c r="N165" s="66" t="n">
        <v>12100</v>
      </c>
      <c r="O165" s="55" t="inlineStr">
        <is>
          <t>2223</t>
        </is>
      </c>
      <c r="P165" s="63" t="n">
        <v>46156</v>
      </c>
      <c r="Q165" s="55" t="n"/>
      <c r="R165" s="55" t="n"/>
      <c r="S165" s="63" t="n"/>
      <c r="T165" s="65" t="inlineStr">
        <is>
          <t>mayo 2026</t>
        </is>
      </c>
    </row>
    <row r="166">
      <c r="A166" s="64" t="n">
        <v>163</v>
      </c>
      <c r="B166" s="55" t="inlineStr">
        <is>
          <t>CAMARA DE COMERCIO DE BOGOTA</t>
        </is>
      </c>
      <c r="C166" s="55" t="n"/>
      <c r="D166" s="65" t="inlineStr">
        <is>
          <t>ADM</t>
        </is>
      </c>
      <c r="E166" s="65">
        <f>IF(OR(B166="",C166=""),"",IFERROR(VLOOKUP(B166&amp;"|||"&amp;C166,MAESTRA!$A$3:$J$500,6,0),"⚠ No encontrado"))</f>
        <v/>
      </c>
      <c r="F166" s="65">
        <f>IF(OR(B166="",C166=""),"",IFERROR(VLOOKUP(B166&amp;"|||"&amp;C166,MAESTRA!$A$3:$J$500,7,0),"⚠ No encontrado"))</f>
        <v/>
      </c>
      <c r="G166" s="65" t="inlineStr">
        <is>
          <t>Renovacion camara de comercio</t>
        </is>
      </c>
      <c r="H166" s="65">
        <f>IF(OR(B166="",C166=""),"",IFERROR(VLOOKUP(B166&amp;"|||"&amp;C166,MAESTRA!$A$3:$J$500,9,0),""))</f>
        <v/>
      </c>
      <c r="I166" s="55" t="inlineStr">
        <is>
          <t>NO PAGAR LEGALIZA CAJA MENOR BOGOTA COMPRA CERTIFICADO CRA CIO CRAFT</t>
        </is>
      </c>
      <c r="J166" s="55" t="inlineStr">
        <is>
          <t>Transversal</t>
        </is>
      </c>
      <c r="K166" s="55" t="inlineStr">
        <is>
          <t>TV4310559875</t>
        </is>
      </c>
      <c r="L166" s="63" t="n">
        <v>46150</v>
      </c>
      <c r="M166" s="63" t="n"/>
      <c r="N166" s="66" t="n">
        <v>12100</v>
      </c>
      <c r="O166" s="55" t="inlineStr">
        <is>
          <t>2227</t>
        </is>
      </c>
      <c r="P166" s="63" t="n">
        <v>46156</v>
      </c>
      <c r="Q166" s="55" t="n"/>
      <c r="R166" s="55" t="n"/>
      <c r="S166" s="63" t="n"/>
      <c r="T166" s="65" t="inlineStr">
        <is>
          <t>mayo 2026</t>
        </is>
      </c>
    </row>
    <row r="167">
      <c r="A167" s="64" t="n">
        <v>164</v>
      </c>
      <c r="B167" s="55" t="inlineStr">
        <is>
          <t>OSCAR FERNANDO MESA GRANADO NOTARI 10</t>
        </is>
      </c>
      <c r="C167" s="55" t="n"/>
      <c r="D167" s="65" t="inlineStr">
        <is>
          <t>ADM</t>
        </is>
      </c>
      <c r="E167" s="65">
        <f>IF(OR(B167="",C167=""),"",IFERROR(VLOOKUP(B167&amp;"|||"&amp;C167,MAESTRA!$A$3:$J$500,6,0),"⚠ No encontrado"))</f>
        <v/>
      </c>
      <c r="F167" s="65">
        <f>IF(OR(B167="",C167=""),"",IFERROR(VLOOKUP(B167&amp;"|||"&amp;C167,MAESTRA!$A$3:$J$500,7,0),"⚠ No encontrado"))</f>
        <v/>
      </c>
      <c r="G167" s="65" t="inlineStr">
        <is>
          <t>Trámites notariales autenticaciones</t>
        </is>
      </c>
      <c r="H167" s="65">
        <f>IF(OR(B167="",C167=""),"",IFERROR(VLOOKUP(B167&amp;"|||"&amp;C167,MAESTRA!$A$3:$J$500,9,0),""))</f>
        <v/>
      </c>
      <c r="I167" s="55" t="inlineStr">
        <is>
          <t>NO PAGAR LEGALIZA CAJA MENOR BOGOTA AUTENTICACION PODER DIANA CASAS</t>
        </is>
      </c>
      <c r="J167" s="55" t="inlineStr">
        <is>
          <t>Transversal</t>
        </is>
      </c>
      <c r="K167" s="55" t="inlineStr">
        <is>
          <t>FVE3379</t>
        </is>
      </c>
      <c r="L167" s="63" t="n">
        <v>46154</v>
      </c>
      <c r="M167" s="63" t="n"/>
      <c r="N167" s="66" t="n">
        <v>15700</v>
      </c>
      <c r="O167" s="55" t="inlineStr">
        <is>
          <t>2228</t>
        </is>
      </c>
      <c r="P167" s="63" t="n">
        <v>46156</v>
      </c>
      <c r="Q167" s="55" t="n"/>
      <c r="R167" s="55" t="n"/>
      <c r="S167" s="63" t="n"/>
      <c r="T167" s="65" t="inlineStr">
        <is>
          <t>mayo 2026</t>
        </is>
      </c>
    </row>
    <row r="168">
      <c r="A168" s="64" t="n">
        <v>165</v>
      </c>
      <c r="B168" s="55" t="inlineStr">
        <is>
          <t>WE ARE SOCIAL SAS</t>
        </is>
      </c>
      <c r="C168" s="55" t="n"/>
      <c r="D168" s="65" t="inlineStr">
        <is>
          <t>ADM</t>
        </is>
      </c>
      <c r="E168" s="65">
        <f>IF(OR(B168="",C168=""),"",IFERROR(VLOOKUP(B168&amp;"|||"&amp;C168,MAESTRA!$A$3:$J$500,6,0),"⚠ No encontrado"))</f>
        <v/>
      </c>
      <c r="F168" s="65">
        <f>IF(OR(B168="",C168=""),"",IFERROR(VLOOKUP(B168&amp;"|||"&amp;C168,MAESTRA!$A$3:$J$500,7,0),"⚠ No encontrado"))</f>
        <v/>
      </c>
      <c r="G168" s="65">
        <f>IF(OR(B168="",C168=""),"",IFERROR(VLOOKUP(B168&amp;"|||"&amp;C168,MAESTRA!$A$3:$J$500,8,0),"⚠ No encontrado"))</f>
        <v/>
      </c>
      <c r="H168" s="65">
        <f>IF(OR(B168="",C168=""),"",IFERROR(VLOOKUP(B168&amp;"|||"&amp;C168,MAESTRA!$A$3:$J$500,9,0),""))</f>
        <v/>
      </c>
      <c r="I168" s="55" t="inlineStr">
        <is>
          <t>NO PAGAR LEGALIZA TC 9994 ALMUERZO AUDITORIA SARLAFT</t>
        </is>
      </c>
      <c r="J168" s="55" t="inlineStr">
        <is>
          <t>Transversal</t>
        </is>
      </c>
      <c r="K168" s="55" t="inlineStr">
        <is>
          <t>FECH32654</t>
        </is>
      </c>
      <c r="L168" s="63" t="n">
        <v>46154</v>
      </c>
      <c r="M168" s="63" t="n"/>
      <c r="N168" s="66" t="n">
        <v>267000</v>
      </c>
      <c r="O168" s="55" t="inlineStr">
        <is>
          <t>2234</t>
        </is>
      </c>
      <c r="P168" s="63" t="n">
        <v>46156</v>
      </c>
      <c r="Q168" s="55" t="n"/>
      <c r="R168" s="55" t="n"/>
      <c r="S168" s="63" t="n"/>
      <c r="T168" s="65" t="inlineStr">
        <is>
          <t>mayo 2026</t>
        </is>
      </c>
    </row>
    <row r="169">
      <c r="A169" s="64" t="n">
        <v>166</v>
      </c>
      <c r="B169" s="55" t="inlineStr">
        <is>
          <t>CADENA COMERCIAL OXXO COLOMBIA S A S</t>
        </is>
      </c>
      <c r="C169" s="55" t="n"/>
      <c r="D169" s="65" t="inlineStr">
        <is>
          <t>ADM</t>
        </is>
      </c>
      <c r="E169" s="65">
        <f>IF(OR(B169="",C169=""),"",IFERROR(VLOOKUP(B169&amp;"|||"&amp;C169,MAESTRA!$A$3:$J$500,6,0),"⚠ No encontrado"))</f>
        <v/>
      </c>
      <c r="F169" s="65">
        <f>IF(OR(B169="",C169=""),"",IFERROR(VLOOKUP(B169&amp;"|||"&amp;C169,MAESTRA!$A$3:$J$500,7,0),"⚠ No encontrado"))</f>
        <v/>
      </c>
      <c r="G169" s="65">
        <f>IF(OR(B169="",C169=""),"",IFERROR(VLOOKUP(B169&amp;"|||"&amp;C169,MAESTRA!$A$3:$J$500,8,0),"⚠ No encontrado"))</f>
        <v/>
      </c>
      <c r="H169" s="65">
        <f>IF(OR(B169="",C169=""),"",IFERROR(VLOOKUP(B169&amp;"|||"&amp;C169,MAESTRA!$A$3:$J$500,9,0),""))</f>
        <v/>
      </c>
      <c r="I169" s="55" t="inlineStr">
        <is>
          <t>NO PAGAR LEGALIZA CAJA MENOR BOG DESAYUNO AUDITORIA SARLAFT</t>
        </is>
      </c>
      <c r="J169" s="55" t="inlineStr">
        <is>
          <t>Transversal</t>
        </is>
      </c>
      <c r="K169" s="55" t="inlineStr">
        <is>
          <t>334C294197</t>
        </is>
      </c>
      <c r="L169" s="63" t="n">
        <v>46154</v>
      </c>
      <c r="M169" s="63" t="n"/>
      <c r="N169" s="66" t="n">
        <v>21800</v>
      </c>
      <c r="O169" s="55" t="inlineStr">
        <is>
          <t>2235</t>
        </is>
      </c>
      <c r="P169" s="63" t="n">
        <v>46156</v>
      </c>
      <c r="Q169" s="55" t="n"/>
      <c r="R169" s="55" t="n"/>
      <c r="S169" s="63" t="n"/>
      <c r="T169" s="65" t="inlineStr">
        <is>
          <t>mayo 2026</t>
        </is>
      </c>
    </row>
    <row r="170">
      <c r="A170" s="64" t="n">
        <v>167</v>
      </c>
      <c r="B170" s="55" t="inlineStr">
        <is>
          <t>OSCAR FERNANDO MESA GRANADO NOTARI 10</t>
        </is>
      </c>
      <c r="C170" s="55" t="n"/>
      <c r="D170" s="65" t="inlineStr">
        <is>
          <t>ADM</t>
        </is>
      </c>
      <c r="E170" s="65">
        <f>IF(OR(B170="",C170=""),"",IFERROR(VLOOKUP(B170&amp;"|||"&amp;C170,MAESTRA!$A$3:$J$500,6,0),"⚠ No encontrado"))</f>
        <v/>
      </c>
      <c r="F170" s="65">
        <f>IF(OR(B170="",C170=""),"",IFERROR(VLOOKUP(B170&amp;"|||"&amp;C170,MAESTRA!$A$3:$J$500,7,0),"⚠ No encontrado"))</f>
        <v/>
      </c>
      <c r="G170" s="65" t="inlineStr">
        <is>
          <t>Trámites notariales autenticaciones</t>
        </is>
      </c>
      <c r="H170" s="65">
        <f>IF(OR(B170="",C170=""),"",IFERROR(VLOOKUP(B170&amp;"|||"&amp;C170,MAESTRA!$A$3:$J$500,9,0),""))</f>
        <v/>
      </c>
      <c r="I170" s="55" t="inlineStr">
        <is>
          <t>NO PAGAR LEGALIZA CAJA MENOR BOGOTA AUTENTICACION PODER EDWIN RAMIREZ</t>
        </is>
      </c>
      <c r="J170" s="55" t="inlineStr">
        <is>
          <t>Transversal</t>
        </is>
      </c>
      <c r="K170" s="55" t="inlineStr">
        <is>
          <t>FVE3320</t>
        </is>
      </c>
      <c r="L170" s="63" t="n">
        <v>46153</v>
      </c>
      <c r="M170" s="63" t="n"/>
      <c r="N170" s="66" t="n">
        <v>15700</v>
      </c>
      <c r="O170" s="55" t="inlineStr">
        <is>
          <t>2247</t>
        </is>
      </c>
      <c r="P170" s="63" t="n">
        <v>46156</v>
      </c>
      <c r="Q170" s="55" t="n"/>
      <c r="R170" s="55" t="n"/>
      <c r="S170" s="63" t="n"/>
      <c r="T170" s="65" t="inlineStr">
        <is>
          <t>mayo 2026</t>
        </is>
      </c>
    </row>
    <row r="171">
      <c r="A171" s="64" t="n">
        <v>168</v>
      </c>
      <c r="B171" s="55" t="inlineStr">
        <is>
          <t>CAMARA DE COMERCIO DE BOGOTA</t>
        </is>
      </c>
      <c r="C171" s="55" t="n"/>
      <c r="D171" s="65" t="inlineStr">
        <is>
          <t>ADM</t>
        </is>
      </c>
      <c r="E171" s="65">
        <f>IF(OR(B171="",C171=""),"",IFERROR(VLOOKUP(B171&amp;"|||"&amp;C171,MAESTRA!$A$3:$J$500,6,0),"⚠ No encontrado"))</f>
        <v/>
      </c>
      <c r="F171" s="65">
        <f>IF(OR(B171="",C171=""),"",IFERROR(VLOOKUP(B171&amp;"|||"&amp;C171,MAESTRA!$A$3:$J$500,7,0),"⚠ No encontrado"))</f>
        <v/>
      </c>
      <c r="G171" s="65" t="inlineStr">
        <is>
          <t>Renovacion camara de comercio</t>
        </is>
      </c>
      <c r="H171" s="65">
        <f>IF(OR(B171="",C171=""),"",IFERROR(VLOOKUP(B171&amp;"|||"&amp;C171,MAESTRA!$A$3:$J$500,9,0),""))</f>
        <v/>
      </c>
      <c r="I171" s="55" t="inlineStr">
        <is>
          <t>NO PAGAR LEGALIZA PAGO PSE RENOVACIÓN MATRICULA MERCANTIL BOG</t>
        </is>
      </c>
      <c r="J171" s="55" t="inlineStr">
        <is>
          <t>Transversal</t>
        </is>
      </c>
      <c r="K171" s="55" t="inlineStr">
        <is>
          <t>TV4310545365</t>
        </is>
      </c>
      <c r="L171" s="63" t="n">
        <v>46148</v>
      </c>
      <c r="M171" s="63" t="n"/>
      <c r="N171" s="66" t="n">
        <v>612000</v>
      </c>
      <c r="O171" s="55" t="inlineStr">
        <is>
          <t>2213</t>
        </is>
      </c>
      <c r="P171" s="63" t="n">
        <v>46156</v>
      </c>
      <c r="Q171" s="55" t="n"/>
      <c r="R171" s="55" t="n"/>
      <c r="S171" s="63" t="n"/>
      <c r="T171" s="65" t="inlineStr">
        <is>
          <t>mayo 2026</t>
        </is>
      </c>
    </row>
    <row r="172">
      <c r="A172" s="64" t="n">
        <v>169</v>
      </c>
      <c r="B172" s="55" t="inlineStr">
        <is>
          <t>CENTURY SPORTS S A S</t>
        </is>
      </c>
      <c r="C172" s="55" t="n"/>
      <c r="D172" s="65" t="inlineStr">
        <is>
          <t>GH</t>
        </is>
      </c>
      <c r="E172" s="65">
        <f>IF(OR(B172="",C172=""),"",IFERROR(VLOOKUP(B172&amp;"|||"&amp;C172,MAESTRA!$A$3:$J$500,6,0),"⚠ No encontrado"))</f>
        <v/>
      </c>
      <c r="F172" s="65">
        <f>IF(OR(B172="",C172=""),"",IFERROR(VLOOKUP(B172&amp;"|||"&amp;C172,MAESTRA!$A$3:$J$500,7,0),"⚠ No encontrado"))</f>
        <v/>
      </c>
      <c r="G172" s="65">
        <f>IF(OR(B172="",C172=""),"",IFERROR(VLOOKUP(B172&amp;"|||"&amp;C172,MAESTRA!$A$3:$J$500,8,0),"⚠ No encontrado"))</f>
        <v/>
      </c>
      <c r="H172" s="65">
        <f>IF(OR(B172="",C172=""),"",IFERROR(VLOOKUP(B172&amp;"|||"&amp;C172,MAESTRA!$A$3:$J$500,9,0),""))</f>
        <v/>
      </c>
      <c r="I172" s="55" t="inlineStr">
        <is>
          <t xml:space="preserve">NO PAGAR LEGALIZA TC 9994 BONO REGALO CUMPLEAÑOS CAROLINA CASTAÑEDA </t>
        </is>
      </c>
      <c r="J172" s="55" t="inlineStr">
        <is>
          <t>Calle 100</t>
        </is>
      </c>
      <c r="K172" s="55" t="inlineStr">
        <is>
          <t>C32130929</t>
        </is>
      </c>
      <c r="L172" s="63" t="n">
        <v>46150</v>
      </c>
      <c r="M172" s="63" t="n"/>
      <c r="N172" s="66" t="n">
        <v>100000</v>
      </c>
      <c r="O172" s="55" t="inlineStr">
        <is>
          <t>2224</t>
        </is>
      </c>
      <c r="P172" s="63" t="n">
        <v>46156</v>
      </c>
      <c r="Q172" s="55" t="n"/>
      <c r="R172" s="55" t="n"/>
      <c r="S172" s="63" t="n"/>
      <c r="T172" s="65" t="inlineStr">
        <is>
          <t>mayo 2026</t>
        </is>
      </c>
    </row>
    <row r="173">
      <c r="A173" s="64" t="n">
        <v>170</v>
      </c>
      <c r="B173" s="55" t="inlineStr">
        <is>
          <t>PROCAFECOL S.A.</t>
        </is>
      </c>
      <c r="C173" s="55" t="n"/>
      <c r="D173" s="65" t="inlineStr">
        <is>
          <t>ADM</t>
        </is>
      </c>
      <c r="E173" s="65">
        <f>IF(OR(B173="",C173=""),"",IFERROR(VLOOKUP(B173&amp;"|||"&amp;C173,MAESTRA!$A$3:$J$500,6,0),"⚠ No encontrado"))</f>
        <v/>
      </c>
      <c r="F173" s="65">
        <f>IF(OR(B173="",C173=""),"",IFERROR(VLOOKUP(B173&amp;"|||"&amp;C173,MAESTRA!$A$3:$J$500,7,0),"⚠ No encontrado"))</f>
        <v/>
      </c>
      <c r="G173" s="65">
        <f>IF(OR(B173="",C173=""),"",IFERROR(VLOOKUP(B173&amp;"|||"&amp;C173,MAESTRA!$A$3:$J$500,8,0),"⚠ No encontrado"))</f>
        <v/>
      </c>
      <c r="H173" s="65">
        <f>IF(OR(B173="",C173=""),"",IFERROR(VLOOKUP(B173&amp;"|||"&amp;C173,MAESTRA!$A$3:$J$500,9,0),""))</f>
        <v/>
      </c>
      <c r="I173" s="55" t="inlineStr">
        <is>
          <t xml:space="preserve">NO PAGAR LEGALIZA NADIA MARTINEZ CAFÉ CLIENTE PROLOGISTICS </t>
        </is>
      </c>
      <c r="J173" s="55" t="inlineStr">
        <is>
          <t>Barranquilla</t>
        </is>
      </c>
      <c r="K173" s="55" t="inlineStr">
        <is>
          <t>F42394694</t>
        </is>
      </c>
      <c r="L173" s="63" t="n">
        <v>46148</v>
      </c>
      <c r="M173" s="63" t="n"/>
      <c r="N173" s="66" t="n">
        <v>37300</v>
      </c>
      <c r="O173" s="55" t="inlineStr">
        <is>
          <t>2286</t>
        </is>
      </c>
      <c r="P173" s="63" t="n">
        <v>46156</v>
      </c>
      <c r="Q173" s="55" t="n"/>
      <c r="R173" s="55" t="n"/>
      <c r="S173" s="63" t="n"/>
      <c r="T173" s="65" t="inlineStr">
        <is>
          <t>mayo 2026</t>
        </is>
      </c>
    </row>
    <row r="174">
      <c r="A174" s="64" t="n">
        <v>171</v>
      </c>
      <c r="B174" s="55" t="inlineStr">
        <is>
          <t>SABORES GLOBALES S.A.S.</t>
        </is>
      </c>
      <c r="C174" s="55" t="n"/>
      <c r="D174" s="65" t="inlineStr">
        <is>
          <t>ADM</t>
        </is>
      </c>
      <c r="E174" s="65">
        <f>IF(OR(B174="",C174=""),"",IFERROR(VLOOKUP(B174&amp;"|||"&amp;C174,MAESTRA!$A$3:$J$500,6,0),"⚠ No encontrado"))</f>
        <v/>
      </c>
      <c r="F174" s="65">
        <f>IF(OR(B174="",C174=""),"",IFERROR(VLOOKUP(B174&amp;"|||"&amp;C174,MAESTRA!$A$3:$J$500,7,0),"⚠ No encontrado"))</f>
        <v/>
      </c>
      <c r="G174" s="65">
        <f>IF(OR(B174="",C174=""),"",IFERROR(VLOOKUP(B174&amp;"|||"&amp;C174,MAESTRA!$A$3:$J$500,8,0),"⚠ No encontrado"))</f>
        <v/>
      </c>
      <c r="H174" s="65">
        <f>IF(OR(B174="",C174=""),"",IFERROR(VLOOKUP(B174&amp;"|||"&amp;C174,MAESTRA!$A$3:$J$500,9,0),""))</f>
        <v/>
      </c>
      <c r="I174" s="55" t="inlineStr">
        <is>
          <t>NO PAGAR LEGALIZA NADIA MARTINEZ CAFÉ REUNIÓN ANA FERNANDEZ Y NADIA MARTINEZ</t>
        </is>
      </c>
      <c r="J174" s="55" t="inlineStr">
        <is>
          <t>Barranquilla</t>
        </is>
      </c>
      <c r="K174" s="55" t="inlineStr">
        <is>
          <t>RAGV15709</t>
        </is>
      </c>
      <c r="L174" s="63" t="n">
        <v>46150</v>
      </c>
      <c r="M174" s="63" t="n"/>
      <c r="N174" s="66" t="n">
        <v>56705.97</v>
      </c>
      <c r="O174" s="55" t="inlineStr">
        <is>
          <t>6</t>
        </is>
      </c>
      <c r="P174" s="63" t="n">
        <v>46156</v>
      </c>
      <c r="Q174" s="55" t="n"/>
      <c r="R174" s="55" t="n"/>
      <c r="S174" s="63" t="n"/>
      <c r="T174" s="65" t="inlineStr">
        <is>
          <t>mayo 2026</t>
        </is>
      </c>
    </row>
    <row r="175">
      <c r="A175" s="64" t="n">
        <v>172</v>
      </c>
      <c r="B175" s="55" t="inlineStr">
        <is>
          <t>SABORES GLOBALES S.A.S.</t>
        </is>
      </c>
      <c r="C175" s="55" t="n"/>
      <c r="D175" s="65" t="inlineStr">
        <is>
          <t>ADM</t>
        </is>
      </c>
      <c r="E175" s="65">
        <f>IF(OR(B175="",C175=""),"",IFERROR(VLOOKUP(B175&amp;"|||"&amp;C175,MAESTRA!$A$3:$J$500,6,0),"⚠ No encontrado"))</f>
        <v/>
      </c>
      <c r="F175" s="65">
        <f>IF(OR(B175="",C175=""),"",IFERROR(VLOOKUP(B175&amp;"|||"&amp;C175,MAESTRA!$A$3:$J$500,7,0),"⚠ No encontrado"))</f>
        <v/>
      </c>
      <c r="G175" s="65">
        <f>IF(OR(B175="",C175=""),"",IFERROR(VLOOKUP(B175&amp;"|||"&amp;C175,MAESTRA!$A$3:$J$500,8,0),"⚠ No encontrado"))</f>
        <v/>
      </c>
      <c r="H175" s="65">
        <f>IF(OR(B175="",C175=""),"",IFERROR(VLOOKUP(B175&amp;"|||"&amp;C175,MAESTRA!$A$3:$J$500,9,0),""))</f>
        <v/>
      </c>
      <c r="I175" s="55" t="inlineStr">
        <is>
          <t xml:space="preserve">NO PAGAR LEGALIZA NADIA MARTINEZ ALMUERZO CLIENTE SPC NADIA M Y ANA F </t>
        </is>
      </c>
      <c r="J175" s="55" t="inlineStr">
        <is>
          <t>Barranquilla</t>
        </is>
      </c>
      <c r="K175" s="55" t="inlineStr">
        <is>
          <t>RAGV15695</t>
        </is>
      </c>
      <c r="L175" s="63" t="n">
        <v>46150</v>
      </c>
      <c r="M175" s="63" t="n"/>
      <c r="N175" s="66" t="n">
        <v>360555.97</v>
      </c>
      <c r="O175" s="55" t="inlineStr">
        <is>
          <t>7</t>
        </is>
      </c>
      <c r="P175" s="63" t="n">
        <v>46156</v>
      </c>
      <c r="Q175" s="55" t="n"/>
      <c r="R175" s="55" t="n"/>
      <c r="S175" s="63" t="n"/>
      <c r="T175" s="65" t="inlineStr">
        <is>
          <t>mayo 2026</t>
        </is>
      </c>
    </row>
    <row r="176">
      <c r="A176" s="64" t="n">
        <v>173</v>
      </c>
      <c r="B176" s="55" t="inlineStr">
        <is>
          <t>ESTADERO Y ASADOS DONA ROSA S.A.S</t>
        </is>
      </c>
      <c r="C176" s="55" t="n"/>
      <c r="D176" s="65" t="inlineStr">
        <is>
          <t>ADM</t>
        </is>
      </c>
      <c r="E176" s="65">
        <f>IF(OR(B176="",C176=""),"",IFERROR(VLOOKUP(B176&amp;"|||"&amp;C176,MAESTRA!$A$3:$J$500,6,0),"⚠ No encontrado"))</f>
        <v/>
      </c>
      <c r="F176" s="65">
        <f>IF(OR(B176="",C176=""),"",IFERROR(VLOOKUP(B176&amp;"|||"&amp;C176,MAESTRA!$A$3:$J$500,7,0),"⚠ No encontrado"))</f>
        <v/>
      </c>
      <c r="G176" s="65">
        <f>IF(OR(B176="",C176=""),"",IFERROR(VLOOKUP(B176&amp;"|||"&amp;C176,MAESTRA!$A$3:$J$500,8,0),"⚠ No encontrado"))</f>
        <v/>
      </c>
      <c r="H176" s="65">
        <f>IF(OR(B176="",C176=""),"",IFERROR(VLOOKUP(B176&amp;"|||"&amp;C176,MAESTRA!$A$3:$J$500,9,0),""))</f>
        <v/>
      </c>
      <c r="I176" s="55" t="inlineStr">
        <is>
          <t>NO PAGAR LEGALIZA NADIA MARTINEZ ALMUERZO ANA MARIA F, NADIA MARTINEZ, EVENTO FITAC</t>
        </is>
      </c>
      <c r="J176" s="55" t="inlineStr">
        <is>
          <t>Barranquilla</t>
        </is>
      </c>
      <c r="K176" s="55" t="inlineStr">
        <is>
          <t>BAP45381</t>
        </is>
      </c>
      <c r="L176" s="63" t="n">
        <v>46150</v>
      </c>
      <c r="M176" s="63" t="n"/>
      <c r="N176" s="66" t="n">
        <v>183118.52</v>
      </c>
      <c r="O176" s="55" t="inlineStr">
        <is>
          <t>8</t>
        </is>
      </c>
      <c r="P176" s="63" t="n">
        <v>46156</v>
      </c>
      <c r="Q176" s="55" t="n"/>
      <c r="R176" s="55" t="n"/>
      <c r="S176" s="63" t="n"/>
      <c r="T176" s="65" t="inlineStr">
        <is>
          <t>mayo 2026</t>
        </is>
      </c>
    </row>
    <row r="177">
      <c r="A177" s="64" t="n">
        <v>174</v>
      </c>
      <c r="B177" s="55" t="inlineStr">
        <is>
          <t>ULTRAMAR INVERSIONES S.A.S.</t>
        </is>
      </c>
      <c r="C177" s="55" t="n"/>
      <c r="D177" s="65" t="inlineStr">
        <is>
          <t>ADM</t>
        </is>
      </c>
      <c r="E177" s="65">
        <f>IF(OR(B177="",C177=""),"",IFERROR(VLOOKUP(B177&amp;"|||"&amp;C177,MAESTRA!$A$3:$J$500,6,0),"⚠ No encontrado"))</f>
        <v/>
      </c>
      <c r="F177" s="65">
        <f>IF(OR(B177="",C177=""),"",IFERROR(VLOOKUP(B177&amp;"|||"&amp;C177,MAESTRA!$A$3:$J$500,7,0),"⚠ No encontrado"))</f>
        <v/>
      </c>
      <c r="G177" s="65">
        <f>IF(OR(B177="",C177=""),"",IFERROR(VLOOKUP(B177&amp;"|||"&amp;C177,MAESTRA!$A$3:$J$500,8,0),"⚠ No encontrado"))</f>
        <v/>
      </c>
      <c r="H177" s="65">
        <f>IF(OR(B177="",C177=""),"",IFERROR(VLOOKUP(B177&amp;"|||"&amp;C177,MAESTRA!$A$3:$J$500,9,0),""))</f>
        <v/>
      </c>
      <c r="I177" s="55" t="inlineStr">
        <is>
          <t>NO PAGAR LEGALIZA NADIA MARTINEZ ALMUERZO CLIENTE MERCO</t>
        </is>
      </c>
      <c r="J177" s="55" t="inlineStr">
        <is>
          <t>Barranquilla</t>
        </is>
      </c>
      <c r="K177" s="55" t="inlineStr">
        <is>
          <t>FEPL42495</t>
        </is>
      </c>
      <c r="L177" s="63" t="n">
        <v>46149</v>
      </c>
      <c r="M177" s="63" t="n"/>
      <c r="N177" s="66" t="n">
        <v>279400</v>
      </c>
      <c r="O177" s="55" t="inlineStr">
        <is>
          <t>9</t>
        </is>
      </c>
      <c r="P177" s="63" t="n">
        <v>46156</v>
      </c>
      <c r="Q177" s="55" t="n"/>
      <c r="R177" s="55" t="n"/>
      <c r="S177" s="63" t="n"/>
      <c r="T177" s="65" t="inlineStr">
        <is>
          <t>mayo 2026</t>
        </is>
      </c>
    </row>
    <row r="178">
      <c r="A178" s="64" t="n">
        <v>175</v>
      </c>
      <c r="B178" s="55" t="inlineStr">
        <is>
          <t>ULTRAMAR INVERSIONES S.A.S.</t>
        </is>
      </c>
      <c r="C178" s="55" t="n"/>
      <c r="D178" s="65" t="inlineStr">
        <is>
          <t>ADM</t>
        </is>
      </c>
      <c r="E178" s="65">
        <f>IF(OR(B178="",C178=""),"",IFERROR(VLOOKUP(B178&amp;"|||"&amp;C178,MAESTRA!$A$3:$J$500,6,0),"⚠ No encontrado"))</f>
        <v/>
      </c>
      <c r="F178" s="65">
        <f>IF(OR(B178="",C178=""),"",IFERROR(VLOOKUP(B178&amp;"|||"&amp;C178,MAESTRA!$A$3:$J$500,7,0),"⚠ No encontrado"))</f>
        <v/>
      </c>
      <c r="G178" s="65">
        <f>IF(OR(B178="",C178=""),"",IFERROR(VLOOKUP(B178&amp;"|||"&amp;C178,MAESTRA!$A$3:$J$500,8,0),"⚠ No encontrado"))</f>
        <v/>
      </c>
      <c r="H178" s="65">
        <f>IF(OR(B178="",C178=""),"",IFERROR(VLOOKUP(B178&amp;"|||"&amp;C178,MAESTRA!$A$3:$J$500,9,0),""))</f>
        <v/>
      </c>
      <c r="I178" s="55" t="inlineStr">
        <is>
          <t>NO PAGAR LEGALIZA NADIA MARTINEZ ALMUERZO CLIENTE SMART FREIGHT</t>
        </is>
      </c>
      <c r="J178" s="55" t="inlineStr">
        <is>
          <t>Barranquilla</t>
        </is>
      </c>
      <c r="K178" s="55" t="inlineStr">
        <is>
          <t>FEM30882</t>
        </is>
      </c>
      <c r="L178" s="63" t="n">
        <v>46155</v>
      </c>
      <c r="M178" s="63" t="n"/>
      <c r="N178" s="66" t="n">
        <v>289209</v>
      </c>
      <c r="O178" s="55" t="inlineStr">
        <is>
          <t>5</t>
        </is>
      </c>
      <c r="P178" s="63" t="n">
        <v>46156</v>
      </c>
      <c r="Q178" s="55" t="n"/>
      <c r="R178" s="55" t="n"/>
      <c r="S178" s="63" t="n"/>
      <c r="T178" s="65" t="inlineStr">
        <is>
          <t>mayo 2026</t>
        </is>
      </c>
    </row>
    <row r="179">
      <c r="A179" s="64" t="n">
        <v>176</v>
      </c>
      <c r="B179" s="55" t="inlineStr">
        <is>
          <t>NALSANI S.A.S</t>
        </is>
      </c>
      <c r="C179" s="55" t="n"/>
      <c r="D179" s="65" t="inlineStr">
        <is>
          <t>GH</t>
        </is>
      </c>
      <c r="E179" s="65">
        <f>IF(OR(B179="",C179=""),"",IFERROR(VLOOKUP(B179&amp;"|||"&amp;C179,MAESTRA!$A$3:$J$500,6,0),"⚠ No encontrado"))</f>
        <v/>
      </c>
      <c r="F179" s="65">
        <f>IF(OR(B179="",C179=""),"",IFERROR(VLOOKUP(B179&amp;"|||"&amp;C179,MAESTRA!$A$3:$J$500,7,0),"⚠ No encontrado"))</f>
        <v/>
      </c>
      <c r="G179" s="65">
        <f>IF(OR(B179="",C179=""),"",IFERROR(VLOOKUP(B179&amp;"|||"&amp;C179,MAESTRA!$A$3:$J$500,8,0),"⚠ No encontrado"))</f>
        <v/>
      </c>
      <c r="H179" s="65">
        <f>IF(OR(B179="",C179=""),"",IFERROR(VLOOKUP(B179&amp;"|||"&amp;C179,MAESTRA!$A$3:$J$500,9,0),""))</f>
        <v/>
      </c>
      <c r="I179" s="55" t="inlineStr">
        <is>
          <t>NO PAGAR LEGALIZA TC 9994 COMPRA BONO CUMPLEAÑOS PAOLA PULECIO</t>
        </is>
      </c>
      <c r="J179" s="55" t="inlineStr">
        <is>
          <t>Calle 100</t>
        </is>
      </c>
      <c r="K179" s="55" t="inlineStr">
        <is>
          <t>F128145569</t>
        </is>
      </c>
      <c r="L179" s="63" t="n">
        <v>46156</v>
      </c>
      <c r="M179" s="63" t="n"/>
      <c r="N179" s="66" t="n">
        <v>100000</v>
      </c>
      <c r="O179" s="55" t="inlineStr">
        <is>
          <t>3465</t>
        </is>
      </c>
      <c r="P179" s="63" t="n">
        <v>46162</v>
      </c>
      <c r="Q179" s="55" t="n"/>
      <c r="R179" s="55" t="n"/>
      <c r="S179" s="63" t="n"/>
      <c r="T179" s="65" t="inlineStr">
        <is>
          <t>mayo 2026</t>
        </is>
      </c>
    </row>
    <row r="180">
      <c r="A180" s="64" t="n">
        <v>177</v>
      </c>
      <c r="B180" s="55" t="inlineStr">
        <is>
          <t>INVERJENOS S.A.S.</t>
        </is>
      </c>
      <c r="C180" s="55" t="n"/>
      <c r="D180" s="65" t="inlineStr">
        <is>
          <t>ADM</t>
        </is>
      </c>
      <c r="E180" s="65">
        <f>IF(OR(B180="",C180=""),"",IFERROR(VLOOKUP(B180&amp;"|||"&amp;C180,MAESTRA!$A$3:$J$500,6,0),"⚠ No encontrado"))</f>
        <v/>
      </c>
      <c r="F180" s="65">
        <f>IF(OR(B180="",C180=""),"",IFERROR(VLOOKUP(B180&amp;"|||"&amp;C180,MAESTRA!$A$3:$J$500,7,0),"⚠ No encontrado"))</f>
        <v/>
      </c>
      <c r="G180" s="65">
        <f>IF(OR(B180="",C180=""),"",IFERROR(VLOOKUP(B180&amp;"|||"&amp;C180,MAESTRA!$A$3:$J$500,8,0),"⚠ No encontrado"))</f>
        <v/>
      </c>
      <c r="H180" s="65">
        <f>IF(OR(B180="",C180=""),"",IFERROR(VLOOKUP(B180&amp;"|||"&amp;C180,MAESTRA!$A$3:$J$500,9,0),""))</f>
        <v/>
      </c>
      <c r="I180" s="55" t="inlineStr">
        <is>
          <t>NO PAGAR LEGALIZA TARJETA PP GINNA CASTRO CENA TRABAJO TARDE MARIANA Y HEIDY</t>
        </is>
      </c>
      <c r="J180" s="55" t="inlineStr">
        <is>
          <t>Calle 100</t>
        </is>
      </c>
      <c r="K180" s="55" t="inlineStr">
        <is>
          <t>M5022415</t>
        </is>
      </c>
      <c r="L180" s="63" t="n">
        <v>46146</v>
      </c>
      <c r="M180" s="63" t="n"/>
      <c r="N180" s="66" t="n">
        <v>64900</v>
      </c>
      <c r="O180" s="55" t="inlineStr">
        <is>
          <t>3468</t>
        </is>
      </c>
      <c r="P180" s="63" t="n">
        <v>46162</v>
      </c>
      <c r="Q180" s="55" t="n"/>
      <c r="R180" s="55" t="n"/>
      <c r="S180" s="63" t="n"/>
      <c r="T180" s="65" t="inlineStr">
        <is>
          <t>mayo 2026</t>
        </is>
      </c>
    </row>
    <row r="181">
      <c r="A181" s="64" t="n">
        <v>178</v>
      </c>
      <c r="B181" s="55" t="inlineStr">
        <is>
          <t>CREPES Y WAFFLES S A</t>
        </is>
      </c>
      <c r="C181" s="55" t="n"/>
      <c r="D181" s="65" t="inlineStr">
        <is>
          <t>GH</t>
        </is>
      </c>
      <c r="E181" s="65">
        <f>IF(OR(B181="",C181=""),"",IFERROR(VLOOKUP(B181&amp;"|||"&amp;C181,MAESTRA!$A$3:$J$500,6,0),"⚠ No encontrado"))</f>
        <v/>
      </c>
      <c r="F181" s="65">
        <f>IF(OR(B181="",C181=""),"",IFERROR(VLOOKUP(B181&amp;"|||"&amp;C181,MAESTRA!$A$3:$J$500,7,0),"⚠ No encontrado"))</f>
        <v/>
      </c>
      <c r="G181" s="65">
        <f>IF(OR(B181="",C181=""),"",IFERROR(VLOOKUP(B181&amp;"|||"&amp;C181,MAESTRA!$A$3:$J$500,8,0),"⚠ No encontrado"))</f>
        <v/>
      </c>
      <c r="H181" s="65">
        <f>IF(OR(B181="",C181=""),"",IFERROR(VLOOKUP(B181&amp;"|||"&amp;C181,MAESTRA!$A$3:$J$500,9,0),""))</f>
        <v/>
      </c>
      <c r="I181" s="55" t="inlineStr">
        <is>
          <t>NO PAGAR LEGALIZA TARJETA PP GINNA CASTRO ALMUERZO BIENVENIDA IVAN BAUTISTA</t>
        </is>
      </c>
      <c r="J181" s="55" t="inlineStr">
        <is>
          <t>Calle 100</t>
        </is>
      </c>
      <c r="K181" s="55" t="inlineStr">
        <is>
          <t>R06E504198</t>
        </is>
      </c>
      <c r="L181" s="63" t="n">
        <v>46148</v>
      </c>
      <c r="M181" s="63" t="n"/>
      <c r="N181" s="66" t="n">
        <v>98800</v>
      </c>
      <c r="O181" s="55" t="inlineStr">
        <is>
          <t>3470</t>
        </is>
      </c>
      <c r="P181" s="63" t="n">
        <v>46162</v>
      </c>
      <c r="Q181" s="55" t="n"/>
      <c r="R181" s="55" t="n"/>
      <c r="S181" s="63" t="n"/>
      <c r="T181" s="65" t="inlineStr">
        <is>
          <t>mayo 2026</t>
        </is>
      </c>
    </row>
    <row r="182">
      <c r="A182" s="64" t="n">
        <v>179</v>
      </c>
      <c r="B182" s="55" t="inlineStr">
        <is>
          <t>Nicolukas SA</t>
        </is>
      </c>
      <c r="C182" s="55" t="n"/>
      <c r="D182" s="65" t="inlineStr">
        <is>
          <t>GH</t>
        </is>
      </c>
      <c r="E182" s="65">
        <f>IF(OR(B182="",C182=""),"",IFERROR(VLOOKUP(B182&amp;"|||"&amp;C182,MAESTRA!$A$3:$J$500,6,0),"⚠ No encontrado"))</f>
        <v/>
      </c>
      <c r="F182" s="65">
        <f>IF(OR(B182="",C182=""),"",IFERROR(VLOOKUP(B182&amp;"|||"&amp;C182,MAESTRA!$A$3:$J$500,7,0),"⚠ No encontrado"))</f>
        <v/>
      </c>
      <c r="G182" s="65">
        <f>IF(OR(B182="",C182=""),"",IFERROR(VLOOKUP(B182&amp;"|||"&amp;C182,MAESTRA!$A$3:$J$500,8,0),"⚠ No encontrado"))</f>
        <v/>
      </c>
      <c r="H182" s="65">
        <f>IF(OR(B182="",C182=""),"",IFERROR(VLOOKUP(B182&amp;"|||"&amp;C182,MAESTRA!$A$3:$J$500,9,0),""))</f>
        <v/>
      </c>
      <c r="I182" s="55" t="inlineStr">
        <is>
          <t>NO PAGAR LEGALIZA TC 9994 COMPRA TORTA CUMPLEAÑOS SILVIA TRIANA</t>
        </is>
      </c>
      <c r="J182" s="55" t="inlineStr">
        <is>
          <t>Calle 100</t>
        </is>
      </c>
      <c r="K182" s="55" t="inlineStr">
        <is>
          <t>F10642331</t>
        </is>
      </c>
      <c r="L182" s="63" t="n">
        <v>46167</v>
      </c>
      <c r="M182" s="63" t="n"/>
      <c r="N182" s="66" t="n">
        <v>93000</v>
      </c>
      <c r="O182" s="55" t="inlineStr">
        <is>
          <t>6411</t>
        </is>
      </c>
      <c r="P182" s="63" t="n">
        <v>46178</v>
      </c>
      <c r="Q182" s="55" t="n"/>
      <c r="R182" s="55" t="n"/>
      <c r="S182" s="63" t="n"/>
      <c r="T182" s="65" t="inlineStr">
        <is>
          <t>mayo 2026</t>
        </is>
      </c>
    </row>
    <row r="183">
      <c r="A183" s="64" t="n">
        <v>180</v>
      </c>
      <c r="B183" s="55" t="inlineStr">
        <is>
          <t>ASOCIACION COLOMBIANA DE OFICIALES DE CUMPLIMIENTO</t>
        </is>
      </c>
      <c r="C183" s="55" t="n"/>
      <c r="D183" s="65" t="inlineStr">
        <is>
          <t>ADM</t>
        </is>
      </c>
      <c r="E183" s="65">
        <f>IF(OR(B183="",C183=""),"",IFERROR(VLOOKUP(B183&amp;"|||"&amp;C183,MAESTRA!$A$3:$J$500,6,0),"⚠ No encontrado"))</f>
        <v/>
      </c>
      <c r="F183" s="65">
        <f>IF(OR(B183="",C183=""),"",IFERROR(VLOOKUP(B183&amp;"|||"&amp;C183,MAESTRA!$A$3:$J$500,7,0),"⚠ No encontrado"))</f>
        <v/>
      </c>
      <c r="G183" s="65">
        <f>IF(OR(B183="",C183=""),"",IFERROR(VLOOKUP(B183&amp;"|||"&amp;C183,MAESTRA!$A$3:$J$500,8,0),"⚠ No encontrado"))</f>
        <v/>
      </c>
      <c r="H183" s="65">
        <f>IF(OR(B183="",C183=""),"",IFERROR(VLOOKUP(B183&amp;"|||"&amp;C183,MAESTRA!$A$3:$J$500,9,0),""))</f>
        <v/>
      </c>
      <c r="I183" s="55" t="inlineStr">
        <is>
          <t>NO PAGAR LEGALIZA ANTICIPO SOLICITADO POR KAREN SALDAÑA CERTIFICACON OFICIAL DE CUMPLIMIENTO</t>
        </is>
      </c>
      <c r="J183" s="55" t="inlineStr">
        <is>
          <t>Transversal</t>
        </is>
      </c>
      <c r="K183" s="55" t="inlineStr">
        <is>
          <t>ACOF544</t>
        </is>
      </c>
      <c r="L183" s="63" t="n">
        <v>46162</v>
      </c>
      <c r="M183" s="63" t="n"/>
      <c r="N183" s="66" t="n">
        <v>476000</v>
      </c>
      <c r="O183" s="55" t="inlineStr">
        <is>
          <t>6418</t>
        </is>
      </c>
      <c r="P183" s="63" t="n">
        <v>46178</v>
      </c>
      <c r="Q183" s="55" t="n"/>
      <c r="R183" s="55" t="n"/>
      <c r="S183" s="63" t="n"/>
      <c r="T183" s="65" t="inlineStr">
        <is>
          <t>mayo 2026</t>
        </is>
      </c>
    </row>
    <row r="184">
      <c r="A184" s="64" t="n">
        <v>181</v>
      </c>
      <c r="B184" s="55" t="inlineStr">
        <is>
          <t>TUGO SAS</t>
        </is>
      </c>
      <c r="C184" s="55" t="n"/>
      <c r="D184" s="65" t="inlineStr">
        <is>
          <t>ADM</t>
        </is>
      </c>
      <c r="E184" s="65">
        <f>IF(OR(B184="",C184=""),"",IFERROR(VLOOKUP(B184&amp;"|||"&amp;C184,MAESTRA!$A$3:$J$500,6,0),"⚠ No encontrado"))</f>
        <v/>
      </c>
      <c r="F184" s="65">
        <f>IF(OR(B184="",C184=""),"",IFERROR(VLOOKUP(B184&amp;"|||"&amp;C184,MAESTRA!$A$3:$J$500,7,0),"⚠ No encontrado"))</f>
        <v/>
      </c>
      <c r="G184" s="65" t="inlineStr">
        <is>
          <t>Conservacion Y Manutenimiento De Oficina</t>
        </is>
      </c>
      <c r="H184" s="65">
        <f>IF(OR(B184="",C184=""),"",IFERROR(VLOOKUP(B184&amp;"|||"&amp;C184,MAESTRA!$A$3:$J$500,9,0),""))</f>
        <v/>
      </c>
      <c r="I184" s="55" t="inlineStr">
        <is>
          <t>NO PAGAR LEGALIZA UN PARCIAL DE LA NC QUE SE TIENE CON TUGO 3 SILLAS RECPECIO</t>
        </is>
      </c>
      <c r="J184" s="55" t="inlineStr">
        <is>
          <t>Calle 100</t>
        </is>
      </c>
      <c r="K184" s="55" t="inlineStr">
        <is>
          <t>03FD013230</t>
        </is>
      </c>
      <c r="L184" s="63" t="n">
        <v>46167</v>
      </c>
      <c r="M184" s="63" t="n"/>
      <c r="N184" s="66" t="n">
        <v>1199970</v>
      </c>
      <c r="O184" s="55" t="inlineStr">
        <is>
          <t>6477</t>
        </is>
      </c>
      <c r="P184" s="63" t="n">
        <v>46178</v>
      </c>
      <c r="Q184" s="55" t="n"/>
      <c r="R184" s="55" t="n"/>
      <c r="S184" s="63" t="n"/>
      <c r="T184" s="65" t="inlineStr">
        <is>
          <t>mayo 2026</t>
        </is>
      </c>
    </row>
    <row r="185">
      <c r="A185" s="64" t="n">
        <v>182</v>
      </c>
      <c r="B185" s="55" t="inlineStr">
        <is>
          <t>IKSO SAS</t>
        </is>
      </c>
      <c r="C185" s="55" t="n"/>
      <c r="D185" s="65" t="inlineStr">
        <is>
          <t>ADM</t>
        </is>
      </c>
      <c r="E185" s="65">
        <f>IF(OR(B185="",C185=""),"",IFERROR(VLOOKUP(B185&amp;"|||"&amp;C185,MAESTRA!$A$3:$J$500,6,0),"⚠ No encontrado"))</f>
        <v/>
      </c>
      <c r="F185" s="65">
        <f>IF(OR(B185="",C185=""),"",IFERROR(VLOOKUP(B185&amp;"|||"&amp;C185,MAESTRA!$A$3:$J$500,7,0),"⚠ No encontrado"))</f>
        <v/>
      </c>
      <c r="G185" s="65" t="inlineStr">
        <is>
          <t>Conservacion Y Manutenimiento De Oficina</t>
        </is>
      </c>
      <c r="H185" s="65">
        <f>IF(OR(B185="",C185=""),"",IFERROR(VLOOKUP(B185&amp;"|||"&amp;C185,MAESTRA!$A$3:$J$500,9,0),""))</f>
        <v/>
      </c>
      <c r="I185" s="55" t="inlineStr">
        <is>
          <t>NO PAGAR LEGALIZA TC BB 9994 COMPRA DECORACION DE LA OFICINA RECEPCION CALLE 100</t>
        </is>
      </c>
      <c r="J185" s="55" t="inlineStr">
        <is>
          <t>Calle 100</t>
        </is>
      </c>
      <c r="K185" s="55" t="inlineStr">
        <is>
          <t>F107105548</t>
        </is>
      </c>
      <c r="L185" s="63" t="n">
        <v>46164</v>
      </c>
      <c r="M185" s="63" t="n"/>
      <c r="N185" s="66" t="n">
        <v>259890</v>
      </c>
      <c r="O185" s="55" t="inlineStr">
        <is>
          <t>6430</t>
        </is>
      </c>
      <c r="P185" s="63" t="n">
        <v>46178</v>
      </c>
      <c r="Q185" s="55" t="n"/>
      <c r="R185" s="55" t="n"/>
      <c r="S185" s="63" t="n"/>
      <c r="T185" s="65" t="inlineStr">
        <is>
          <t>mayo 2026</t>
        </is>
      </c>
    </row>
    <row r="186">
      <c r="A186" s="64" t="n">
        <v>183</v>
      </c>
      <c r="B186" s="55" t="inlineStr">
        <is>
          <t>GASEOSAS LUX S.A.S.</t>
        </is>
      </c>
      <c r="C186" s="55" t="n"/>
      <c r="D186" s="65" t="inlineStr">
        <is>
          <t>ADM</t>
        </is>
      </c>
      <c r="E186" s="65">
        <f>IF(OR(B186="",C186=""),"",IFERROR(VLOOKUP(B186&amp;"|||"&amp;C186,MAESTRA!$A$3:$J$500,6,0),"⚠ No encontrado"))</f>
        <v/>
      </c>
      <c r="F186" s="65">
        <f>IF(OR(B186="",C186=""),"",IFERROR(VLOOKUP(B186&amp;"|||"&amp;C186,MAESTRA!$A$3:$J$500,7,0),"⚠ No encontrado"))</f>
        <v/>
      </c>
      <c r="G186" s="65" t="inlineStr">
        <is>
          <t>Material Copa/Cozinha</t>
        </is>
      </c>
      <c r="H186" s="65">
        <f>IF(OR(B186="",C186=""),"",IFERROR(VLOOKUP(B186&amp;"|||"&amp;C186,MAESTRA!$A$3:$J$500,9,0),""))</f>
        <v/>
      </c>
      <c r="I186" s="55" t="inlineStr">
        <is>
          <t>NO PAGAR LEGALIZA CAJA MENOR CRAFT AEROPUERTO COMPRA 4 BOTELLONES DE AGUA</t>
        </is>
      </c>
      <c r="J186" s="55" t="inlineStr">
        <is>
          <t>Aeropuerto</t>
        </is>
      </c>
      <c r="K186" s="55" t="inlineStr">
        <is>
          <t>GL071677479</t>
        </is>
      </c>
      <c r="L186" s="63" t="n">
        <v>46163</v>
      </c>
      <c r="M186" s="63" t="n"/>
      <c r="N186" s="66" t="n">
        <v>53400</v>
      </c>
      <c r="O186" s="55" t="n"/>
      <c r="P186" s="63" t="n"/>
      <c r="Q186" s="55" t="n"/>
      <c r="R186" s="55" t="n"/>
      <c r="S186" s="63" t="n"/>
      <c r="T186" s="65" t="inlineStr">
        <is>
          <t>mayo 2026</t>
        </is>
      </c>
    </row>
    <row r="187">
      <c r="A187" s="64" t="n">
        <v>184</v>
      </c>
      <c r="B187" s="55" t="inlineStr">
        <is>
          <t>SUPERMARKET LA COLOMBIANA SAS ZOMAC</t>
        </is>
      </c>
      <c r="C187" s="55" t="n"/>
      <c r="D187" s="65" t="inlineStr">
        <is>
          <t>ADM</t>
        </is>
      </c>
      <c r="E187" s="65">
        <f>IF(OR(B187="",C187=""),"",IFERROR(VLOOKUP(B187&amp;"|||"&amp;C187,MAESTRA!$A$3:$J$500,6,0),"⚠ No encontrado"))</f>
        <v/>
      </c>
      <c r="F187" s="65">
        <f>IF(OR(B187="",C187=""),"",IFERROR(VLOOKUP(B187&amp;"|||"&amp;C187,MAESTRA!$A$3:$J$500,7,0),"⚠ No encontrado"))</f>
        <v/>
      </c>
      <c r="G187" s="65" t="inlineStr">
        <is>
          <t>Material Copa/Cozinha</t>
        </is>
      </c>
      <c r="H187" s="65">
        <f>IF(OR(B187="",C187=""),"",IFERROR(VLOOKUP(B187&amp;"|||"&amp;C187,MAESTRA!$A$3:$J$500,9,0),""))</f>
        <v/>
      </c>
      <c r="I187" s="55" t="inlineStr">
        <is>
          <t>NO PAGAR LEGALIZA CAJA MENOR BUENAVENTURA COMPRA BOTELLON DE AGUA</t>
        </is>
      </c>
      <c r="J187" s="55" t="inlineStr">
        <is>
          <t>Buenaventura</t>
        </is>
      </c>
      <c r="K187" s="55" t="inlineStr">
        <is>
          <t>SMEF64077</t>
        </is>
      </c>
      <c r="L187" s="63" t="n">
        <v>46161</v>
      </c>
      <c r="M187" s="63" t="n"/>
      <c r="N187" s="66" t="n">
        <v>30000</v>
      </c>
      <c r="O187" s="55" t="inlineStr">
        <is>
          <t>24</t>
        </is>
      </c>
      <c r="P187" s="63" t="n">
        <v>46178</v>
      </c>
      <c r="Q187" s="55" t="n"/>
      <c r="R187" s="55" t="n"/>
      <c r="S187" s="63" t="n"/>
      <c r="T187" s="65" t="inlineStr">
        <is>
          <t>mayo 2026</t>
        </is>
      </c>
    </row>
    <row r="188">
      <c r="A188" s="64" t="n">
        <v>185</v>
      </c>
      <c r="B188" s="55" t="inlineStr">
        <is>
          <t>CREPES Y WAFFLES S A</t>
        </is>
      </c>
      <c r="C188" s="55" t="n"/>
      <c r="D188" s="65" t="inlineStr">
        <is>
          <t>ADM</t>
        </is>
      </c>
      <c r="E188" s="65">
        <f>IF(OR(B188="",C188=""),"",IFERROR(VLOOKUP(B188&amp;"|||"&amp;C188,MAESTRA!$A$3:$J$500,6,0),"⚠ No encontrado"))</f>
        <v/>
      </c>
      <c r="F188" s="65">
        <f>IF(OR(B188="",C188=""),"",IFERROR(VLOOKUP(B188&amp;"|||"&amp;C188,MAESTRA!$A$3:$J$500,7,0),"⚠ No encontrado"))</f>
        <v/>
      </c>
      <c r="G188" s="65" t="inlineStr">
        <is>
          <t>Cumpleaños</t>
        </is>
      </c>
      <c r="H188" s="65">
        <f>IF(OR(B188="",C188=""),"",IFERROR(VLOOKUP(B188&amp;"|||"&amp;C188,MAESTRA!$A$3:$J$500,9,0),""))</f>
        <v/>
      </c>
      <c r="I188" s="55" t="inlineStr">
        <is>
          <t>NO PAGAR LEGALIZA CAJA MENOR BOGOTA POSTRES LINA ROLDAN,NANCY ZANABRIA,ANGEE GOMEZ</t>
        </is>
      </c>
      <c r="J188" s="55" t="inlineStr">
        <is>
          <t>Calle 100</t>
        </is>
      </c>
      <c r="K188" s="55" t="inlineStr">
        <is>
          <t>R06E510571</t>
        </is>
      </c>
      <c r="L188" s="63" t="n">
        <v>46164</v>
      </c>
      <c r="M188" s="63" t="n"/>
      <c r="N188" s="66" t="n">
        <v>36700</v>
      </c>
      <c r="O188" s="55" t="inlineStr">
        <is>
          <t>6433</t>
        </is>
      </c>
      <c r="P188" s="63" t="n">
        <v>46178</v>
      </c>
      <c r="Q188" s="55" t="n"/>
      <c r="R188" s="55" t="n"/>
      <c r="S188" s="63" t="n"/>
      <c r="T188" s="65" t="inlineStr">
        <is>
          <t>mayo 2026</t>
        </is>
      </c>
    </row>
    <row r="189">
      <c r="A189" s="64" t="n">
        <v>186</v>
      </c>
      <c r="B189" s="55" t="inlineStr">
        <is>
          <t>FALABELLA DE COLOMBIA S A</t>
        </is>
      </c>
      <c r="C189" s="55" t="n"/>
      <c r="D189" s="65" t="inlineStr">
        <is>
          <t>ADM</t>
        </is>
      </c>
      <c r="E189" s="65">
        <f>IF(OR(B189="",C189=""),"",IFERROR(VLOOKUP(B189&amp;"|||"&amp;C189,MAESTRA!$A$3:$J$500,6,0),"⚠ No encontrado"))</f>
        <v/>
      </c>
      <c r="F189" s="65">
        <f>IF(OR(B189="",C189=""),"",IFERROR(VLOOKUP(B189&amp;"|||"&amp;C189,MAESTRA!$A$3:$J$500,7,0),"⚠ No encontrado"))</f>
        <v/>
      </c>
      <c r="G189" s="65" t="inlineStr">
        <is>
          <t>Conservacion Y Manutenimiento De Oficina</t>
        </is>
      </c>
      <c r="H189" s="65">
        <f>IF(OR(B189="",C189=""),"",IFERROR(VLOOKUP(B189&amp;"|||"&amp;C189,MAESTRA!$A$3:$J$500,9,0),""))</f>
        <v/>
      </c>
      <c r="I189" s="55" t="inlineStr">
        <is>
          <t>NO PAGAR LEGALIZA TARJTA PP GINNA CASTRO COMPRA MATA DECORACION RECEPCION CALLE 100</t>
        </is>
      </c>
      <c r="J189" s="55" t="inlineStr">
        <is>
          <t>Calle 100</t>
        </is>
      </c>
      <c r="K189" s="55" t="inlineStr">
        <is>
          <t>UC38197096</t>
        </is>
      </c>
      <c r="L189" s="63" t="n">
        <v>46166</v>
      </c>
      <c r="M189" s="63" t="n"/>
      <c r="N189" s="66" t="n">
        <v>62490</v>
      </c>
      <c r="O189" s="55" t="inlineStr">
        <is>
          <t>6439</t>
        </is>
      </c>
      <c r="P189" s="63" t="n">
        <v>46178</v>
      </c>
      <c r="Q189" s="55" t="n"/>
      <c r="R189" s="55" t="n"/>
      <c r="S189" s="63" t="n"/>
      <c r="T189" s="65" t="inlineStr">
        <is>
          <t>mayo 2026</t>
        </is>
      </c>
    </row>
    <row r="190">
      <c r="A190" s="64" t="n">
        <v>187</v>
      </c>
      <c r="B190" s="55" t="inlineStr">
        <is>
          <t>COMERCIAL PAPELERA SA</t>
        </is>
      </c>
      <c r="C190" s="55" t="n"/>
      <c r="D190" s="65" t="inlineStr">
        <is>
          <t>GH</t>
        </is>
      </c>
      <c r="E190" s="65">
        <f>IF(OR(B190="",C190=""),"",IFERROR(VLOOKUP(B190&amp;"|||"&amp;C190,MAESTRA!$A$3:$J$500,6,0),"⚠ No encontrado"))</f>
        <v/>
      </c>
      <c r="F190" s="65">
        <f>IF(OR(B190="",C190=""),"",IFERROR(VLOOKUP(B190&amp;"|||"&amp;C190,MAESTRA!$A$3:$J$500,7,0),"⚠ No encontrado"))</f>
        <v/>
      </c>
      <c r="G190" s="65" t="inlineStr">
        <is>
          <t>Cumpleaños</t>
        </is>
      </c>
      <c r="H190" s="65">
        <f>IF(OR(B190="",C190=""),"",IFERROR(VLOOKUP(B190&amp;"|||"&amp;C190,MAESTRA!$A$3:$J$500,9,0),""))</f>
        <v/>
      </c>
      <c r="I190" s="55" t="inlineStr">
        <is>
          <t>NO PAGAR LEGALIZA TARJETA PP GINNA CASTRO COMPRA ELEMENTOS DECORACIÓN CUMPLEAÑOS</t>
        </is>
      </c>
      <c r="J190" s="55" t="inlineStr">
        <is>
          <t>Calle 100</t>
        </is>
      </c>
      <c r="K190" s="55" t="inlineStr">
        <is>
          <t>FE03390848</t>
        </is>
      </c>
      <c r="L190" s="63" t="n">
        <v>46168</v>
      </c>
      <c r="M190" s="63" t="n"/>
      <c r="N190" s="66" t="n">
        <v>46400</v>
      </c>
      <c r="O190" s="55" t="inlineStr">
        <is>
          <t>6441</t>
        </is>
      </c>
      <c r="P190" s="63" t="n">
        <v>46178</v>
      </c>
      <c r="Q190" s="55" t="n"/>
      <c r="R190" s="55" t="n"/>
      <c r="S190" s="63" t="n"/>
      <c r="T190" s="65" t="inlineStr">
        <is>
          <t>mayo 2026</t>
        </is>
      </c>
    </row>
    <row r="191">
      <c r="A191" s="64" t="n">
        <v>188</v>
      </c>
      <c r="B191" s="55" t="inlineStr">
        <is>
          <t>GALARDON S.A.S.</t>
        </is>
      </c>
      <c r="C191" s="55" t="n"/>
      <c r="D191" s="65" t="inlineStr">
        <is>
          <t>ADM</t>
        </is>
      </c>
      <c r="E191" s="65">
        <f>IF(OR(B191="",C191=""),"",IFERROR(VLOOKUP(B191&amp;"|||"&amp;C191,MAESTRA!$A$3:$J$500,6,0),"⚠ No encontrado"))</f>
        <v/>
      </c>
      <c r="F191" s="65">
        <f>IF(OR(B191="",C191=""),"",IFERROR(VLOOKUP(B191&amp;"|||"&amp;C191,MAESTRA!$A$3:$J$500,7,0),"⚠ No encontrado"))</f>
        <v/>
      </c>
      <c r="G191" s="65" t="inlineStr">
        <is>
          <t>Cumpleaños</t>
        </is>
      </c>
      <c r="H191" s="65">
        <f>IF(OR(B191="",C191=""),"",IFERROR(VLOOKUP(B191&amp;"|||"&amp;C191,MAESTRA!$A$3:$J$500,9,0),""))</f>
        <v/>
      </c>
      <c r="I191" s="55" t="inlineStr">
        <is>
          <t>NO PAGAR LEGALIZA CAJA MENOR BOGOTA COMPRA DECORACION CUMPLEÑOS ALGG</t>
        </is>
      </c>
      <c r="J191" s="55" t="inlineStr">
        <is>
          <t>Calle 100</t>
        </is>
      </c>
      <c r="K191" s="55" t="inlineStr">
        <is>
          <t>GSFE1603</t>
        </is>
      </c>
      <c r="L191" s="63" t="n">
        <v>46168</v>
      </c>
      <c r="M191" s="63" t="n"/>
      <c r="N191" s="66" t="n">
        <v>24500</v>
      </c>
      <c r="O191" s="55" t="inlineStr">
        <is>
          <t>6446</t>
        </is>
      </c>
      <c r="P191" s="63" t="n">
        <v>46178</v>
      </c>
      <c r="Q191" s="55" t="n"/>
      <c r="R191" s="55" t="n"/>
      <c r="S191" s="63" t="n"/>
      <c r="T191" s="65" t="inlineStr">
        <is>
          <t>mayo 2026</t>
        </is>
      </c>
    </row>
    <row r="192">
      <c r="A192" s="64" t="n">
        <v>189</v>
      </c>
      <c r="B192" s="55" t="inlineStr">
        <is>
          <t>CADENA COMERCIAL OXXO COLOMBIA S A S</t>
        </is>
      </c>
      <c r="C192" s="55" t="n"/>
      <c r="D192" s="65" t="inlineStr">
        <is>
          <t>ADM</t>
        </is>
      </c>
      <c r="E192" s="65">
        <f>IF(OR(B192="",C192=""),"",IFERROR(VLOOKUP(B192&amp;"|||"&amp;C192,MAESTRA!$A$3:$J$500,6,0),"⚠ No encontrado"))</f>
        <v/>
      </c>
      <c r="F192" s="65">
        <f>IF(OR(B192="",C192=""),"",IFERROR(VLOOKUP(B192&amp;"|||"&amp;C192,MAESTRA!$A$3:$J$500,7,0),"⚠ No encontrado"))</f>
        <v/>
      </c>
      <c r="G192" s="65">
        <f>IF(OR(B192="",C192=""),"",IFERROR(VLOOKUP(B192&amp;"|||"&amp;C192,MAESTRA!$A$3:$J$500,8,0),"⚠ No encontrado"))</f>
        <v/>
      </c>
      <c r="H192" s="65">
        <f>IF(OR(B192="",C192=""),"",IFERROR(VLOOKUP(B192&amp;"|||"&amp;C192,MAESTRA!$A$3:$J$500,9,0),""))</f>
        <v/>
      </c>
      <c r="I192" s="55" t="inlineStr">
        <is>
          <t>NO PAGAR LEGALIZA CAJA MENOR BOGOTA COMPRA GALLETS REUNION SST</t>
        </is>
      </c>
      <c r="J192" s="55" t="inlineStr">
        <is>
          <t>Calle 100</t>
        </is>
      </c>
      <c r="K192" s="55" t="inlineStr">
        <is>
          <t>234C253068</t>
        </is>
      </c>
      <c r="L192" s="63" t="n">
        <v>46168</v>
      </c>
      <c r="M192" s="63" t="n"/>
      <c r="N192" s="66" t="n">
        <v>4800</v>
      </c>
      <c r="O192" s="55" t="inlineStr">
        <is>
          <t>6448</t>
        </is>
      </c>
      <c r="P192" s="63" t="n">
        <v>46178</v>
      </c>
      <c r="Q192" s="55" t="n"/>
      <c r="R192" s="55" t="n"/>
      <c r="S192" s="63" t="n"/>
      <c r="T192" s="65" t="inlineStr">
        <is>
          <t>mayo 2026</t>
        </is>
      </c>
    </row>
    <row r="193">
      <c r="A193" s="64" t="n">
        <v>190</v>
      </c>
      <c r="B193" s="55" t="inlineStr">
        <is>
          <t>CREPES Y WAFFLES S A</t>
        </is>
      </c>
      <c r="C193" s="55" t="n"/>
      <c r="D193" s="65" t="inlineStr">
        <is>
          <t>ADM</t>
        </is>
      </c>
      <c r="E193" s="65">
        <f>IF(OR(B193="",C193=""),"",IFERROR(VLOOKUP(B193&amp;"|||"&amp;C193,MAESTRA!$A$3:$J$500,6,0),"⚠ No encontrado"))</f>
        <v/>
      </c>
      <c r="F193" s="65">
        <f>IF(OR(B193="",C193=""),"",IFERROR(VLOOKUP(B193&amp;"|||"&amp;C193,MAESTRA!$A$3:$J$500,7,0),"⚠ No encontrado"))</f>
        <v/>
      </c>
      <c r="G193" s="65" t="inlineStr">
        <is>
          <t>Cumpleaños</t>
        </is>
      </c>
      <c r="H193" s="65">
        <f>IF(OR(B193="",C193=""),"",IFERROR(VLOOKUP(B193&amp;"|||"&amp;C193,MAESTRA!$A$3:$J$500,9,0),""))</f>
        <v/>
      </c>
      <c r="I193" s="55" t="inlineStr">
        <is>
          <t>NO PAGAR LEGLIZA CAJA MENOR BOGOTA POSTRE CUMPLEAÑOS VIVIAN DORADO</t>
        </is>
      </c>
      <c r="J193" s="55" t="inlineStr">
        <is>
          <t>Calle 100</t>
        </is>
      </c>
      <c r="K193" s="55" t="inlineStr">
        <is>
          <t>R06E513152</t>
        </is>
      </c>
      <c r="L193" s="63" t="n">
        <v>46170</v>
      </c>
      <c r="M193" s="63" t="n"/>
      <c r="N193" s="66" t="n">
        <v>15800</v>
      </c>
      <c r="O193" s="55" t="inlineStr">
        <is>
          <t>6449</t>
        </is>
      </c>
      <c r="P193" s="63" t="n">
        <v>46178</v>
      </c>
      <c r="Q193" s="55" t="n"/>
      <c r="R193" s="55" t="n"/>
      <c r="S193" s="63" t="n"/>
      <c r="T193" s="65" t="inlineStr">
        <is>
          <t>mayo 2026</t>
        </is>
      </c>
    </row>
    <row r="194">
      <c r="A194" s="64" t="n">
        <v>191</v>
      </c>
      <c r="B194" s="55" t="inlineStr">
        <is>
          <t>CADENA COMERCIAL OXXO COLOMBIA S A S</t>
        </is>
      </c>
      <c r="C194" s="55" t="n"/>
      <c r="D194" s="65" t="inlineStr">
        <is>
          <t>ADM</t>
        </is>
      </c>
      <c r="E194" s="65">
        <f>IF(OR(B194="",C194=""),"",IFERROR(VLOOKUP(B194&amp;"|||"&amp;C194,MAESTRA!$A$3:$J$500,6,0),"⚠ No encontrado"))</f>
        <v/>
      </c>
      <c r="F194" s="65">
        <f>IF(OR(B194="",C194=""),"",IFERROR(VLOOKUP(B194&amp;"|||"&amp;C194,MAESTRA!$A$3:$J$500,7,0),"⚠ No encontrado"))</f>
        <v/>
      </c>
      <c r="G194" s="65" t="inlineStr">
        <is>
          <t>Cumpleaños</t>
        </is>
      </c>
      <c r="H194" s="65">
        <f>IF(OR(B194="",C194=""),"",IFERROR(VLOOKUP(B194&amp;"|||"&amp;C194,MAESTRA!$A$3:$J$500,9,0),""))</f>
        <v/>
      </c>
      <c r="I194" s="55" t="inlineStr">
        <is>
          <t>NO PAGAR LEGALIZA CAJA MENOR BOGOTA COMPRA PLATOS Y TENEDORES TORTA ALGG</t>
        </is>
      </c>
      <c r="J194" s="55" t="inlineStr">
        <is>
          <t>Calle 100</t>
        </is>
      </c>
      <c r="K194" s="55" t="inlineStr">
        <is>
          <t>234C253133</t>
        </is>
      </c>
      <c r="L194" s="63" t="n">
        <v>46199</v>
      </c>
      <c r="M194" s="63" t="n"/>
      <c r="N194" s="66" t="n">
        <v>16800</v>
      </c>
      <c r="O194" s="55" t="inlineStr">
        <is>
          <t>6450</t>
        </is>
      </c>
      <c r="P194" s="63" t="n">
        <v>46178</v>
      </c>
      <c r="Q194" s="55" t="n"/>
      <c r="R194" s="55" t="n"/>
      <c r="S194" s="63" t="n"/>
      <c r="T194" s="65" t="inlineStr">
        <is>
          <t>junio 2026</t>
        </is>
      </c>
    </row>
    <row r="195">
      <c r="A195" s="64" t="n">
        <v>192</v>
      </c>
      <c r="B195" s="55" t="inlineStr">
        <is>
          <t>SUPERMARKET LA COLOMBIANA SAS ZOMAC</t>
        </is>
      </c>
      <c r="C195" s="55" t="n"/>
      <c r="D195" s="65" t="inlineStr">
        <is>
          <t>ADM</t>
        </is>
      </c>
      <c r="E195" s="65">
        <f>IF(OR(B195="",C195=""),"",IFERROR(VLOOKUP(B195&amp;"|||"&amp;C195,MAESTRA!$A$3:$J$500,6,0),"⚠ No encontrado"))</f>
        <v/>
      </c>
      <c r="F195" s="65">
        <f>IF(OR(B195="",C195=""),"",IFERROR(VLOOKUP(B195&amp;"|||"&amp;C195,MAESTRA!$A$3:$J$500,7,0),"⚠ No encontrado"))</f>
        <v/>
      </c>
      <c r="G195" s="65" t="inlineStr">
        <is>
          <t>Material Copa/Cozinha</t>
        </is>
      </c>
      <c r="H195" s="65">
        <f>IF(OR(B195="",C195=""),"",IFERROR(VLOOKUP(B195&amp;"|||"&amp;C195,MAESTRA!$A$3:$J$500,9,0),""))</f>
        <v/>
      </c>
      <c r="I195" s="55" t="inlineStr">
        <is>
          <t>NO PAGAR LEGALIZA CAJA MENOR BUENAVENTURA COMPRA BOTELLON DE AGUA</t>
        </is>
      </c>
      <c r="J195" s="55" t="inlineStr">
        <is>
          <t>Buenaventura</t>
        </is>
      </c>
      <c r="K195" s="55" t="inlineStr">
        <is>
          <t>SMEF65182</t>
        </is>
      </c>
      <c r="L195" s="63" t="n">
        <v>46169</v>
      </c>
      <c r="M195" s="63" t="n"/>
      <c r="N195" s="66" t="n">
        <v>30000</v>
      </c>
      <c r="O195" s="55" t="inlineStr">
        <is>
          <t>25</t>
        </is>
      </c>
      <c r="P195" s="63" t="n">
        <v>46178</v>
      </c>
      <c r="Q195" s="55" t="n"/>
      <c r="R195" s="55" t="n"/>
      <c r="S195" s="63" t="n"/>
      <c r="T195" s="65" t="inlineStr">
        <is>
          <t>mayo 2026</t>
        </is>
      </c>
    </row>
    <row r="196">
      <c r="A196" s="64" t="n">
        <v>193</v>
      </c>
      <c r="B196" s="55" t="inlineStr">
        <is>
          <t>CADENA COMERCIAL OXXO COLOMBIA S A S</t>
        </is>
      </c>
      <c r="C196" s="55" t="n"/>
      <c r="D196" s="65" t="inlineStr">
        <is>
          <t>ADM</t>
        </is>
      </c>
      <c r="E196" s="65">
        <f>IF(OR(B196="",C196=""),"",IFERROR(VLOOKUP(B196&amp;"|||"&amp;C196,MAESTRA!$A$3:$J$500,6,0),"⚠ No encontrado"))</f>
        <v/>
      </c>
      <c r="F196" s="65">
        <f>IF(OR(B196="",C196=""),"",IFERROR(VLOOKUP(B196&amp;"|||"&amp;C196,MAESTRA!$A$3:$J$500,7,0),"⚠ No encontrado"))</f>
        <v/>
      </c>
      <c r="G196" s="65">
        <f>IF(OR(B196="",C196=""),"",IFERROR(VLOOKUP(B196&amp;"|||"&amp;C196,MAESTRA!$A$3:$J$500,8,0),"⚠ No encontrado"))</f>
        <v/>
      </c>
      <c r="H196" s="65">
        <f>IF(OR(B196="",C196=""),"",IFERROR(VLOOKUP(B196&amp;"|||"&amp;C196,MAESTRA!$A$3:$J$500,9,0),""))</f>
        <v/>
      </c>
      <c r="I196" s="55" t="inlineStr">
        <is>
          <t>NO PAGAR LEGALIZA CAJA MENOR BOGOT COMPRA REFRIGERIO REUNION NATA SOTO Y ANGEE GOMEZ</t>
        </is>
      </c>
      <c r="J196" s="55" t="inlineStr">
        <is>
          <t>Calle 100</t>
        </is>
      </c>
      <c r="K196" s="55" t="inlineStr">
        <is>
          <t>334C300794</t>
        </is>
      </c>
      <c r="L196" s="63" t="n">
        <v>46169</v>
      </c>
      <c r="M196" s="63" t="n"/>
      <c r="N196" s="66" t="n">
        <v>10700</v>
      </c>
      <c r="O196" s="55" t="inlineStr">
        <is>
          <t>6451</t>
        </is>
      </c>
      <c r="P196" s="63" t="n">
        <v>46178</v>
      </c>
      <c r="Q196" s="55" t="n"/>
      <c r="R196" s="55" t="n"/>
      <c r="S196" s="63" t="n"/>
      <c r="T196" s="65" t="inlineStr">
        <is>
          <t>mayo 2026</t>
        </is>
      </c>
    </row>
    <row r="197">
      <c r="A197" s="64" t="n">
        <v>194</v>
      </c>
      <c r="B197" s="55" t="inlineStr">
        <is>
          <t>PROMOTORA HOTEL SAN FERNANDO PLAZA SA</t>
        </is>
      </c>
      <c r="C197" s="55" t="n"/>
      <c r="D197" s="65" t="inlineStr">
        <is>
          <t>ADM</t>
        </is>
      </c>
      <c r="E197" s="65">
        <f>IF(OR(B197="",C197=""),"",IFERROR(VLOOKUP(B197&amp;"|||"&amp;C197,MAESTRA!$A$3:$J$500,6,0),"⚠ No encontrado"))</f>
        <v/>
      </c>
      <c r="F197" s="65">
        <f>IF(OR(B197="",C197=""),"",IFERROR(VLOOKUP(B197&amp;"|||"&amp;C197,MAESTRA!$A$3:$J$500,7,0),"⚠ No encontrado"))</f>
        <v/>
      </c>
      <c r="G197" s="65" t="inlineStr">
        <is>
          <t>Viagens E Estadias</t>
        </is>
      </c>
      <c r="H197" s="65">
        <f>IF(OR(B197="",C197=""),"",IFERROR(VLOOKUP(B197&amp;"|||"&amp;C197,MAESTRA!$A$3:$J$500,9,0),""))</f>
        <v/>
      </c>
      <c r="I197" s="55" t="inlineStr">
        <is>
          <t>NO PAGAR LEGALIZA SILVIA TRINA ALOJAMIENTO EN MEDELLIN SILVIA TRIANA</t>
        </is>
      </c>
      <c r="J197" s="55" t="inlineStr">
        <is>
          <t>Medellín</t>
        </is>
      </c>
      <c r="K197" s="55" t="inlineStr">
        <is>
          <t>FEA60012</t>
        </is>
      </c>
      <c r="L197" s="63" t="n">
        <v>46169</v>
      </c>
      <c r="M197" s="63" t="n"/>
      <c r="N197" s="66" t="n">
        <v>510510</v>
      </c>
      <c r="O197" s="55" t="inlineStr">
        <is>
          <t>87</t>
        </is>
      </c>
      <c r="P197" s="63" t="n">
        <v>46178</v>
      </c>
      <c r="Q197" s="55" t="n"/>
      <c r="R197" s="55" t="n"/>
      <c r="S197" s="63" t="n"/>
      <c r="T197" s="65" t="inlineStr">
        <is>
          <t>mayo 2026</t>
        </is>
      </c>
    </row>
    <row r="198">
      <c r="A198" s="64" t="n">
        <v>195</v>
      </c>
      <c r="B198" s="55" t="inlineStr">
        <is>
          <t>PROMOTORA HOTEL SAN FERNANDO PLAZA SA</t>
        </is>
      </c>
      <c r="C198" s="55" t="n"/>
      <c r="D198" s="65" t="inlineStr">
        <is>
          <t>ADM</t>
        </is>
      </c>
      <c r="E198" s="65">
        <f>IF(OR(B198="",C198=""),"",IFERROR(VLOOKUP(B198&amp;"|||"&amp;C198,MAESTRA!$A$3:$J$500,6,0),"⚠ No encontrado"))</f>
        <v/>
      </c>
      <c r="F198" s="65">
        <f>IF(OR(B198="",C198=""),"",IFERROR(VLOOKUP(B198&amp;"|||"&amp;C198,MAESTRA!$A$3:$J$500,7,0),"⚠ No encontrado"))</f>
        <v/>
      </c>
      <c r="G198" s="65" t="inlineStr">
        <is>
          <t>Viagens E Estadias</t>
        </is>
      </c>
      <c r="H198" s="65">
        <f>IF(OR(B198="",C198=""),"",IFERROR(VLOOKUP(B198&amp;"|||"&amp;C198,MAESTRA!$A$3:$J$500,9,0),""))</f>
        <v/>
      </c>
      <c r="I198" s="55" t="inlineStr">
        <is>
          <t>NO PAGAR LEGALIZA ANA MARIA FERNANDEZ ALOJAMIENTO EN MEDELLIN NA FERNANDEZ</t>
        </is>
      </c>
      <c r="J198" s="55" t="inlineStr">
        <is>
          <t>Medellín</t>
        </is>
      </c>
      <c r="K198" s="55" t="inlineStr">
        <is>
          <t>FEA60014</t>
        </is>
      </c>
      <c r="L198" s="63" t="n">
        <v>46169</v>
      </c>
      <c r="M198" s="63" t="n"/>
      <c r="N198" s="66" t="n">
        <v>510510</v>
      </c>
      <c r="O198" s="55" t="inlineStr">
        <is>
          <t>88</t>
        </is>
      </c>
      <c r="P198" s="63" t="n">
        <v>46178</v>
      </c>
      <c r="Q198" s="55" t="n"/>
      <c r="R198" s="55" t="n"/>
      <c r="S198" s="63" t="n"/>
      <c r="T198" s="65" t="inlineStr">
        <is>
          <t>mayo 2026</t>
        </is>
      </c>
    </row>
    <row r="199">
      <c r="A199" s="64" t="n">
        <v>196</v>
      </c>
      <c r="B199" s="55" t="inlineStr">
        <is>
          <t>EVLOGIA SAS</t>
        </is>
      </c>
      <c r="C199" s="55" t="n"/>
      <c r="D199" s="65" t="inlineStr">
        <is>
          <t>ADM</t>
        </is>
      </c>
      <c r="E199" s="65">
        <f>IF(OR(B199="",C199=""),"",IFERROR(VLOOKUP(B199&amp;"|||"&amp;C199,MAESTRA!$A$3:$J$500,6,0),"⚠ No encontrado"))</f>
        <v/>
      </c>
      <c r="F199" s="65">
        <f>IF(OR(B199="",C199=""),"",IFERROR(VLOOKUP(B199&amp;"|||"&amp;C199,MAESTRA!$A$3:$J$500,7,0),"⚠ No encontrado"))</f>
        <v/>
      </c>
      <c r="G199" s="65" t="inlineStr">
        <is>
          <t>Gastos De Representacion</t>
        </is>
      </c>
      <c r="H199" s="65">
        <f>IF(OR(B199="",C199=""),"",IFERROR(VLOOKUP(B199&amp;"|||"&amp;C199,MAESTRA!$A$3:$J$500,9,0),""))</f>
        <v/>
      </c>
      <c r="I199" s="55" t="inlineStr">
        <is>
          <t>NO PAGAR LEGLIZA TC BB 0028 ALMUERZO CLIENTE TMA Y AACR</t>
        </is>
      </c>
      <c r="J199" s="55" t="inlineStr">
        <is>
          <t>Calle 100</t>
        </is>
      </c>
      <c r="K199" s="55" t="inlineStr">
        <is>
          <t>FR46416</t>
        </is>
      </c>
      <c r="L199" s="63" t="n">
        <v>46170</v>
      </c>
      <c r="M199" s="63" t="n"/>
      <c r="N199" s="66" t="n">
        <v>545204</v>
      </c>
      <c r="O199" s="55" t="inlineStr">
        <is>
          <t>6479</t>
        </is>
      </c>
      <c r="P199" s="63" t="n">
        <v>46178</v>
      </c>
      <c r="Q199" s="55" t="n"/>
      <c r="R199" s="55" t="n"/>
      <c r="S199" s="63" t="n"/>
      <c r="T199" s="65" t="inlineStr">
        <is>
          <t>mayo 2026</t>
        </is>
      </c>
    </row>
    <row r="200">
      <c r="A200" s="64" t="n">
        <v>197</v>
      </c>
      <c r="B200" s="55" t="inlineStr">
        <is>
          <t>Nicolukas SA</t>
        </is>
      </c>
      <c r="C200" s="55" t="n"/>
      <c r="D200" s="65" t="inlineStr">
        <is>
          <t>ADM</t>
        </is>
      </c>
      <c r="E200" s="65">
        <f>IF(OR(B200="",C200=""),"",IFERROR(VLOOKUP(B200&amp;"|||"&amp;C200,MAESTRA!$A$3:$J$500,6,0),"⚠ No encontrado"))</f>
        <v/>
      </c>
      <c r="F200" s="65">
        <f>IF(OR(B200="",C200=""),"",IFERROR(VLOOKUP(B200&amp;"|||"&amp;C200,MAESTRA!$A$3:$J$500,7,0),"⚠ No encontrado"))</f>
        <v/>
      </c>
      <c r="G200" s="65" t="inlineStr">
        <is>
          <t>Cumpleaños</t>
        </is>
      </c>
      <c r="H200" s="65">
        <f>IF(OR(B200="",C200=""),"",IFERROR(VLOOKUP(B200&amp;"|||"&amp;C200,MAESTRA!$A$3:$J$500,9,0),""))</f>
        <v/>
      </c>
      <c r="I200" s="55" t="inlineStr">
        <is>
          <t>NO PAGAR LEGALIZA TC 9994 COMPRA TORTA CUMPLEAÑOS AURA GONZALEZ</t>
        </is>
      </c>
      <c r="J200" s="55" t="inlineStr">
        <is>
          <t>Calle 100</t>
        </is>
      </c>
      <c r="K200" s="55" t="inlineStr">
        <is>
          <t>F10642387</t>
        </is>
      </c>
      <c r="L200" s="63" t="n">
        <v>46168</v>
      </c>
      <c r="M200" s="63" t="n"/>
      <c r="N200" s="66" t="n">
        <v>232000</v>
      </c>
      <c r="O200" s="55" t="inlineStr">
        <is>
          <t>6466</t>
        </is>
      </c>
      <c r="P200" s="63" t="n">
        <v>46178</v>
      </c>
      <c r="Q200" s="55" t="n"/>
      <c r="R200" s="55" t="n"/>
      <c r="S200" s="63" t="n"/>
      <c r="T200" s="65" t="inlineStr">
        <is>
          <t>mayo 2026</t>
        </is>
      </c>
    </row>
    <row r="201">
      <c r="A201" s="64" t="n">
        <v>198</v>
      </c>
      <c r="B201" s="55" t="inlineStr">
        <is>
          <t>CADENA COMERCIAL OXXO COLOMBIA S A S</t>
        </is>
      </c>
      <c r="C201" s="55" t="n"/>
      <c r="D201" s="65" t="inlineStr">
        <is>
          <t>ADM</t>
        </is>
      </c>
      <c r="E201" s="65">
        <f>IF(OR(B201="",C201=""),"",IFERROR(VLOOKUP(B201&amp;"|||"&amp;C201,MAESTRA!$A$3:$J$500,6,0),"⚠ No encontrado"))</f>
        <v/>
      </c>
      <c r="F201" s="65">
        <f>IF(OR(B201="",C201=""),"",IFERROR(VLOOKUP(B201&amp;"|||"&amp;C201,MAESTRA!$A$3:$J$500,7,0),"⚠ No encontrado"))</f>
        <v/>
      </c>
      <c r="G201" s="65">
        <f>IF(OR(B201="",C201=""),"",IFERROR(VLOOKUP(B201&amp;"|||"&amp;C201,MAESTRA!$A$3:$J$500,8,0),"⚠ No encontrado"))</f>
        <v/>
      </c>
      <c r="H201" s="65">
        <f>IF(OR(B201="",C201=""),"",IFERROR(VLOOKUP(B201&amp;"|||"&amp;C201,MAESTRA!$A$3:$J$500,9,0),""))</f>
        <v/>
      </c>
      <c r="I201" s="55" t="inlineStr">
        <is>
          <t>NO PAGAR LEGALIZA TC BB 9994 COMPRA AGUA REUNION PRACTICANTES UNISABANA</t>
        </is>
      </c>
      <c r="J201" s="55" t="inlineStr">
        <is>
          <t>Transversal</t>
        </is>
      </c>
      <c r="K201" s="55" t="inlineStr">
        <is>
          <t>334C302961</t>
        </is>
      </c>
      <c r="L201" s="63" t="n">
        <v>46174</v>
      </c>
      <c r="M201" s="63" t="n"/>
      <c r="N201" s="66" t="n">
        <v>34800</v>
      </c>
      <c r="O201" s="55" t="inlineStr">
        <is>
          <t>6470</t>
        </is>
      </c>
      <c r="P201" s="63" t="n">
        <v>46178</v>
      </c>
      <c r="Q201" s="55" t="n"/>
      <c r="R201" s="55" t="n"/>
      <c r="S201" s="63" t="n"/>
      <c r="T201" s="65" t="inlineStr">
        <is>
          <t>junio 2026</t>
        </is>
      </c>
    </row>
    <row r="202">
      <c r="A202" s="64" t="n">
        <v>199</v>
      </c>
      <c r="B202" s="55" t="inlineStr">
        <is>
          <t>CADENA COMERCIAL OXXO COLOMBIA S A S</t>
        </is>
      </c>
      <c r="C202" s="55" t="n"/>
      <c r="D202" s="65" t="inlineStr">
        <is>
          <t>ADM</t>
        </is>
      </c>
      <c r="E202" s="65">
        <f>IF(OR(B202="",C202=""),"",IFERROR(VLOOKUP(B202&amp;"|||"&amp;C202,MAESTRA!$A$3:$J$500,6,0),"⚠ No encontrado"))</f>
        <v/>
      </c>
      <c r="F202" s="65">
        <f>IF(OR(B202="",C202=""),"",IFERROR(VLOOKUP(B202&amp;"|||"&amp;C202,MAESTRA!$A$3:$J$500,7,0),"⚠ No encontrado"))</f>
        <v/>
      </c>
      <c r="G202" s="65">
        <f>IF(OR(B202="",C202=""),"",IFERROR(VLOOKUP(B202&amp;"|||"&amp;C202,MAESTRA!$A$3:$J$500,8,0),"⚠ No encontrado"))</f>
        <v/>
      </c>
      <c r="H202" s="65">
        <f>IF(OR(B202="",C202=""),"",IFERROR(VLOOKUP(B202&amp;"|||"&amp;C202,MAESTRA!$A$3:$J$500,9,0),""))</f>
        <v/>
      </c>
      <c r="I202" s="55" t="inlineStr">
        <is>
          <t>NO PAGAR LEGALIZA TC BB 9994 COMPRA QUESO REUNION PRACTICANTES UNISABANA</t>
        </is>
      </c>
      <c r="J202" s="55" t="inlineStr">
        <is>
          <t>Transversal</t>
        </is>
      </c>
      <c r="K202" s="55" t="inlineStr">
        <is>
          <t>234C254925</t>
        </is>
      </c>
      <c r="L202" s="63" t="n">
        <v>46174</v>
      </c>
      <c r="M202" s="63" t="n"/>
      <c r="N202" s="66" t="n">
        <v>35200</v>
      </c>
      <c r="O202" s="55" t="n"/>
      <c r="P202" s="63" t="n"/>
      <c r="Q202" s="55" t="n"/>
      <c r="R202" s="55" t="n"/>
      <c r="S202" s="63" t="n"/>
      <c r="T202" s="65" t="inlineStr">
        <is>
          <t>junio 2026</t>
        </is>
      </c>
    </row>
    <row r="203">
      <c r="A203" s="64" t="n">
        <v>200</v>
      </c>
      <c r="B203" s="55" t="inlineStr">
        <is>
          <t>CAMARA DE COMERCIO DE BOGOTA</t>
        </is>
      </c>
      <c r="C203" s="55" t="n"/>
      <c r="D203" s="65" t="inlineStr">
        <is>
          <t>ADM</t>
        </is>
      </c>
      <c r="E203" s="65">
        <f>IF(OR(B203="",C203=""),"",IFERROR(VLOOKUP(B203&amp;"|||"&amp;C203,MAESTRA!$A$3:$J$500,6,0),"⚠ No encontrado"))</f>
        <v/>
      </c>
      <c r="F203" s="65">
        <f>IF(OR(B203="",C203=""),"",IFERROR(VLOOKUP(B203&amp;"|||"&amp;C203,MAESTRA!$A$3:$J$500,7,0),"⚠ No encontrado"))</f>
        <v/>
      </c>
      <c r="G203" s="65">
        <f>IF(OR(B203="",C203=""),"",IFERROR(VLOOKUP(B203&amp;"|||"&amp;C203,MAESTRA!$A$3:$J$500,8,0),"⚠ No encontrado"))</f>
        <v/>
      </c>
      <c r="H203" s="65">
        <f>IF(OR(B203="",C203=""),"",IFERROR(VLOOKUP(B203&amp;"|||"&amp;C203,MAESTRA!$A$3:$J$500,9,0),""))</f>
        <v/>
      </c>
      <c r="I203" s="55" t="inlineStr">
        <is>
          <t>NO PAGAR LEGALIZA CAJA MENOR BOGOTA COMPRA CERTIFICADO CRA CIO CRAFT</t>
        </is>
      </c>
      <c r="J203" s="55" t="inlineStr">
        <is>
          <t>Transversal</t>
        </is>
      </c>
      <c r="K203" s="55" t="inlineStr">
        <is>
          <t>TV4310677632</t>
        </is>
      </c>
      <c r="L203" s="63" t="n">
        <v>46175</v>
      </c>
      <c r="M203" s="63" t="n"/>
      <c r="N203" s="66" t="n">
        <v>12100</v>
      </c>
      <c r="O203" s="55" t="n"/>
      <c r="P203" s="63" t="n"/>
      <c r="Q203" s="55" t="n"/>
      <c r="R203" s="55" t="n"/>
      <c r="S203" s="63" t="n"/>
      <c r="T203" s="65" t="inlineStr">
        <is>
          <t>junio 2026</t>
        </is>
      </c>
    </row>
    <row r="204">
      <c r="A204" s="64" t="n">
        <v>201</v>
      </c>
      <c r="B204" s="55" t="inlineStr">
        <is>
          <t>ULTRAMAR INVERSIONES S.A.S.</t>
        </is>
      </c>
      <c r="C204" s="55" t="n"/>
      <c r="D204" s="65" t="inlineStr">
        <is>
          <t>ADM</t>
        </is>
      </c>
      <c r="E204" s="65">
        <f>IF(OR(B204="",C204=""),"",IFERROR(VLOOKUP(B204&amp;"|||"&amp;C204,MAESTRA!$A$3:$J$500,6,0),"⚠ No encontrado"))</f>
        <v/>
      </c>
      <c r="F204" s="65">
        <f>IF(OR(B204="",C204=""),"",IFERROR(VLOOKUP(B204&amp;"|||"&amp;C204,MAESTRA!$A$3:$J$500,7,0),"⚠ No encontrado"))</f>
        <v/>
      </c>
      <c r="G204" s="65">
        <f>IF(OR(B204="",C204=""),"",IFERROR(VLOOKUP(B204&amp;"|||"&amp;C204,MAESTRA!$A$3:$J$500,8,0),"⚠ No encontrado"))</f>
        <v/>
      </c>
      <c r="H204" s="65">
        <f>IF(OR(B204="",C204=""),"",IFERROR(VLOOKUP(B204&amp;"|||"&amp;C204,MAESTRA!$A$3:$J$500,9,0),""))</f>
        <v/>
      </c>
      <c r="I204" s="55" t="inlineStr">
        <is>
          <t>NO PAGAR LEGALIZA ANA FERNANDEZ ALMUERZO CLIENTE CARLOS DEL TORO</t>
        </is>
      </c>
      <c r="J204" s="55" t="inlineStr">
        <is>
          <t>Transversal</t>
        </is>
      </c>
      <c r="K204" s="55" t="inlineStr">
        <is>
          <t>FEPL43643</t>
        </is>
      </c>
      <c r="L204" s="63" t="n">
        <v>46171</v>
      </c>
      <c r="M204" s="63" t="n"/>
      <c r="N204" s="66" t="n">
        <v>582100</v>
      </c>
      <c r="O204" s="55" t="inlineStr">
        <is>
          <t>11</t>
        </is>
      </c>
      <c r="P204" s="63" t="n">
        <v>46178</v>
      </c>
      <c r="Q204" s="55" t="n"/>
      <c r="R204" s="55" t="n"/>
      <c r="S204" s="63" t="n"/>
      <c r="T204" s="65" t="inlineStr">
        <is>
          <t>mayo 2026</t>
        </is>
      </c>
    </row>
    <row r="205">
      <c r="A205" s="64" t="n">
        <v>202</v>
      </c>
      <c r="B205" s="55" t="inlineStr">
        <is>
          <t>LONGANIZA SAS</t>
        </is>
      </c>
      <c r="C205" s="55" t="n"/>
      <c r="D205" s="65" t="inlineStr">
        <is>
          <t>ADM</t>
        </is>
      </c>
      <c r="E205" s="65">
        <f>IF(OR(B205="",C205=""),"",IFERROR(VLOOKUP(B205&amp;"|||"&amp;C205,MAESTRA!$A$3:$J$500,6,0),"⚠ No encontrado"))</f>
        <v/>
      </c>
      <c r="F205" s="65">
        <f>IF(OR(B205="",C205=""),"",IFERROR(VLOOKUP(B205&amp;"|||"&amp;C205,MAESTRA!$A$3:$J$500,7,0),"⚠ No encontrado"))</f>
        <v/>
      </c>
      <c r="G205" s="65">
        <f>IF(OR(B205="",C205=""),"",IFERROR(VLOOKUP(B205&amp;"|||"&amp;C205,MAESTRA!$A$3:$J$500,8,0),"⚠ No encontrado"))</f>
        <v/>
      </c>
      <c r="H205" s="65">
        <f>IF(OR(B205="",C205=""),"",IFERROR(VLOOKUP(B205&amp;"|||"&amp;C205,MAESTRA!$A$3:$J$500,9,0),""))</f>
        <v/>
      </c>
      <c r="I205" s="55" t="inlineStr">
        <is>
          <t>NO PAGAR LEGALIZA ANA FERNANDEZ ALMUERZO CLIENTE GMH</t>
        </is>
      </c>
      <c r="J205" s="55" t="inlineStr">
        <is>
          <t>Transversal</t>
        </is>
      </c>
      <c r="K205" s="55" t="inlineStr">
        <is>
          <t>FL16023</t>
        </is>
      </c>
      <c r="L205" s="63" t="n">
        <v>46168</v>
      </c>
      <c r="M205" s="63" t="n"/>
      <c r="N205" s="66" t="n">
        <v>732308</v>
      </c>
      <c r="O205" s="55" t="inlineStr">
        <is>
          <t>6473</t>
        </is>
      </c>
      <c r="P205" s="63" t="n">
        <v>46178</v>
      </c>
      <c r="Q205" s="55" t="n"/>
      <c r="R205" s="55" t="n"/>
      <c r="S205" s="63" t="n"/>
      <c r="T205" s="65" t="inlineStr">
        <is>
          <t>mayo 2026</t>
        </is>
      </c>
    </row>
    <row r="206">
      <c r="A206" s="64" t="n">
        <v>203</v>
      </c>
      <c r="B206" s="55" t="inlineStr">
        <is>
          <t>FIT CHOICES COMPANY S.A.S</t>
        </is>
      </c>
      <c r="C206" s="55" t="n"/>
      <c r="D206" s="65" t="inlineStr">
        <is>
          <t>ADM</t>
        </is>
      </c>
      <c r="E206" s="65">
        <f>IF(OR(B206="",C206=""),"",IFERROR(VLOOKUP(B206&amp;"|||"&amp;C206,MAESTRA!$A$3:$J$500,6,0),"⚠ No encontrado"))</f>
        <v/>
      </c>
      <c r="F206" s="65">
        <f>IF(OR(B206="",C206=""),"",IFERROR(VLOOKUP(B206&amp;"|||"&amp;C206,MAESTRA!$A$3:$J$500,7,0),"⚠ No encontrado"))</f>
        <v/>
      </c>
      <c r="G206" s="65">
        <f>IF(OR(B206="",C206=""),"",IFERROR(VLOOKUP(B206&amp;"|||"&amp;C206,MAESTRA!$A$3:$J$500,8,0),"⚠ No encontrado"))</f>
        <v/>
      </c>
      <c r="H206" s="65">
        <f>IF(OR(B206="",C206=""),"",IFERROR(VLOOKUP(B206&amp;"|||"&amp;C206,MAESTRA!$A$3:$J$500,9,0),""))</f>
        <v/>
      </c>
      <c r="I206" s="55" t="inlineStr">
        <is>
          <t>NO PAGAR LEGALIZA ANA FERNANDEZ CAFÉ ANA MARIA,SILVIA,FABIO MIGUEL Y NADIA</t>
        </is>
      </c>
      <c r="J206" s="55" t="inlineStr">
        <is>
          <t>Transversal</t>
        </is>
      </c>
      <c r="K206" s="55" t="inlineStr">
        <is>
          <t>FIT67243</t>
        </is>
      </c>
      <c r="L206" s="63" t="n">
        <v>46171</v>
      </c>
      <c r="M206" s="63" t="n"/>
      <c r="N206" s="66" t="n">
        <v>85600</v>
      </c>
      <c r="O206" s="55" t="inlineStr">
        <is>
          <t>12</t>
        </is>
      </c>
      <c r="P206" s="63" t="n">
        <v>46178</v>
      </c>
      <c r="Q206" s="55" t="n"/>
      <c r="R206" s="55" t="n"/>
      <c r="S206" s="63" t="n"/>
      <c r="T206" s="65" t="inlineStr">
        <is>
          <t>mayo 2026</t>
        </is>
      </c>
    </row>
    <row r="207">
      <c r="A207" s="64" t="n">
        <v>204</v>
      </c>
      <c r="B207" s="55" t="inlineStr">
        <is>
          <t>MERA MEDELLIN S.A.S</t>
        </is>
      </c>
      <c r="C207" s="55" t="n"/>
      <c r="D207" s="65" t="inlineStr">
        <is>
          <t>ADM</t>
        </is>
      </c>
      <c r="E207" s="65">
        <f>IF(OR(B207="",C207=""),"",IFERROR(VLOOKUP(B207&amp;"|||"&amp;C207,MAESTRA!$A$3:$J$500,6,0),"⚠ No encontrado"))</f>
        <v/>
      </c>
      <c r="F207" s="65">
        <f>IF(OR(B207="",C207=""),"",IFERROR(VLOOKUP(B207&amp;"|||"&amp;C207,MAESTRA!$A$3:$J$500,7,0),"⚠ No encontrado"))</f>
        <v/>
      </c>
      <c r="G207" s="65">
        <f>IF(OR(B207="",C207=""),"",IFERROR(VLOOKUP(B207&amp;"|||"&amp;C207,MAESTRA!$A$3:$J$500,8,0),"⚠ No encontrado"))</f>
        <v/>
      </c>
      <c r="H207" s="65">
        <f>IF(OR(B207="",C207=""),"",IFERROR(VLOOKUP(B207&amp;"|||"&amp;C207,MAESTRA!$A$3:$J$500,9,0),""))</f>
        <v/>
      </c>
      <c r="I207" s="55" t="inlineStr">
        <is>
          <t>NO PAGAR LEGALIZA ANA FERNANDEZ CENA NA FERNNDEZ,SILVIA TRIANA,FABIO MIGUEL</t>
        </is>
      </c>
      <c r="J207" s="55" t="inlineStr">
        <is>
          <t>Transversal</t>
        </is>
      </c>
      <c r="K207" s="55" t="inlineStr">
        <is>
          <t>MCHN240465</t>
        </is>
      </c>
      <c r="L207" s="63" t="n">
        <v>46169</v>
      </c>
      <c r="M207" s="63" t="n"/>
      <c r="N207" s="66" t="n">
        <v>286185</v>
      </c>
      <c r="O207" s="55" t="inlineStr">
        <is>
          <t>89</t>
        </is>
      </c>
      <c r="P207" s="63" t="n">
        <v>46178</v>
      </c>
      <c r="Q207" s="55" t="n"/>
      <c r="R207" s="55" t="n"/>
      <c r="S207" s="63" t="n"/>
      <c r="T207" s="65" t="inlineStr">
        <is>
          <t>mayo 2026</t>
        </is>
      </c>
    </row>
    <row r="208">
      <c r="A208" s="64" t="n">
        <v>205</v>
      </c>
      <c r="B208" s="55" t="inlineStr">
        <is>
          <t>MYSTICFOODS SAS</t>
        </is>
      </c>
      <c r="C208" s="55" t="n"/>
      <c r="D208" s="65" t="inlineStr">
        <is>
          <t>ADM</t>
        </is>
      </c>
      <c r="E208" s="65">
        <f>IF(OR(B208="",C208=""),"",IFERROR(VLOOKUP(B208&amp;"|||"&amp;C208,MAESTRA!$A$3:$J$500,6,0),"⚠ No encontrado"))</f>
        <v/>
      </c>
      <c r="F208" s="65">
        <f>IF(OR(B208="",C208=""),"",IFERROR(VLOOKUP(B208&amp;"|||"&amp;C208,MAESTRA!$A$3:$J$500,7,0),"⚠ No encontrado"))</f>
        <v/>
      </c>
      <c r="G208" s="65">
        <f>IF(OR(B208="",C208=""),"",IFERROR(VLOOKUP(B208&amp;"|||"&amp;C208,MAESTRA!$A$3:$J$500,8,0),"⚠ No encontrado"))</f>
        <v/>
      </c>
      <c r="H208" s="65">
        <f>IF(OR(B208="",C208=""),"",IFERROR(VLOOKUP(B208&amp;"|||"&amp;C208,MAESTRA!$A$3:$J$500,9,0),""))</f>
        <v/>
      </c>
      <c r="I208" s="55" t="inlineStr">
        <is>
          <t>NO PAGAR LEGALIZA ANA FERNANDEZ ALMUERZO CLIENTE A&amp;F</t>
        </is>
      </c>
      <c r="J208" s="55" t="inlineStr">
        <is>
          <t>Transversal</t>
        </is>
      </c>
      <c r="K208" s="55" t="inlineStr">
        <is>
          <t>FE0641497</t>
        </is>
      </c>
      <c r="L208" s="63" t="n">
        <v>46169</v>
      </c>
      <c r="M208" s="63" t="n"/>
      <c r="N208" s="66" t="n">
        <v>549246</v>
      </c>
      <c r="O208" s="55" t="inlineStr">
        <is>
          <t>90</t>
        </is>
      </c>
      <c r="P208" s="63" t="n">
        <v>46178</v>
      </c>
      <c r="Q208" s="55" t="n"/>
      <c r="R208" s="55" t="n"/>
      <c r="S208" s="63" t="n"/>
      <c r="T208" s="65" t="inlineStr">
        <is>
          <t>mayo 2026</t>
        </is>
      </c>
    </row>
    <row r="209">
      <c r="A209" s="64" t="n">
        <v>206</v>
      </c>
      <c r="B209" s="55" t="inlineStr">
        <is>
          <t>LUMIERE GOURMET S.A.S</t>
        </is>
      </c>
      <c r="C209" s="55" t="n"/>
      <c r="D209" s="65" t="inlineStr">
        <is>
          <t>ADM</t>
        </is>
      </c>
      <c r="E209" s="65">
        <f>IF(OR(B209="",C209=""),"",IFERROR(VLOOKUP(B209&amp;"|||"&amp;C209,MAESTRA!$A$3:$J$500,6,0),"⚠ No encontrado"))</f>
        <v/>
      </c>
      <c r="F209" s="65">
        <f>IF(OR(B209="",C209=""),"",IFERROR(VLOOKUP(B209&amp;"|||"&amp;C209,MAESTRA!$A$3:$J$500,7,0),"⚠ No encontrado"))</f>
        <v/>
      </c>
      <c r="G209" s="65">
        <f>IF(OR(B209="",C209=""),"",IFERROR(VLOOKUP(B209&amp;"|||"&amp;C209,MAESTRA!$A$3:$J$500,8,0),"⚠ No encontrado"))</f>
        <v/>
      </c>
      <c r="H209" s="65">
        <f>IF(OR(B209="",C209=""),"",IFERROR(VLOOKUP(B209&amp;"|||"&amp;C209,MAESTRA!$A$3:$J$500,9,0),""))</f>
        <v/>
      </c>
      <c r="I209" s="55" t="inlineStr">
        <is>
          <t>NO PAGAR LEGALIZA ANA FERNANDEZ ALMUERZO CLIENTE ANDES</t>
        </is>
      </c>
      <c r="J209" s="55" t="inlineStr">
        <is>
          <t>Transversal</t>
        </is>
      </c>
      <c r="K209" s="55" t="inlineStr">
        <is>
          <t>SBE4137</t>
        </is>
      </c>
      <c r="L209" s="63" t="n">
        <v>46167</v>
      </c>
      <c r="M209" s="63" t="n"/>
      <c r="N209" s="66" t="n">
        <v>562904</v>
      </c>
      <c r="O209" s="55" t="inlineStr">
        <is>
          <t>6476</t>
        </is>
      </c>
      <c r="P209" s="63" t="n">
        <v>46178</v>
      </c>
      <c r="Q209" s="55" t="n"/>
      <c r="R209" s="55" t="n"/>
      <c r="S209" s="63" t="n"/>
      <c r="T209" s="65" t="inlineStr">
        <is>
          <t>mayo 2026</t>
        </is>
      </c>
    </row>
    <row r="210">
      <c r="A210" s="64" t="n">
        <v>207</v>
      </c>
      <c r="B210" s="55" t="inlineStr">
        <is>
          <t>CAMARA DE COMERCIO DE BOGOTA</t>
        </is>
      </c>
      <c r="C210" s="55" t="n"/>
      <c r="D210" s="65" t="inlineStr">
        <is>
          <t>ADM</t>
        </is>
      </c>
      <c r="E210" s="65">
        <f>IF(OR(B210="",C210=""),"",IFERROR(VLOOKUP(B210&amp;"|||"&amp;C210,MAESTRA!$A$3:$J$500,6,0),"⚠ No encontrado"))</f>
        <v/>
      </c>
      <c r="F210" s="65">
        <f>IF(OR(B210="",C210=""),"",IFERROR(VLOOKUP(B210&amp;"|||"&amp;C210,MAESTRA!$A$3:$J$500,7,0),"⚠ No encontrado"))</f>
        <v/>
      </c>
      <c r="G210" s="65" t="inlineStr">
        <is>
          <t>Trámites notariales autenticaciones</t>
        </is>
      </c>
      <c r="H210" s="65">
        <f>IF(OR(B210="",C210=""),"",IFERROR(VLOOKUP(B210&amp;"|||"&amp;C210,MAESTRA!$A$3:$J$500,9,0),""))</f>
        <v/>
      </c>
      <c r="I210" s="55" t="inlineStr">
        <is>
          <t>NO PAGAR LEGALIZA CAJA MENOR BOGOTA COMPRA CERTI CRA CIO CLIENTE MAP LOGISTICS</t>
        </is>
      </c>
      <c r="J210" s="55" t="inlineStr">
        <is>
          <t>Calle 100</t>
        </is>
      </c>
      <c r="K210" s="55" t="inlineStr">
        <is>
          <t>TV4310691957</t>
        </is>
      </c>
      <c r="L210" s="63" t="n">
        <v>46177</v>
      </c>
      <c r="M210" s="63" t="n"/>
      <c r="N210" s="66" t="n">
        <v>12100</v>
      </c>
      <c r="O210" s="55" t="n"/>
      <c r="P210" s="63" t="n"/>
      <c r="Q210" s="55" t="n"/>
      <c r="R210" s="55" t="n"/>
      <c r="S210" s="63" t="n"/>
      <c r="T210" s="65" t="inlineStr">
        <is>
          <t>junio 2026</t>
        </is>
      </c>
    </row>
    <row r="211">
      <c r="A211" s="64" t="n">
        <v>208</v>
      </c>
      <c r="B211" s="55" t="inlineStr">
        <is>
          <t>Cámara de Comercio de Cali</t>
        </is>
      </c>
      <c r="C211" s="55" t="n"/>
      <c r="D211" s="65" t="inlineStr">
        <is>
          <t>ADM</t>
        </is>
      </c>
      <c r="E211" s="65">
        <f>IF(OR(B211="",C211=""),"",IFERROR(VLOOKUP(B211&amp;"|||"&amp;C211,MAESTRA!$A$3:$J$500,6,0),"⚠ No encontrado"))</f>
        <v/>
      </c>
      <c r="F211" s="65">
        <f>IF(OR(B211="",C211=""),"",IFERROR(VLOOKUP(B211&amp;"|||"&amp;C211,MAESTRA!$A$3:$J$500,7,0),"⚠ No encontrado"))</f>
        <v/>
      </c>
      <c r="G211" s="65" t="inlineStr">
        <is>
          <t>Trámites notariales autenticaciones</t>
        </is>
      </c>
      <c r="H211" s="65">
        <f>IF(OR(B211="",C211=""),"",IFERROR(VLOOKUP(B211&amp;"|||"&amp;C211,MAESTRA!$A$3:$J$500,9,0),""))</f>
        <v/>
      </c>
      <c r="I211" s="55" t="inlineStr">
        <is>
          <t>NO PAGAR LEGALIZA CAJA MENOR BOGOTA COMPRA CERT CRA CIO CLIENTE ONE CARGO</t>
        </is>
      </c>
      <c r="J211" s="55" t="inlineStr">
        <is>
          <t>Cali</t>
        </is>
      </c>
      <c r="K211" s="55" t="inlineStr">
        <is>
          <t>27VT418959</t>
        </is>
      </c>
      <c r="L211" s="63" t="n">
        <v>46177</v>
      </c>
      <c r="M211" s="63" t="n"/>
      <c r="N211" s="66" t="n">
        <v>12100</v>
      </c>
      <c r="O211" s="55" t="n"/>
      <c r="P211" s="63" t="n"/>
      <c r="Q211" s="55" t="n"/>
      <c r="R211" s="55" t="n"/>
      <c r="S211" s="63" t="n"/>
      <c r="T211" s="65" t="inlineStr">
        <is>
          <t>junio 2026</t>
        </is>
      </c>
    </row>
    <row r="212">
      <c r="A212" s="64" t="n">
        <v>209</v>
      </c>
      <c r="B212" s="55" t="inlineStr">
        <is>
          <t>CASALIMPIA SA</t>
        </is>
      </c>
      <c r="C212" s="55" t="n"/>
      <c r="D212" s="65" t="inlineStr">
        <is>
          <t>ADM</t>
        </is>
      </c>
      <c r="E212" s="65">
        <f>IF(OR(B212="",C212=""),"",IFERROR(VLOOKUP(B212&amp;"|||"&amp;C212,MAESTRA!$A$3:$J$500,6,0),"⚠ No encontrado"))</f>
        <v/>
      </c>
      <c r="F212" s="65">
        <f>IF(OR(B212="",C212=""),"",IFERROR(VLOOKUP(B212&amp;"|||"&amp;C212,MAESTRA!$A$3:$J$500,7,0),"⚠ No encontrado"))</f>
        <v/>
      </c>
      <c r="G212" s="65" t="inlineStr">
        <is>
          <t>Otros Gastos CASA LIMPIA PLANILLA AC OTROS</t>
        </is>
      </c>
      <c r="H212" s="65">
        <f>IF(OR(B212="",C212=""),"",IFERROR(VLOOKUP(B212&amp;"|||"&amp;C212,MAESTRA!$A$3:$J$500,9,0),""))</f>
        <v/>
      </c>
      <c r="I212" s="55" t="inlineStr">
        <is>
          <t>NO PAGAR LEGALZIA TC BB 9994 SERVICIO ASEO OF CRAFT BOGOTA REEMPLAZO MARIA MUÑOZ</t>
        </is>
      </c>
      <c r="J212" s="55" t="inlineStr">
        <is>
          <t>Calle 100</t>
        </is>
      </c>
      <c r="K212" s="55" t="inlineStr">
        <is>
          <t>AP236104</t>
        </is>
      </c>
      <c r="L212" s="63" t="n">
        <v>46175</v>
      </c>
      <c r="M212" s="63" t="n"/>
      <c r="N212" s="66" t="n">
        <v>365040</v>
      </c>
      <c r="O212" s="55" t="n"/>
      <c r="P212" s="63" t="n"/>
      <c r="Q212" s="55" t="n"/>
      <c r="R212" s="55" t="n"/>
      <c r="S212" s="63" t="n"/>
      <c r="T212" s="65" t="inlineStr">
        <is>
          <t>junio 2026</t>
        </is>
      </c>
    </row>
    <row r="213">
      <c r="A213" s="64" t="n">
        <v>210</v>
      </c>
      <c r="B213" s="55" t="inlineStr">
        <is>
          <t>CASALIMPIA SA</t>
        </is>
      </c>
      <c r="C213" s="55" t="n"/>
      <c r="D213" s="65">
        <f>IF(OR(B213="",C213=""),"",IFERROR(VLOOKUP(B213&amp;"|||"&amp;C213,MAESTRA!$A$3:$J$500,5,0),"⚠ No encontrado"))</f>
        <v/>
      </c>
      <c r="E213" s="65">
        <f>IF(OR(B213="",C213=""),"",IFERROR(VLOOKUP(B213&amp;"|||"&amp;C213,MAESTRA!$A$3:$J$500,6,0),"⚠ No encontrado"))</f>
        <v/>
      </c>
      <c r="F213" s="65">
        <f>IF(OR(B213="",C213=""),"",IFERROR(VLOOKUP(B213&amp;"|||"&amp;C213,MAESTRA!$A$3:$J$500,7,0),"⚠ No encontrado"))</f>
        <v/>
      </c>
      <c r="G213" s="65">
        <f>IF(OR(B213="",C213=""),"",IFERROR(VLOOKUP(B213&amp;"|||"&amp;C213,MAESTRA!$A$3:$J$500,8,0),"⚠ No encontrado"))</f>
        <v/>
      </c>
      <c r="H213" s="65">
        <f>IF(OR(B213="",C213=""),"",IFERROR(VLOOKUP(B213&amp;"|||"&amp;C213,MAESTRA!$A$3:$J$500,9,0),""))</f>
        <v/>
      </c>
      <c r="I213" s="55" t="inlineStr">
        <is>
          <t>NO PAGAR LEGALZIA TC BB 9994 SERVICIO ASEO OF CRAFT BARRANQUILLA</t>
        </is>
      </c>
      <c r="J213" s="55" t="n"/>
      <c r="K213" s="55" t="inlineStr">
        <is>
          <t>AP236109</t>
        </is>
      </c>
      <c r="L213" s="63" t="n">
        <v>46175</v>
      </c>
      <c r="M213" s="63" t="n"/>
      <c r="N213" s="66" t="n">
        <v>409800</v>
      </c>
      <c r="O213" s="55" t="n"/>
      <c r="P213" s="63" t="n"/>
      <c r="Q213" s="55" t="n"/>
      <c r="R213" s="55" t="n"/>
      <c r="S213" s="63" t="n"/>
      <c r="T213" s="65" t="inlineStr">
        <is>
          <t>junio 2026</t>
        </is>
      </c>
    </row>
    <row r="214">
      <c r="A214" s="64" t="n">
        <v>211</v>
      </c>
      <c r="B214" s="55" t="inlineStr">
        <is>
          <t>ACTUALICESE</t>
        </is>
      </c>
      <c r="C214" s="55" t="n"/>
      <c r="D214" s="65">
        <f>IF(OR(B214="",C214=""),"",IFERROR(VLOOKUP(B214&amp;"|||"&amp;C214,MAESTRA!$A$3:$J$500,5,0),"⚠ No encontrado"))</f>
        <v/>
      </c>
      <c r="E214" s="65">
        <f>IF(OR(B214="",C214=""),"",IFERROR(VLOOKUP(B214&amp;"|||"&amp;C214,MAESTRA!$A$3:$J$500,6,0),"⚠ No encontrado"))</f>
        <v/>
      </c>
      <c r="F214" s="65">
        <f>IF(OR(B214="",C214=""),"",IFERROR(VLOOKUP(B214&amp;"|||"&amp;C214,MAESTRA!$A$3:$J$500,7,0),"⚠ No encontrado"))</f>
        <v/>
      </c>
      <c r="G214" s="65">
        <f>IF(OR(B214="",C214=""),"",IFERROR(VLOOKUP(B214&amp;"|||"&amp;C214,MAESTRA!$A$3:$J$500,8,0),"⚠ No encontrado"))</f>
        <v/>
      </c>
      <c r="H214" s="65">
        <f>IF(OR(B214="",C214=""),"",IFERROR(VLOOKUP(B214&amp;"|||"&amp;C214,MAESTRA!$A$3:$J$500,9,0),""))</f>
        <v/>
      </c>
      <c r="I214" s="55" t="inlineStr">
        <is>
          <t>NO PAGAR SE PAGÓ POR PSE SUSCRIPCIÓN ACTUALICESE</t>
        </is>
      </c>
      <c r="J214" s="55" t="n"/>
      <c r="K214" s="55" t="inlineStr">
        <is>
          <t>2FEE1020436</t>
        </is>
      </c>
      <c r="L214" s="63" t="n">
        <v>46147</v>
      </c>
      <c r="M214" s="63" t="n"/>
      <c r="N214" s="66" t="n">
        <v>630000</v>
      </c>
      <c r="O214" s="55" t="inlineStr">
        <is>
          <t>6447</t>
        </is>
      </c>
      <c r="P214" s="63" t="n">
        <v>46178</v>
      </c>
      <c r="Q214" s="55" t="n"/>
      <c r="R214" s="55" t="n"/>
      <c r="S214" s="63" t="n"/>
      <c r="T214" s="65" t="inlineStr">
        <is>
          <t>mayo 2026</t>
        </is>
      </c>
    </row>
    <row r="215">
      <c r="A215" s="64" t="n">
        <v>212</v>
      </c>
      <c r="B215" s="55" t="inlineStr">
        <is>
          <t>INVERSIONES ROCOTO S.A.S</t>
        </is>
      </c>
      <c r="C215" s="55" t="n"/>
      <c r="D215" s="65">
        <f>IF(OR(B215="",C215=""),"",IFERROR(VLOOKUP(B215&amp;"|||"&amp;C215,MAESTRA!$A$3:$J$500,5,0),"⚠ No encontrado"))</f>
        <v/>
      </c>
      <c r="E215" s="65">
        <f>IF(OR(B215="",C215=""),"",IFERROR(VLOOKUP(B215&amp;"|||"&amp;C215,MAESTRA!$A$3:$J$500,6,0),"⚠ No encontrado"))</f>
        <v/>
      </c>
      <c r="F215" s="65">
        <f>IF(OR(B215="",C215=""),"",IFERROR(VLOOKUP(B215&amp;"|||"&amp;C215,MAESTRA!$A$3:$J$500,7,0),"⚠ No encontrado"))</f>
        <v/>
      </c>
      <c r="G215" s="65">
        <f>IF(OR(B215="",C215=""),"",IFERROR(VLOOKUP(B215&amp;"|||"&amp;C215,MAESTRA!$A$3:$J$500,8,0),"⚠ No encontrado"))</f>
        <v/>
      </c>
      <c r="H215" s="65">
        <f>IF(OR(B215="",C215=""),"",IFERROR(VLOOKUP(B215&amp;"|||"&amp;C215,MAESTRA!$A$3:$J$500,9,0),""))</f>
        <v/>
      </c>
      <c r="I215" s="55" t="inlineStr">
        <is>
          <t>NO PAGAR LEGALIZA ANA FERNANDEZ ALMUERZO CLIENTE TCC</t>
        </is>
      </c>
      <c r="J215" s="55" t="n"/>
      <c r="K215" s="55" t="inlineStr">
        <is>
          <t>FEP27939</t>
        </is>
      </c>
      <c r="L215" s="63" t="n">
        <v>46156</v>
      </c>
      <c r="M215" s="63" t="n"/>
      <c r="N215" s="66" t="n">
        <v>411252</v>
      </c>
      <c r="O215" s="55" t="inlineStr">
        <is>
          <t>91</t>
        </is>
      </c>
      <c r="P215" s="63" t="n">
        <v>46178</v>
      </c>
      <c r="Q215" s="55" t="n"/>
      <c r="R215" s="55" t="n"/>
      <c r="S215" s="63" t="n"/>
      <c r="T215" s="65" t="inlineStr">
        <is>
          <t>mayo 2026</t>
        </is>
      </c>
    </row>
    <row r="216">
      <c r="A216" s="64" t="n">
        <v>213</v>
      </c>
      <c r="B216" s="55" t="inlineStr">
        <is>
          <t>NUESTRA COCINA ARTESANAL S.A.S.</t>
        </is>
      </c>
      <c r="C216" s="55" t="n"/>
      <c r="D216" s="65">
        <f>IF(OR(B216="",C216=""),"",IFERROR(VLOOKUP(B216&amp;"|||"&amp;C216,MAESTRA!$A$3:$J$500,5,0),"⚠ No encontrado"))</f>
        <v/>
      </c>
      <c r="E216" s="65">
        <f>IF(OR(B216="",C216=""),"",IFERROR(VLOOKUP(B216&amp;"|||"&amp;C216,MAESTRA!$A$3:$J$500,6,0),"⚠ No encontrado"))</f>
        <v/>
      </c>
      <c r="F216" s="65">
        <f>IF(OR(B216="",C216=""),"",IFERROR(VLOOKUP(B216&amp;"|||"&amp;C216,MAESTRA!$A$3:$J$500,7,0),"⚠ No encontrado"))</f>
        <v/>
      </c>
      <c r="G216" s="65">
        <f>IF(OR(B216="",C216=""),"",IFERROR(VLOOKUP(B216&amp;"|||"&amp;C216,MAESTRA!$A$3:$J$500,8,0),"⚠ No encontrado"))</f>
        <v/>
      </c>
      <c r="H216" s="65">
        <f>IF(OR(B216="",C216=""),"",IFERROR(VLOOKUP(B216&amp;"|||"&amp;C216,MAESTRA!$A$3:$J$500,9,0),""))</f>
        <v/>
      </c>
      <c r="I216" s="55" t="inlineStr">
        <is>
          <t>NO PAGAR LEGALIZA ANA FERNANDEZ DESAYUNO CLIENTE PORTEX</t>
        </is>
      </c>
      <c r="J216" s="55" t="n"/>
      <c r="K216" s="55" t="inlineStr">
        <is>
          <t>106F140317</t>
        </is>
      </c>
      <c r="L216" s="63" t="n">
        <v>46156</v>
      </c>
      <c r="M216" s="63" t="n"/>
      <c r="N216" s="66" t="n">
        <v>194919</v>
      </c>
      <c r="O216" s="55" t="inlineStr">
        <is>
          <t>92</t>
        </is>
      </c>
      <c r="P216" s="63" t="n">
        <v>46178</v>
      </c>
      <c r="Q216" s="55" t="n"/>
      <c r="R216" s="55" t="n"/>
      <c r="S216" s="63" t="n"/>
      <c r="T216" s="65" t="inlineStr">
        <is>
          <t>mayo 2026</t>
        </is>
      </c>
    </row>
    <row r="217">
      <c r="A217" s="64" t="n">
        <v>214</v>
      </c>
      <c r="B217" s="55" t="inlineStr">
        <is>
          <t>CREPES Y WAFFLES S A</t>
        </is>
      </c>
      <c r="C217" s="55" t="n"/>
      <c r="D217" s="65">
        <f>IF(OR(B217="",C217=""),"",IFERROR(VLOOKUP(B217&amp;"|||"&amp;C217,MAESTRA!$A$3:$J$500,5,0),"⚠ No encontrado"))</f>
        <v/>
      </c>
      <c r="E217" s="65">
        <f>IF(OR(B217="",C217=""),"",IFERROR(VLOOKUP(B217&amp;"|||"&amp;C217,MAESTRA!$A$3:$J$500,6,0),"⚠ No encontrado"))</f>
        <v/>
      </c>
      <c r="F217" s="65">
        <f>IF(OR(B217="",C217=""),"",IFERROR(VLOOKUP(B217&amp;"|||"&amp;C217,MAESTRA!$A$3:$J$500,7,0),"⚠ No encontrado"))</f>
        <v/>
      </c>
      <c r="G217" s="65">
        <f>IF(OR(B217="",C217=""),"",IFERROR(VLOOKUP(B217&amp;"|||"&amp;C217,MAESTRA!$A$3:$J$500,8,0),"⚠ No encontrado"))</f>
        <v/>
      </c>
      <c r="H217" s="65">
        <f>IF(OR(B217="",C217=""),"",IFERROR(VLOOKUP(B217&amp;"|||"&amp;C217,MAESTRA!$A$3:$J$500,9,0),""))</f>
        <v/>
      </c>
      <c r="I217" s="55" t="inlineStr">
        <is>
          <t>NO PAGAR LEGALIZA EDUARD HERNANDEZ ALMUERZO CLIENTE WESELL</t>
        </is>
      </c>
      <c r="J217" s="55" t="n"/>
      <c r="K217" s="55" t="inlineStr">
        <is>
          <t>R03E1020522</t>
        </is>
      </c>
      <c r="L217" s="63" t="n">
        <v>46164</v>
      </c>
      <c r="M217" s="63" t="n"/>
      <c r="N217" s="66" t="n">
        <v>81700</v>
      </c>
      <c r="O217" s="55" t="inlineStr">
        <is>
          <t>6489</t>
        </is>
      </c>
      <c r="P217" s="63" t="n">
        <v>46178</v>
      </c>
      <c r="Q217" s="55" t="n"/>
      <c r="R217" s="55" t="n"/>
      <c r="S217" s="63" t="n"/>
      <c r="T217" s="65" t="inlineStr">
        <is>
          <t>mayo 2026</t>
        </is>
      </c>
    </row>
    <row r="218">
      <c r="A218" s="64" t="n">
        <v>215</v>
      </c>
      <c r="B218" s="55" t="inlineStr">
        <is>
          <t>Hotel Zona Occidente SAS</t>
        </is>
      </c>
      <c r="C218" s="55" t="n"/>
      <c r="D218" s="65">
        <f>IF(OR(B218="",C218=""),"",IFERROR(VLOOKUP(B218&amp;"|||"&amp;C218,MAESTRA!$A$3:$J$500,5,0),"⚠ No encontrado"))</f>
        <v/>
      </c>
      <c r="E218" s="65">
        <f>IF(OR(B218="",C218=""),"",IFERROR(VLOOKUP(B218&amp;"|||"&amp;C218,MAESTRA!$A$3:$J$500,6,0),"⚠ No encontrado"))</f>
        <v/>
      </c>
      <c r="F218" s="65">
        <f>IF(OR(B218="",C218=""),"",IFERROR(VLOOKUP(B218&amp;"|||"&amp;C218,MAESTRA!$A$3:$J$500,7,0),"⚠ No encontrado"))</f>
        <v/>
      </c>
      <c r="G218" s="65">
        <f>IF(OR(B218="",C218=""),"",IFERROR(VLOOKUP(B218&amp;"|||"&amp;C218,MAESTRA!$A$3:$J$500,8,0),"⚠ No encontrado"))</f>
        <v/>
      </c>
      <c r="H218" s="65">
        <f>IF(OR(B218="",C218=""),"",IFERROR(VLOOKUP(B218&amp;"|||"&amp;C218,MAESTRA!$A$3:$J$500,9,0),""))</f>
        <v/>
      </c>
      <c r="I218" s="55" t="inlineStr">
        <is>
          <t>NO PAGAR LEGALIZA LILIANA MORALEZ CAFÉ CLIENTE A&amp;F</t>
        </is>
      </c>
      <c r="J218" s="55" t="n"/>
      <c r="K218" s="55" t="inlineStr">
        <is>
          <t>ERES6687</t>
        </is>
      </c>
      <c r="L218" s="63" t="n">
        <v>46162</v>
      </c>
      <c r="M218" s="63" t="n"/>
      <c r="N218" s="66" t="n">
        <v>68000</v>
      </c>
      <c r="O218" s="55" t="inlineStr">
        <is>
          <t>6490</t>
        </is>
      </c>
      <c r="P218" s="63" t="n">
        <v>46178</v>
      </c>
      <c r="Q218" s="55" t="n"/>
      <c r="R218" s="55" t="n"/>
      <c r="S218" s="63" t="n"/>
      <c r="T218" s="65" t="inlineStr">
        <is>
          <t>mayo 2026</t>
        </is>
      </c>
    </row>
    <row r="219">
      <c r="A219" s="64" t="n">
        <v>216</v>
      </c>
      <c r="B219" s="55" t="inlineStr">
        <is>
          <t>CREPES Y WAFFLES S A</t>
        </is>
      </c>
      <c r="C219" s="55" t="n"/>
      <c r="D219" s="65">
        <f>IF(OR(B219="",C219=""),"",IFERROR(VLOOKUP(B219&amp;"|||"&amp;C219,MAESTRA!$A$3:$J$500,5,0),"⚠ No encontrado"))</f>
        <v/>
      </c>
      <c r="E219" s="65">
        <f>IF(OR(B219="",C219=""),"",IFERROR(VLOOKUP(B219&amp;"|||"&amp;C219,MAESTRA!$A$3:$J$500,6,0),"⚠ No encontrado"))</f>
        <v/>
      </c>
      <c r="F219" s="65">
        <f>IF(OR(B219="",C219=""),"",IFERROR(VLOOKUP(B219&amp;"|||"&amp;C219,MAESTRA!$A$3:$J$500,7,0),"⚠ No encontrado"))</f>
        <v/>
      </c>
      <c r="G219" s="65">
        <f>IF(OR(B219="",C219=""),"",IFERROR(VLOOKUP(B219&amp;"|||"&amp;C219,MAESTRA!$A$3:$J$500,8,0),"⚠ No encontrado"))</f>
        <v/>
      </c>
      <c r="H219" s="65">
        <f>IF(OR(B219="",C219=""),"",IFERROR(VLOOKUP(B219&amp;"|||"&amp;C219,MAESTRA!$A$3:$J$500,9,0),""))</f>
        <v/>
      </c>
      <c r="I219" s="55" t="inlineStr">
        <is>
          <t>NO PAGAR LEGALIZA LILIANA MORALEZ ALMUERZO CLIENTE DIZLEG</t>
        </is>
      </c>
      <c r="J219" s="55" t="n"/>
      <c r="K219" s="55" t="inlineStr">
        <is>
          <t>R51E438237</t>
        </is>
      </c>
      <c r="L219" s="63" t="n">
        <v>46163</v>
      </c>
      <c r="M219" s="63" t="n"/>
      <c r="N219" s="66" t="n">
        <v>177200</v>
      </c>
      <c r="O219" s="55" t="inlineStr">
        <is>
          <t>6491</t>
        </is>
      </c>
      <c r="P219" s="63" t="n">
        <v>46178</v>
      </c>
      <c r="Q219" s="55" t="n"/>
      <c r="R219" s="55" t="n"/>
      <c r="S219" s="63" t="n"/>
      <c r="T219" s="65" t="inlineStr">
        <is>
          <t>mayo 2026</t>
        </is>
      </c>
    </row>
    <row r="220">
      <c r="A220" s="64" t="n">
        <v>217</v>
      </c>
      <c r="B220" s="55" t="inlineStr">
        <is>
          <t>MAQUITE S.A.</t>
        </is>
      </c>
      <c r="C220" s="55" t="n"/>
      <c r="D220" s="65">
        <f>IF(OR(B220="",C220=""),"",IFERROR(VLOOKUP(B220&amp;"|||"&amp;C220,MAESTRA!$A$3:$J$500,5,0),"⚠ No encontrado"))</f>
        <v/>
      </c>
      <c r="E220" s="65">
        <f>IF(OR(B220="",C220=""),"",IFERROR(VLOOKUP(B220&amp;"|||"&amp;C220,MAESTRA!$A$3:$J$500,6,0),"⚠ No encontrado"))</f>
        <v/>
      </c>
      <c r="F220" s="65">
        <f>IF(OR(B220="",C220=""),"",IFERROR(VLOOKUP(B220&amp;"|||"&amp;C220,MAESTRA!$A$3:$J$500,7,0),"⚠ No encontrado"))</f>
        <v/>
      </c>
      <c r="G220" s="65">
        <f>IF(OR(B220="",C220=""),"",IFERROR(VLOOKUP(B220&amp;"|||"&amp;C220,MAESTRA!$A$3:$J$500,8,0),"⚠ No encontrado"))</f>
        <v/>
      </c>
      <c r="H220" s="65">
        <f>IF(OR(B220="",C220=""),"",IFERROR(VLOOKUP(B220&amp;"|||"&amp;C220,MAESTRA!$A$3:$J$500,9,0),""))</f>
        <v/>
      </c>
      <c r="I220" s="55" t="inlineStr">
        <is>
          <t>NO PAGAR LEGALIZA DIANA GRACIA ALMUERZO CLIENTE AJ LOG</t>
        </is>
      </c>
      <c r="J220" s="55" t="n"/>
      <c r="K220" s="55" t="inlineStr">
        <is>
          <t>R04R631260</t>
        </is>
      </c>
      <c r="L220" s="63" t="n">
        <v>46154</v>
      </c>
      <c r="M220" s="63" t="n"/>
      <c r="N220" s="66" t="n">
        <v>107600</v>
      </c>
      <c r="O220" s="55" t="inlineStr">
        <is>
          <t>4</t>
        </is>
      </c>
      <c r="P220" s="63" t="n">
        <v>46178</v>
      </c>
      <c r="Q220" s="55" t="n"/>
      <c r="R220" s="55" t="n"/>
      <c r="S220" s="63" t="n"/>
      <c r="T220" s="65" t="inlineStr">
        <is>
          <t>mayo 2026</t>
        </is>
      </c>
    </row>
    <row r="221">
      <c r="A221" s="64" t="n">
        <v>218</v>
      </c>
      <c r="B221" s="55" t="inlineStr">
        <is>
          <t>MAQUITE S.A.</t>
        </is>
      </c>
      <c r="C221" s="55" t="n"/>
      <c r="D221" s="65">
        <f>IF(OR(B221="",C221=""),"",IFERROR(VLOOKUP(B221&amp;"|||"&amp;C221,MAESTRA!$A$3:$J$500,5,0),"⚠ No encontrado"))</f>
        <v/>
      </c>
      <c r="E221" s="65">
        <f>IF(OR(B221="",C221=""),"",IFERROR(VLOOKUP(B221&amp;"|||"&amp;C221,MAESTRA!$A$3:$J$500,6,0),"⚠ No encontrado"))</f>
        <v/>
      </c>
      <c r="F221" s="65">
        <f>IF(OR(B221="",C221=""),"",IFERROR(VLOOKUP(B221&amp;"|||"&amp;C221,MAESTRA!$A$3:$J$500,7,0),"⚠ No encontrado"))</f>
        <v/>
      </c>
      <c r="G221" s="65">
        <f>IF(OR(B221="",C221=""),"",IFERROR(VLOOKUP(B221&amp;"|||"&amp;C221,MAESTRA!$A$3:$J$500,8,0),"⚠ No encontrado"))</f>
        <v/>
      </c>
      <c r="H221" s="65">
        <f>IF(OR(B221="",C221=""),"",IFERROR(VLOOKUP(B221&amp;"|||"&amp;C221,MAESTRA!$A$3:$J$500,9,0),""))</f>
        <v/>
      </c>
      <c r="I221" s="55" t="inlineStr">
        <is>
          <t xml:space="preserve">NO PAGAR LEGALIZA DIANA GRACIA CAFÉ CLIENTE SANDRA CARDONA </t>
        </is>
      </c>
      <c r="J221" s="55" t="n"/>
      <c r="K221" s="55" t="inlineStr">
        <is>
          <t>R04R631529</t>
        </is>
      </c>
      <c r="L221" s="63" t="n">
        <v>46154</v>
      </c>
      <c r="M221" s="63" t="n"/>
      <c r="N221" s="66" t="n">
        <v>67000</v>
      </c>
      <c r="O221" s="55" t="inlineStr">
        <is>
          <t>5</t>
        </is>
      </c>
      <c r="P221" s="63" t="n">
        <v>46178</v>
      </c>
      <c r="Q221" s="55" t="n"/>
      <c r="R221" s="55" t="n"/>
      <c r="S221" s="63" t="n"/>
      <c r="T221" s="65" t="inlineStr">
        <is>
          <t>mayo 2026</t>
        </is>
      </c>
    </row>
    <row r="222">
      <c r="A222" s="64" t="n">
        <v>219</v>
      </c>
      <c r="B222" s="55" t="inlineStr">
        <is>
          <t>MAQUITE S.A.</t>
        </is>
      </c>
      <c r="C222" s="55" t="n"/>
      <c r="D222" s="65">
        <f>IF(OR(B222="",C222=""),"",IFERROR(VLOOKUP(B222&amp;"|||"&amp;C222,MAESTRA!$A$3:$J$500,5,0),"⚠ No encontrado"))</f>
        <v/>
      </c>
      <c r="E222" s="65">
        <f>IF(OR(B222="",C222=""),"",IFERROR(VLOOKUP(B222&amp;"|||"&amp;C222,MAESTRA!$A$3:$J$500,6,0),"⚠ No encontrado"))</f>
        <v/>
      </c>
      <c r="F222" s="65">
        <f>IF(OR(B222="",C222=""),"",IFERROR(VLOOKUP(B222&amp;"|||"&amp;C222,MAESTRA!$A$3:$J$500,7,0),"⚠ No encontrado"))</f>
        <v/>
      </c>
      <c r="G222" s="65">
        <f>IF(OR(B222="",C222=""),"",IFERROR(VLOOKUP(B222&amp;"|||"&amp;C222,MAESTRA!$A$3:$J$500,8,0),"⚠ No encontrado"))</f>
        <v/>
      </c>
      <c r="H222" s="65">
        <f>IF(OR(B222="",C222=""),"",IFERROR(VLOOKUP(B222&amp;"|||"&amp;C222,MAESTRA!$A$3:$J$500,9,0),""))</f>
        <v/>
      </c>
      <c r="I222" s="55" t="inlineStr">
        <is>
          <t>NO PAGAR LEGALIZA DIANA GRACIA ALMUERZO CLIENTE LAURA PEÑA</t>
        </is>
      </c>
      <c r="J222" s="55" t="n"/>
      <c r="K222" s="55" t="inlineStr">
        <is>
          <t>R06R409054</t>
        </is>
      </c>
      <c r="L222" s="63" t="n">
        <v>46164</v>
      </c>
      <c r="M222" s="63" t="n"/>
      <c r="N222" s="66" t="n">
        <v>109200</v>
      </c>
      <c r="O222" s="55" t="inlineStr">
        <is>
          <t>6</t>
        </is>
      </c>
      <c r="P222" s="63" t="n">
        <v>46178</v>
      </c>
      <c r="Q222" s="55" t="n"/>
      <c r="R222" s="55" t="n"/>
      <c r="S222" s="63" t="n"/>
      <c r="T222" s="65" t="inlineStr">
        <is>
          <t>mayo 2026</t>
        </is>
      </c>
    </row>
    <row r="223">
      <c r="A223" s="64" t="n">
        <v>220</v>
      </c>
      <c r="B223" s="55" t="inlineStr">
        <is>
          <t>CREPES CARIBE S.A.</t>
        </is>
      </c>
      <c r="C223" s="55" t="n"/>
      <c r="D223" s="65">
        <f>IF(OR(B223="",C223=""),"",IFERROR(VLOOKUP(B223&amp;"|||"&amp;C223,MAESTRA!$A$3:$J$500,5,0),"⚠ No encontrado"))</f>
        <v/>
      </c>
      <c r="E223" s="65">
        <f>IF(OR(B223="",C223=""),"",IFERROR(VLOOKUP(B223&amp;"|||"&amp;C223,MAESTRA!$A$3:$J$500,6,0),"⚠ No encontrado"))</f>
        <v/>
      </c>
      <c r="F223" s="65">
        <f>IF(OR(B223="",C223=""),"",IFERROR(VLOOKUP(B223&amp;"|||"&amp;C223,MAESTRA!$A$3:$J$500,7,0),"⚠ No encontrado"))</f>
        <v/>
      </c>
      <c r="G223" s="65">
        <f>IF(OR(B223="",C223=""),"",IFERROR(VLOOKUP(B223&amp;"|||"&amp;C223,MAESTRA!$A$3:$J$500,8,0),"⚠ No encontrado"))</f>
        <v/>
      </c>
      <c r="H223" s="65">
        <f>IF(OR(B223="",C223=""),"",IFERROR(VLOOKUP(B223&amp;"|||"&amp;C223,MAESTRA!$A$3:$J$500,9,0),""))</f>
        <v/>
      </c>
      <c r="I223" s="55" t="inlineStr">
        <is>
          <t>NO PAGAR LEGALIZA NADIA MARTINEZ ALMUERZO CLIENTE MASTERLINE</t>
        </is>
      </c>
      <c r="J223" s="55" t="n"/>
      <c r="K223" s="55" t="inlineStr">
        <is>
          <t>R02E336977</t>
        </is>
      </c>
      <c r="L223" s="63" t="n">
        <v>46164</v>
      </c>
      <c r="M223" s="63" t="n"/>
      <c r="N223" s="66" t="n">
        <v>413700</v>
      </c>
      <c r="O223" s="55" t="inlineStr">
        <is>
          <t>13</t>
        </is>
      </c>
      <c r="P223" s="63" t="n">
        <v>46178</v>
      </c>
      <c r="Q223" s="55" t="n"/>
      <c r="R223" s="55" t="n"/>
      <c r="S223" s="63" t="n"/>
      <c r="T223" s="65" t="inlineStr">
        <is>
          <t>mayo 2026</t>
        </is>
      </c>
    </row>
    <row r="224">
      <c r="A224" s="64" t="n">
        <v>221</v>
      </c>
      <c r="B224" s="55" t="inlineStr">
        <is>
          <t>AMORE GROUP SAS</t>
        </is>
      </c>
      <c r="C224" s="55" t="n"/>
      <c r="D224" s="65">
        <f>IF(OR(B224="",C224=""),"",IFERROR(VLOOKUP(B224&amp;"|||"&amp;C224,MAESTRA!$A$3:$J$500,5,0),"⚠ No encontrado"))</f>
        <v/>
      </c>
      <c r="E224" s="65">
        <f>IF(OR(B224="",C224=""),"",IFERROR(VLOOKUP(B224&amp;"|||"&amp;C224,MAESTRA!$A$3:$J$500,6,0),"⚠ No encontrado"))</f>
        <v/>
      </c>
      <c r="F224" s="65">
        <f>IF(OR(B224="",C224=""),"",IFERROR(VLOOKUP(B224&amp;"|||"&amp;C224,MAESTRA!$A$3:$J$500,7,0),"⚠ No encontrado"))</f>
        <v/>
      </c>
      <c r="G224" s="65">
        <f>IF(OR(B224="",C224=""),"",IFERROR(VLOOKUP(B224&amp;"|||"&amp;C224,MAESTRA!$A$3:$J$500,8,0),"⚠ No encontrado"))</f>
        <v/>
      </c>
      <c r="H224" s="65">
        <f>IF(OR(B224="",C224=""),"",IFERROR(VLOOKUP(B224&amp;"|||"&amp;C224,MAESTRA!$A$3:$J$500,9,0),""))</f>
        <v/>
      </c>
      <c r="I224" s="55" t="inlineStr">
        <is>
          <t>NO PAGAR LEGALIZA DIANA GRACIA ALMUERZO CLIENTE ALA</t>
        </is>
      </c>
      <c r="J224" s="55" t="n"/>
      <c r="K224" s="55" t="inlineStr">
        <is>
          <t>04FA146657</t>
        </is>
      </c>
      <c r="L224" s="63" t="n">
        <v>46170</v>
      </c>
      <c r="M224" s="63" t="n"/>
      <c r="N224" s="66" t="n">
        <v>644800</v>
      </c>
      <c r="O224" s="55" t="inlineStr">
        <is>
          <t>7</t>
        </is>
      </c>
      <c r="P224" s="63" t="n">
        <v>46178</v>
      </c>
      <c r="Q224" s="55" t="n"/>
      <c r="R224" s="55" t="n"/>
      <c r="S224" s="63" t="n"/>
      <c r="T224" s="65" t="inlineStr">
        <is>
          <t>mayo 2026</t>
        </is>
      </c>
    </row>
    <row r="225">
      <c r="A225" s="64">
        <f>IF(B225&lt;&gt;"",ROW()-3,"")</f>
        <v/>
      </c>
      <c r="B225" s="55" t="n"/>
      <c r="C225" s="55" t="n"/>
      <c r="D225" s="65">
        <f>IF(OR(B225="",C225=""),"",IFERROR(VLOOKUP(B225&amp;"|||"&amp;C225,MAESTRA!$A$3:$J$500,5,0),"⚠ No encontrado"))</f>
        <v/>
      </c>
      <c r="E225" s="65">
        <f>IF(OR(B225="",C225=""),"",IFERROR(VLOOKUP(B225&amp;"|||"&amp;C225,MAESTRA!$A$3:$J$500,6,0),"⚠ No encontrado"))</f>
        <v/>
      </c>
      <c r="F225" s="65">
        <f>IF(OR(B225="",C225=""),"",IFERROR(VLOOKUP(B225&amp;"|||"&amp;C225,MAESTRA!$A$3:$J$500,7,0),"⚠ No encontrado"))</f>
        <v/>
      </c>
      <c r="G225" s="65">
        <f>IF(OR(B225="",C225=""),"",IFERROR(VLOOKUP(B225&amp;"|||"&amp;C225,MAESTRA!$A$3:$J$500,8,0),"⚠ No encontrado"))</f>
        <v/>
      </c>
      <c r="H225" s="65">
        <f>IF(OR(B225="",C225=""),"",IFERROR(VLOOKUP(B225&amp;"|||"&amp;C225,MAESTRA!$A$3:$J$500,9,0),""))</f>
        <v/>
      </c>
      <c r="I225" s="55" t="n"/>
      <c r="J225" s="55" t="n"/>
      <c r="K225" s="55" t="n"/>
      <c r="L225" s="63" t="n"/>
      <c r="M225" s="63" t="n"/>
      <c r="N225" s="66" t="n"/>
      <c r="O225" s="55" t="n"/>
      <c r="P225" s="63" t="n"/>
      <c r="Q225" s="55" t="n"/>
      <c r="R225" s="55" t="n"/>
      <c r="S225" s="63" t="n"/>
      <c r="T225" s="65">
        <f>IF(L225="","",TEXT(L225,"mmmm yyyy"))</f>
        <v/>
      </c>
    </row>
    <row r="226">
      <c r="A226" s="64">
        <f>IF(B226&lt;&gt;"",ROW()-3,"")</f>
        <v/>
      </c>
      <c r="B226" s="55" t="n"/>
      <c r="C226" s="55" t="n"/>
      <c r="D226" s="65">
        <f>IF(OR(B226="",C226=""),"",IFERROR(VLOOKUP(B226&amp;"|||"&amp;C226,MAESTRA!$A$3:$J$500,5,0),"⚠ No encontrado"))</f>
        <v/>
      </c>
      <c r="E226" s="65">
        <f>IF(OR(B226="",C226=""),"",IFERROR(VLOOKUP(B226&amp;"|||"&amp;C226,MAESTRA!$A$3:$J$500,6,0),"⚠ No encontrado"))</f>
        <v/>
      </c>
      <c r="F226" s="65">
        <f>IF(OR(B226="",C226=""),"",IFERROR(VLOOKUP(B226&amp;"|||"&amp;C226,MAESTRA!$A$3:$J$500,7,0),"⚠ No encontrado"))</f>
        <v/>
      </c>
      <c r="G226" s="65">
        <f>IF(OR(B226="",C226=""),"",IFERROR(VLOOKUP(B226&amp;"|||"&amp;C226,MAESTRA!$A$3:$J$500,8,0),"⚠ No encontrado"))</f>
        <v/>
      </c>
      <c r="H226" s="65">
        <f>IF(OR(B226="",C226=""),"",IFERROR(VLOOKUP(B226&amp;"|||"&amp;C226,MAESTRA!$A$3:$J$500,9,0),""))</f>
        <v/>
      </c>
      <c r="I226" s="55" t="n"/>
      <c r="J226" s="55" t="n"/>
      <c r="K226" s="55" t="n"/>
      <c r="L226" s="63" t="n"/>
      <c r="M226" s="63" t="n"/>
      <c r="N226" s="66" t="n"/>
      <c r="O226" s="55" t="n"/>
      <c r="P226" s="63" t="n"/>
      <c r="Q226" s="55" t="n"/>
      <c r="R226" s="55" t="n"/>
      <c r="S226" s="63" t="n"/>
      <c r="T226" s="65">
        <f>IF(L226="","",TEXT(L226,"mmmm yyyy"))</f>
        <v/>
      </c>
    </row>
    <row r="227">
      <c r="A227" s="64">
        <f>IF(B227&lt;&gt;"",ROW()-3,"")</f>
        <v/>
      </c>
      <c r="B227" s="55" t="n"/>
      <c r="C227" s="55" t="n"/>
      <c r="D227" s="65">
        <f>IF(OR(B227="",C227=""),"",IFERROR(VLOOKUP(B227&amp;"|||"&amp;C227,MAESTRA!$A$3:$J$500,5,0),"⚠ No encontrado"))</f>
        <v/>
      </c>
      <c r="E227" s="65">
        <f>IF(OR(B227="",C227=""),"",IFERROR(VLOOKUP(B227&amp;"|||"&amp;C227,MAESTRA!$A$3:$J$500,6,0),"⚠ No encontrado"))</f>
        <v/>
      </c>
      <c r="F227" s="65">
        <f>IF(OR(B227="",C227=""),"",IFERROR(VLOOKUP(B227&amp;"|||"&amp;C227,MAESTRA!$A$3:$J$500,7,0),"⚠ No encontrado"))</f>
        <v/>
      </c>
      <c r="G227" s="65">
        <f>IF(OR(B227="",C227=""),"",IFERROR(VLOOKUP(B227&amp;"|||"&amp;C227,MAESTRA!$A$3:$J$500,8,0),"⚠ No encontrado"))</f>
        <v/>
      </c>
      <c r="H227" s="65">
        <f>IF(OR(B227="",C227=""),"",IFERROR(VLOOKUP(B227&amp;"|||"&amp;C227,MAESTRA!$A$3:$J$500,9,0),""))</f>
        <v/>
      </c>
      <c r="I227" s="55" t="n"/>
      <c r="J227" s="55" t="n"/>
      <c r="K227" s="55" t="n"/>
      <c r="L227" s="63" t="n"/>
      <c r="M227" s="63" t="n"/>
      <c r="N227" s="66" t="n"/>
      <c r="O227" s="55" t="n"/>
      <c r="P227" s="63" t="n"/>
      <c r="Q227" s="55" t="n"/>
      <c r="R227" s="55" t="n"/>
      <c r="S227" s="63" t="n"/>
      <c r="T227" s="65">
        <f>IF(L227="","",TEXT(L227,"mmmm yyyy"))</f>
        <v/>
      </c>
    </row>
    <row r="228">
      <c r="A228" s="64">
        <f>IF(B228&lt;&gt;"",ROW()-3,"")</f>
        <v/>
      </c>
      <c r="B228" s="55" t="n"/>
      <c r="C228" s="55" t="n"/>
      <c r="D228" s="65">
        <f>IF(OR(B228="",C228=""),"",IFERROR(VLOOKUP(B228&amp;"|||"&amp;C228,MAESTRA!$A$3:$J$500,5,0),"⚠ No encontrado"))</f>
        <v/>
      </c>
      <c r="E228" s="65">
        <f>IF(OR(B228="",C228=""),"",IFERROR(VLOOKUP(B228&amp;"|||"&amp;C228,MAESTRA!$A$3:$J$500,6,0),"⚠ No encontrado"))</f>
        <v/>
      </c>
      <c r="F228" s="65">
        <f>IF(OR(B228="",C228=""),"",IFERROR(VLOOKUP(B228&amp;"|||"&amp;C228,MAESTRA!$A$3:$J$500,7,0),"⚠ No encontrado"))</f>
        <v/>
      </c>
      <c r="G228" s="65">
        <f>IF(OR(B228="",C228=""),"",IFERROR(VLOOKUP(B228&amp;"|||"&amp;C228,MAESTRA!$A$3:$J$500,8,0),"⚠ No encontrado"))</f>
        <v/>
      </c>
      <c r="H228" s="65">
        <f>IF(OR(B228="",C228=""),"",IFERROR(VLOOKUP(B228&amp;"|||"&amp;C228,MAESTRA!$A$3:$J$500,9,0),""))</f>
        <v/>
      </c>
      <c r="I228" s="55" t="n"/>
      <c r="J228" s="55" t="n"/>
      <c r="K228" s="55" t="n"/>
      <c r="L228" s="63" t="n"/>
      <c r="M228" s="63" t="n"/>
      <c r="N228" s="66" t="n"/>
      <c r="O228" s="55" t="n"/>
      <c r="P228" s="63" t="n"/>
      <c r="Q228" s="55" t="n"/>
      <c r="R228" s="55" t="n"/>
      <c r="S228" s="63" t="n"/>
      <c r="T228" s="65">
        <f>IF(L228="","",TEXT(L228,"mmmm yyyy"))</f>
        <v/>
      </c>
    </row>
    <row r="229">
      <c r="A229" s="64">
        <f>IF(B229&lt;&gt;"",ROW()-3,"")</f>
        <v/>
      </c>
      <c r="B229" s="55" t="n"/>
      <c r="C229" s="55" t="n"/>
      <c r="D229" s="65">
        <f>IF(OR(B229="",C229=""),"",IFERROR(VLOOKUP(B229&amp;"|||"&amp;C229,MAESTRA!$A$3:$J$500,5,0),"⚠ No encontrado"))</f>
        <v/>
      </c>
      <c r="E229" s="65">
        <f>IF(OR(B229="",C229=""),"",IFERROR(VLOOKUP(B229&amp;"|||"&amp;C229,MAESTRA!$A$3:$J$500,6,0),"⚠ No encontrado"))</f>
        <v/>
      </c>
      <c r="F229" s="65">
        <f>IF(OR(B229="",C229=""),"",IFERROR(VLOOKUP(B229&amp;"|||"&amp;C229,MAESTRA!$A$3:$J$500,7,0),"⚠ No encontrado"))</f>
        <v/>
      </c>
      <c r="G229" s="65">
        <f>IF(OR(B229="",C229=""),"",IFERROR(VLOOKUP(B229&amp;"|||"&amp;C229,MAESTRA!$A$3:$J$500,8,0),"⚠ No encontrado"))</f>
        <v/>
      </c>
      <c r="H229" s="65">
        <f>IF(OR(B229="",C229=""),"",IFERROR(VLOOKUP(B229&amp;"|||"&amp;C229,MAESTRA!$A$3:$J$500,9,0),""))</f>
        <v/>
      </c>
      <c r="I229" s="55" t="n"/>
      <c r="J229" s="55" t="n"/>
      <c r="K229" s="55" t="n"/>
      <c r="L229" s="63" t="n"/>
      <c r="M229" s="63" t="n"/>
      <c r="N229" s="66" t="n"/>
      <c r="O229" s="55" t="n"/>
      <c r="P229" s="63" t="n"/>
      <c r="Q229" s="55" t="n"/>
      <c r="R229" s="55" t="n"/>
      <c r="S229" s="63" t="n"/>
      <c r="T229" s="65">
        <f>IF(L229="","",TEXT(L229,"mmmm yyyy"))</f>
        <v/>
      </c>
    </row>
    <row r="230">
      <c r="A230" s="64">
        <f>IF(B230&lt;&gt;"",ROW()-3,"")</f>
        <v/>
      </c>
      <c r="B230" s="55" t="n"/>
      <c r="C230" s="55" t="n"/>
      <c r="D230" s="65">
        <f>IF(OR(B230="",C230=""),"",IFERROR(VLOOKUP(B230&amp;"|||"&amp;C230,MAESTRA!$A$3:$J$500,5,0),"⚠ No encontrado"))</f>
        <v/>
      </c>
      <c r="E230" s="65">
        <f>IF(OR(B230="",C230=""),"",IFERROR(VLOOKUP(B230&amp;"|||"&amp;C230,MAESTRA!$A$3:$J$500,6,0),"⚠ No encontrado"))</f>
        <v/>
      </c>
      <c r="F230" s="65">
        <f>IF(OR(B230="",C230=""),"",IFERROR(VLOOKUP(B230&amp;"|||"&amp;C230,MAESTRA!$A$3:$J$500,7,0),"⚠ No encontrado"))</f>
        <v/>
      </c>
      <c r="G230" s="65">
        <f>IF(OR(B230="",C230=""),"",IFERROR(VLOOKUP(B230&amp;"|||"&amp;C230,MAESTRA!$A$3:$J$500,8,0),"⚠ No encontrado"))</f>
        <v/>
      </c>
      <c r="H230" s="65">
        <f>IF(OR(B230="",C230=""),"",IFERROR(VLOOKUP(B230&amp;"|||"&amp;C230,MAESTRA!$A$3:$J$500,9,0),""))</f>
        <v/>
      </c>
      <c r="I230" s="55" t="n"/>
      <c r="J230" s="55" t="n"/>
      <c r="K230" s="55" t="n"/>
      <c r="L230" s="63" t="n"/>
      <c r="M230" s="63" t="n"/>
      <c r="N230" s="66" t="n"/>
      <c r="O230" s="55" t="n"/>
      <c r="P230" s="63" t="n"/>
      <c r="Q230" s="55" t="n"/>
      <c r="R230" s="55" t="n"/>
      <c r="S230" s="63" t="n"/>
      <c r="T230" s="65">
        <f>IF(L230="","",TEXT(L230,"mmmm yyyy"))</f>
        <v/>
      </c>
    </row>
    <row r="231">
      <c r="A231" s="64">
        <f>IF(B231&lt;&gt;"",ROW()-3,"")</f>
        <v/>
      </c>
      <c r="B231" s="55" t="n"/>
      <c r="C231" s="55" t="n"/>
      <c r="D231" s="65">
        <f>IF(OR(B231="",C231=""),"",IFERROR(VLOOKUP(B231&amp;"|||"&amp;C231,MAESTRA!$A$3:$J$500,5,0),"⚠ No encontrado"))</f>
        <v/>
      </c>
      <c r="E231" s="65">
        <f>IF(OR(B231="",C231=""),"",IFERROR(VLOOKUP(B231&amp;"|||"&amp;C231,MAESTRA!$A$3:$J$500,6,0),"⚠ No encontrado"))</f>
        <v/>
      </c>
      <c r="F231" s="65">
        <f>IF(OR(B231="",C231=""),"",IFERROR(VLOOKUP(B231&amp;"|||"&amp;C231,MAESTRA!$A$3:$J$500,7,0),"⚠ No encontrado"))</f>
        <v/>
      </c>
      <c r="G231" s="65">
        <f>IF(OR(B231="",C231=""),"",IFERROR(VLOOKUP(B231&amp;"|||"&amp;C231,MAESTRA!$A$3:$J$500,8,0),"⚠ No encontrado"))</f>
        <v/>
      </c>
      <c r="H231" s="65">
        <f>IF(OR(B231="",C231=""),"",IFERROR(VLOOKUP(B231&amp;"|||"&amp;C231,MAESTRA!$A$3:$J$500,9,0),""))</f>
        <v/>
      </c>
      <c r="I231" s="55" t="n"/>
      <c r="J231" s="55" t="n"/>
      <c r="K231" s="55" t="n"/>
      <c r="L231" s="63" t="n"/>
      <c r="M231" s="63" t="n"/>
      <c r="N231" s="66" t="n"/>
      <c r="O231" s="55" t="n"/>
      <c r="P231" s="63" t="n"/>
      <c r="Q231" s="55" t="n"/>
      <c r="R231" s="55" t="n"/>
      <c r="S231" s="63" t="n"/>
      <c r="T231" s="65">
        <f>IF(L231="","",TEXT(L231,"mmmm yyyy"))</f>
        <v/>
      </c>
    </row>
    <row r="232">
      <c r="A232" s="64">
        <f>IF(B232&lt;&gt;"",ROW()-3,"")</f>
        <v/>
      </c>
      <c r="B232" s="55" t="n"/>
      <c r="C232" s="55" t="n"/>
      <c r="D232" s="65">
        <f>IF(OR(B232="",C232=""),"",IFERROR(VLOOKUP(B232&amp;"|||"&amp;C232,MAESTRA!$A$3:$J$500,5,0),"⚠ No encontrado"))</f>
        <v/>
      </c>
      <c r="E232" s="65">
        <f>IF(OR(B232="",C232=""),"",IFERROR(VLOOKUP(B232&amp;"|||"&amp;C232,MAESTRA!$A$3:$J$500,6,0),"⚠ No encontrado"))</f>
        <v/>
      </c>
      <c r="F232" s="65">
        <f>IF(OR(B232="",C232=""),"",IFERROR(VLOOKUP(B232&amp;"|||"&amp;C232,MAESTRA!$A$3:$J$500,7,0),"⚠ No encontrado"))</f>
        <v/>
      </c>
      <c r="G232" s="65">
        <f>IF(OR(B232="",C232=""),"",IFERROR(VLOOKUP(B232&amp;"|||"&amp;C232,MAESTRA!$A$3:$J$500,8,0),"⚠ No encontrado"))</f>
        <v/>
      </c>
      <c r="H232" s="65">
        <f>IF(OR(B232="",C232=""),"",IFERROR(VLOOKUP(B232&amp;"|||"&amp;C232,MAESTRA!$A$3:$J$500,9,0),""))</f>
        <v/>
      </c>
      <c r="I232" s="55" t="n"/>
      <c r="J232" s="55" t="n"/>
      <c r="K232" s="55" t="n"/>
      <c r="L232" s="63" t="n"/>
      <c r="M232" s="63" t="n"/>
      <c r="N232" s="66" t="n"/>
      <c r="O232" s="55" t="n"/>
      <c r="P232" s="63" t="n"/>
      <c r="Q232" s="55" t="n"/>
      <c r="R232" s="55" t="n"/>
      <c r="S232" s="63" t="n"/>
      <c r="T232" s="65">
        <f>IF(L232="","",TEXT(L232,"mmmm yyyy"))</f>
        <v/>
      </c>
    </row>
    <row r="233">
      <c r="A233" s="64">
        <f>IF(B233&lt;&gt;"",ROW()-3,"")</f>
        <v/>
      </c>
      <c r="B233" s="55" t="n"/>
      <c r="C233" s="55" t="n"/>
      <c r="D233" s="65">
        <f>IF(OR(B233="",C233=""),"",IFERROR(VLOOKUP(B233&amp;"|||"&amp;C233,MAESTRA!$A$3:$J$500,5,0),"⚠ No encontrado"))</f>
        <v/>
      </c>
      <c r="E233" s="65">
        <f>IF(OR(B233="",C233=""),"",IFERROR(VLOOKUP(B233&amp;"|||"&amp;C233,MAESTRA!$A$3:$J$500,6,0),"⚠ No encontrado"))</f>
        <v/>
      </c>
      <c r="F233" s="65">
        <f>IF(OR(B233="",C233=""),"",IFERROR(VLOOKUP(B233&amp;"|||"&amp;C233,MAESTRA!$A$3:$J$500,7,0),"⚠ No encontrado"))</f>
        <v/>
      </c>
      <c r="G233" s="65">
        <f>IF(OR(B233="",C233=""),"",IFERROR(VLOOKUP(B233&amp;"|||"&amp;C233,MAESTRA!$A$3:$J$500,8,0),"⚠ No encontrado"))</f>
        <v/>
      </c>
      <c r="H233" s="65">
        <f>IF(OR(B233="",C233=""),"",IFERROR(VLOOKUP(B233&amp;"|||"&amp;C233,MAESTRA!$A$3:$J$500,9,0),""))</f>
        <v/>
      </c>
      <c r="I233" s="55" t="n"/>
      <c r="J233" s="55" t="n"/>
      <c r="K233" s="55" t="n"/>
      <c r="L233" s="63" t="n"/>
      <c r="M233" s="63" t="n"/>
      <c r="N233" s="66" t="n"/>
      <c r="O233" s="55" t="n"/>
      <c r="P233" s="63" t="n"/>
      <c r="Q233" s="55" t="n"/>
      <c r="R233" s="55" t="n"/>
      <c r="S233" s="63" t="n"/>
      <c r="T233" s="65">
        <f>IF(L233="","",TEXT(L233,"mmmm yyyy"))</f>
        <v/>
      </c>
    </row>
    <row r="234">
      <c r="A234" s="64">
        <f>IF(B234&lt;&gt;"",ROW()-3,"")</f>
        <v/>
      </c>
      <c r="B234" s="55" t="n"/>
      <c r="C234" s="55" t="n"/>
      <c r="D234" s="65">
        <f>IF(OR(B234="",C234=""),"",IFERROR(VLOOKUP(B234&amp;"|||"&amp;C234,MAESTRA!$A$3:$J$500,5,0),"⚠ No encontrado"))</f>
        <v/>
      </c>
      <c r="E234" s="65">
        <f>IF(OR(B234="",C234=""),"",IFERROR(VLOOKUP(B234&amp;"|||"&amp;C234,MAESTRA!$A$3:$J$500,6,0),"⚠ No encontrado"))</f>
        <v/>
      </c>
      <c r="F234" s="65">
        <f>IF(OR(B234="",C234=""),"",IFERROR(VLOOKUP(B234&amp;"|||"&amp;C234,MAESTRA!$A$3:$J$500,7,0),"⚠ No encontrado"))</f>
        <v/>
      </c>
      <c r="G234" s="65">
        <f>IF(OR(B234="",C234=""),"",IFERROR(VLOOKUP(B234&amp;"|||"&amp;C234,MAESTRA!$A$3:$J$500,8,0),"⚠ No encontrado"))</f>
        <v/>
      </c>
      <c r="H234" s="65">
        <f>IF(OR(B234="",C234=""),"",IFERROR(VLOOKUP(B234&amp;"|||"&amp;C234,MAESTRA!$A$3:$J$500,9,0),""))</f>
        <v/>
      </c>
      <c r="I234" s="55" t="n"/>
      <c r="J234" s="55" t="n"/>
      <c r="K234" s="55" t="n"/>
      <c r="L234" s="63" t="n"/>
      <c r="M234" s="63" t="n"/>
      <c r="N234" s="66" t="n"/>
      <c r="O234" s="55" t="n"/>
      <c r="P234" s="63" t="n"/>
      <c r="Q234" s="55" t="n"/>
      <c r="R234" s="55" t="n"/>
      <c r="S234" s="63" t="n"/>
      <c r="T234" s="65">
        <f>IF(L234="","",TEXT(L234,"mmmm yyyy"))</f>
        <v/>
      </c>
    </row>
    <row r="235">
      <c r="A235" s="64">
        <f>IF(B235&lt;&gt;"",ROW()-3,"")</f>
        <v/>
      </c>
      <c r="B235" s="55" t="n"/>
      <c r="C235" s="55" t="n"/>
      <c r="D235" s="65">
        <f>IF(OR(B235="",C235=""),"",IFERROR(VLOOKUP(B235&amp;"|||"&amp;C235,MAESTRA!$A$3:$J$500,5,0),"⚠ No encontrado"))</f>
        <v/>
      </c>
      <c r="E235" s="65">
        <f>IF(OR(B235="",C235=""),"",IFERROR(VLOOKUP(B235&amp;"|||"&amp;C235,MAESTRA!$A$3:$J$500,6,0),"⚠ No encontrado"))</f>
        <v/>
      </c>
      <c r="F235" s="65">
        <f>IF(OR(B235="",C235=""),"",IFERROR(VLOOKUP(B235&amp;"|||"&amp;C235,MAESTRA!$A$3:$J$500,7,0),"⚠ No encontrado"))</f>
        <v/>
      </c>
      <c r="G235" s="65">
        <f>IF(OR(B235="",C235=""),"",IFERROR(VLOOKUP(B235&amp;"|||"&amp;C235,MAESTRA!$A$3:$J$500,8,0),"⚠ No encontrado"))</f>
        <v/>
      </c>
      <c r="H235" s="65">
        <f>IF(OR(B235="",C235=""),"",IFERROR(VLOOKUP(B235&amp;"|||"&amp;C235,MAESTRA!$A$3:$J$500,9,0),""))</f>
        <v/>
      </c>
      <c r="I235" s="55" t="n"/>
      <c r="J235" s="55" t="n"/>
      <c r="K235" s="55" t="n"/>
      <c r="L235" s="63" t="n"/>
      <c r="M235" s="63" t="n"/>
      <c r="N235" s="66" t="n"/>
      <c r="O235" s="55" t="n"/>
      <c r="P235" s="63" t="n"/>
      <c r="Q235" s="55" t="n"/>
      <c r="R235" s="55" t="n"/>
      <c r="S235" s="63" t="n"/>
      <c r="T235" s="65">
        <f>IF(L235="","",TEXT(L235,"mmmm yyyy"))</f>
        <v/>
      </c>
    </row>
    <row r="236">
      <c r="A236" s="64">
        <f>IF(B236&lt;&gt;"",ROW()-3,"")</f>
        <v/>
      </c>
      <c r="B236" s="55" t="n"/>
      <c r="C236" s="55" t="n"/>
      <c r="D236" s="65">
        <f>IF(OR(B236="",C236=""),"",IFERROR(VLOOKUP(B236&amp;"|||"&amp;C236,MAESTRA!$A$3:$J$500,5,0),"⚠ No encontrado"))</f>
        <v/>
      </c>
      <c r="E236" s="65">
        <f>IF(OR(B236="",C236=""),"",IFERROR(VLOOKUP(B236&amp;"|||"&amp;C236,MAESTRA!$A$3:$J$500,6,0),"⚠ No encontrado"))</f>
        <v/>
      </c>
      <c r="F236" s="65">
        <f>IF(OR(B236="",C236=""),"",IFERROR(VLOOKUP(B236&amp;"|||"&amp;C236,MAESTRA!$A$3:$J$500,7,0),"⚠ No encontrado"))</f>
        <v/>
      </c>
      <c r="G236" s="65">
        <f>IF(OR(B236="",C236=""),"",IFERROR(VLOOKUP(B236&amp;"|||"&amp;C236,MAESTRA!$A$3:$J$500,8,0),"⚠ No encontrado"))</f>
        <v/>
      </c>
      <c r="H236" s="65">
        <f>IF(OR(B236="",C236=""),"",IFERROR(VLOOKUP(B236&amp;"|||"&amp;C236,MAESTRA!$A$3:$J$500,9,0),""))</f>
        <v/>
      </c>
      <c r="I236" s="55" t="n"/>
      <c r="J236" s="55" t="n"/>
      <c r="K236" s="55" t="n"/>
      <c r="L236" s="63" t="n"/>
      <c r="M236" s="63" t="n"/>
      <c r="N236" s="66" t="n"/>
      <c r="O236" s="55" t="n"/>
      <c r="P236" s="63" t="n"/>
      <c r="Q236" s="55" t="n"/>
      <c r="R236" s="55" t="n"/>
      <c r="S236" s="63" t="n"/>
      <c r="T236" s="65">
        <f>IF(L236="","",TEXT(L236,"mmmm yyyy"))</f>
        <v/>
      </c>
    </row>
    <row r="237">
      <c r="A237" s="64">
        <f>IF(B237&lt;&gt;"",ROW()-3,"")</f>
        <v/>
      </c>
      <c r="B237" s="55" t="n"/>
      <c r="C237" s="55" t="n"/>
      <c r="D237" s="65">
        <f>IF(OR(B237="",C237=""),"",IFERROR(VLOOKUP(B237&amp;"|||"&amp;C237,MAESTRA!$A$3:$J$500,5,0),"⚠ No encontrado"))</f>
        <v/>
      </c>
      <c r="E237" s="65">
        <f>IF(OR(B237="",C237=""),"",IFERROR(VLOOKUP(B237&amp;"|||"&amp;C237,MAESTRA!$A$3:$J$500,6,0),"⚠ No encontrado"))</f>
        <v/>
      </c>
      <c r="F237" s="65">
        <f>IF(OR(B237="",C237=""),"",IFERROR(VLOOKUP(B237&amp;"|||"&amp;C237,MAESTRA!$A$3:$J$500,7,0),"⚠ No encontrado"))</f>
        <v/>
      </c>
      <c r="G237" s="65">
        <f>IF(OR(B237="",C237=""),"",IFERROR(VLOOKUP(B237&amp;"|||"&amp;C237,MAESTRA!$A$3:$J$500,8,0),"⚠ No encontrado"))</f>
        <v/>
      </c>
      <c r="H237" s="65">
        <f>IF(OR(B237="",C237=""),"",IFERROR(VLOOKUP(B237&amp;"|||"&amp;C237,MAESTRA!$A$3:$J$500,9,0),""))</f>
        <v/>
      </c>
      <c r="I237" s="55" t="n"/>
      <c r="J237" s="55" t="n"/>
      <c r="K237" s="55" t="n"/>
      <c r="L237" s="63" t="n"/>
      <c r="M237" s="63" t="n"/>
      <c r="N237" s="66" t="n"/>
      <c r="O237" s="55" t="n"/>
      <c r="P237" s="63" t="n"/>
      <c r="Q237" s="55" t="n"/>
      <c r="R237" s="55" t="n"/>
      <c r="S237" s="63" t="n"/>
      <c r="T237" s="65">
        <f>IF(L237="","",TEXT(L237,"mmmm yyyy"))</f>
        <v/>
      </c>
    </row>
    <row r="238">
      <c r="A238" s="64">
        <f>IF(B238&lt;&gt;"",ROW()-3,"")</f>
        <v/>
      </c>
      <c r="B238" s="55" t="n"/>
      <c r="C238" s="55" t="n"/>
      <c r="D238" s="65">
        <f>IF(OR(B238="",C238=""),"",IFERROR(VLOOKUP(B238&amp;"|||"&amp;C238,MAESTRA!$A$3:$J$500,5,0),"⚠ No encontrado"))</f>
        <v/>
      </c>
      <c r="E238" s="65">
        <f>IF(OR(B238="",C238=""),"",IFERROR(VLOOKUP(B238&amp;"|||"&amp;C238,MAESTRA!$A$3:$J$500,6,0),"⚠ No encontrado"))</f>
        <v/>
      </c>
      <c r="F238" s="65">
        <f>IF(OR(B238="",C238=""),"",IFERROR(VLOOKUP(B238&amp;"|||"&amp;C238,MAESTRA!$A$3:$J$500,7,0),"⚠ No encontrado"))</f>
        <v/>
      </c>
      <c r="G238" s="65">
        <f>IF(OR(B238="",C238=""),"",IFERROR(VLOOKUP(B238&amp;"|||"&amp;C238,MAESTRA!$A$3:$J$500,8,0),"⚠ No encontrado"))</f>
        <v/>
      </c>
      <c r="H238" s="65">
        <f>IF(OR(B238="",C238=""),"",IFERROR(VLOOKUP(B238&amp;"|||"&amp;C238,MAESTRA!$A$3:$J$500,9,0),""))</f>
        <v/>
      </c>
      <c r="I238" s="55" t="n"/>
      <c r="J238" s="55" t="n"/>
      <c r="K238" s="55" t="n"/>
      <c r="L238" s="63" t="n"/>
      <c r="M238" s="63" t="n"/>
      <c r="N238" s="66" t="n"/>
      <c r="O238" s="55" t="n"/>
      <c r="P238" s="63" t="n"/>
      <c r="Q238" s="55" t="n"/>
      <c r="R238" s="55" t="n"/>
      <c r="S238" s="63" t="n"/>
      <c r="T238" s="65">
        <f>IF(L238="","",TEXT(L238,"mmmm yyyy"))</f>
        <v/>
      </c>
    </row>
    <row r="239">
      <c r="A239" s="64">
        <f>IF(B239&lt;&gt;"",ROW()-3,"")</f>
        <v/>
      </c>
      <c r="B239" s="55" t="n"/>
      <c r="C239" s="55" t="n"/>
      <c r="D239" s="65">
        <f>IF(OR(B239="",C239=""),"",IFERROR(VLOOKUP(B239&amp;"|||"&amp;C239,MAESTRA!$A$3:$J$500,5,0),"⚠ No encontrado"))</f>
        <v/>
      </c>
      <c r="E239" s="65">
        <f>IF(OR(B239="",C239=""),"",IFERROR(VLOOKUP(B239&amp;"|||"&amp;C239,MAESTRA!$A$3:$J$500,6,0),"⚠ No encontrado"))</f>
        <v/>
      </c>
      <c r="F239" s="65">
        <f>IF(OR(B239="",C239=""),"",IFERROR(VLOOKUP(B239&amp;"|||"&amp;C239,MAESTRA!$A$3:$J$500,7,0),"⚠ No encontrado"))</f>
        <v/>
      </c>
      <c r="G239" s="65">
        <f>IF(OR(B239="",C239=""),"",IFERROR(VLOOKUP(B239&amp;"|||"&amp;C239,MAESTRA!$A$3:$J$500,8,0),"⚠ No encontrado"))</f>
        <v/>
      </c>
      <c r="H239" s="65">
        <f>IF(OR(B239="",C239=""),"",IFERROR(VLOOKUP(B239&amp;"|||"&amp;C239,MAESTRA!$A$3:$J$500,9,0),""))</f>
        <v/>
      </c>
      <c r="I239" s="55" t="n"/>
      <c r="J239" s="55" t="n"/>
      <c r="K239" s="55" t="n"/>
      <c r="L239" s="63" t="n"/>
      <c r="M239" s="63" t="n"/>
      <c r="N239" s="66" t="n"/>
      <c r="O239" s="55" t="n"/>
      <c r="P239" s="63" t="n"/>
      <c r="Q239" s="55" t="n"/>
      <c r="R239" s="55" t="n"/>
      <c r="S239" s="63" t="n"/>
      <c r="T239" s="65">
        <f>IF(L239="","",TEXT(L239,"mmmm yyyy"))</f>
        <v/>
      </c>
    </row>
    <row r="240">
      <c r="A240" s="64">
        <f>IF(B240&lt;&gt;"",ROW()-3,"")</f>
        <v/>
      </c>
      <c r="B240" s="55" t="n"/>
      <c r="C240" s="55" t="n"/>
      <c r="D240" s="65">
        <f>IF(OR(B240="",C240=""),"",IFERROR(VLOOKUP(B240&amp;"|||"&amp;C240,MAESTRA!$A$3:$J$500,5,0),"⚠ No encontrado"))</f>
        <v/>
      </c>
      <c r="E240" s="65">
        <f>IF(OR(B240="",C240=""),"",IFERROR(VLOOKUP(B240&amp;"|||"&amp;C240,MAESTRA!$A$3:$J$500,6,0),"⚠ No encontrado"))</f>
        <v/>
      </c>
      <c r="F240" s="65">
        <f>IF(OR(B240="",C240=""),"",IFERROR(VLOOKUP(B240&amp;"|||"&amp;C240,MAESTRA!$A$3:$J$500,7,0),"⚠ No encontrado"))</f>
        <v/>
      </c>
      <c r="G240" s="65">
        <f>IF(OR(B240="",C240=""),"",IFERROR(VLOOKUP(B240&amp;"|||"&amp;C240,MAESTRA!$A$3:$J$500,8,0),"⚠ No encontrado"))</f>
        <v/>
      </c>
      <c r="H240" s="65">
        <f>IF(OR(B240="",C240=""),"",IFERROR(VLOOKUP(B240&amp;"|||"&amp;C240,MAESTRA!$A$3:$J$500,9,0),""))</f>
        <v/>
      </c>
      <c r="I240" s="55" t="n"/>
      <c r="J240" s="55" t="n"/>
      <c r="K240" s="55" t="n"/>
      <c r="L240" s="63" t="n"/>
      <c r="M240" s="63" t="n"/>
      <c r="N240" s="66" t="n"/>
      <c r="O240" s="55" t="n"/>
      <c r="P240" s="63" t="n"/>
      <c r="Q240" s="55" t="n"/>
      <c r="R240" s="55" t="n"/>
      <c r="S240" s="63" t="n"/>
      <c r="T240" s="65">
        <f>IF(L240="","",TEXT(L240,"mmmm yyyy"))</f>
        <v/>
      </c>
    </row>
    <row r="241">
      <c r="A241" s="64">
        <f>IF(B241&lt;&gt;"",ROW()-3,"")</f>
        <v/>
      </c>
      <c r="B241" s="55" t="n"/>
      <c r="C241" s="55" t="n"/>
      <c r="D241" s="65">
        <f>IF(OR(B241="",C241=""),"",IFERROR(VLOOKUP(B241&amp;"|||"&amp;C241,MAESTRA!$A$3:$J$500,5,0),"⚠ No encontrado"))</f>
        <v/>
      </c>
      <c r="E241" s="65">
        <f>IF(OR(B241="",C241=""),"",IFERROR(VLOOKUP(B241&amp;"|||"&amp;C241,MAESTRA!$A$3:$J$500,6,0),"⚠ No encontrado"))</f>
        <v/>
      </c>
      <c r="F241" s="65">
        <f>IF(OR(B241="",C241=""),"",IFERROR(VLOOKUP(B241&amp;"|||"&amp;C241,MAESTRA!$A$3:$J$500,7,0),"⚠ No encontrado"))</f>
        <v/>
      </c>
      <c r="G241" s="65">
        <f>IF(OR(B241="",C241=""),"",IFERROR(VLOOKUP(B241&amp;"|||"&amp;C241,MAESTRA!$A$3:$J$500,8,0),"⚠ No encontrado"))</f>
        <v/>
      </c>
      <c r="H241" s="65">
        <f>IF(OR(B241="",C241=""),"",IFERROR(VLOOKUP(B241&amp;"|||"&amp;C241,MAESTRA!$A$3:$J$500,9,0),""))</f>
        <v/>
      </c>
      <c r="I241" s="55" t="n"/>
      <c r="J241" s="55" t="n"/>
      <c r="K241" s="55" t="n"/>
      <c r="L241" s="63" t="n"/>
      <c r="M241" s="63" t="n"/>
      <c r="N241" s="66" t="n"/>
      <c r="O241" s="55" t="n"/>
      <c r="P241" s="63" t="n"/>
      <c r="Q241" s="55" t="n"/>
      <c r="R241" s="55" t="n"/>
      <c r="S241" s="63" t="n"/>
      <c r="T241" s="65">
        <f>IF(L241="","",TEXT(L241,"mmmm yyyy"))</f>
        <v/>
      </c>
    </row>
    <row r="242">
      <c r="A242" s="64">
        <f>IF(B242&lt;&gt;"",ROW()-3,"")</f>
        <v/>
      </c>
      <c r="B242" s="55" t="n"/>
      <c r="C242" s="55" t="n"/>
      <c r="D242" s="65">
        <f>IF(OR(B242="",C242=""),"",IFERROR(VLOOKUP(B242&amp;"|||"&amp;C242,MAESTRA!$A$3:$J$500,5,0),"⚠ No encontrado"))</f>
        <v/>
      </c>
      <c r="E242" s="65">
        <f>IF(OR(B242="",C242=""),"",IFERROR(VLOOKUP(B242&amp;"|||"&amp;C242,MAESTRA!$A$3:$J$500,6,0),"⚠ No encontrado"))</f>
        <v/>
      </c>
      <c r="F242" s="65">
        <f>IF(OR(B242="",C242=""),"",IFERROR(VLOOKUP(B242&amp;"|||"&amp;C242,MAESTRA!$A$3:$J$500,7,0),"⚠ No encontrado"))</f>
        <v/>
      </c>
      <c r="G242" s="65">
        <f>IF(OR(B242="",C242=""),"",IFERROR(VLOOKUP(B242&amp;"|||"&amp;C242,MAESTRA!$A$3:$J$500,8,0),"⚠ No encontrado"))</f>
        <v/>
      </c>
      <c r="H242" s="65">
        <f>IF(OR(B242="",C242=""),"",IFERROR(VLOOKUP(B242&amp;"|||"&amp;C242,MAESTRA!$A$3:$J$500,9,0),""))</f>
        <v/>
      </c>
      <c r="I242" s="55" t="n"/>
      <c r="J242" s="55" t="n"/>
      <c r="K242" s="55" t="n"/>
      <c r="L242" s="63" t="n"/>
      <c r="M242" s="63" t="n"/>
      <c r="N242" s="66" t="n"/>
      <c r="O242" s="55" t="n"/>
      <c r="P242" s="63" t="n"/>
      <c r="Q242" s="55" t="n"/>
      <c r="R242" s="55" t="n"/>
      <c r="S242" s="63" t="n"/>
      <c r="T242" s="65">
        <f>IF(L242="","",TEXT(L242,"mmmm yyyy"))</f>
        <v/>
      </c>
    </row>
    <row r="243">
      <c r="A243" s="64">
        <f>IF(B243&lt;&gt;"",ROW()-3,"")</f>
        <v/>
      </c>
      <c r="B243" s="55" t="n"/>
      <c r="C243" s="55" t="n"/>
      <c r="D243" s="65">
        <f>IF(OR(B243="",C243=""),"",IFERROR(VLOOKUP(B243&amp;"|||"&amp;C243,MAESTRA!$A$3:$J$500,5,0),"⚠ No encontrado"))</f>
        <v/>
      </c>
      <c r="E243" s="65">
        <f>IF(OR(B243="",C243=""),"",IFERROR(VLOOKUP(B243&amp;"|||"&amp;C243,MAESTRA!$A$3:$J$500,6,0),"⚠ No encontrado"))</f>
        <v/>
      </c>
      <c r="F243" s="65">
        <f>IF(OR(B243="",C243=""),"",IFERROR(VLOOKUP(B243&amp;"|||"&amp;C243,MAESTRA!$A$3:$J$500,7,0),"⚠ No encontrado"))</f>
        <v/>
      </c>
      <c r="G243" s="65">
        <f>IF(OR(B243="",C243=""),"",IFERROR(VLOOKUP(B243&amp;"|||"&amp;C243,MAESTRA!$A$3:$J$500,8,0),"⚠ No encontrado"))</f>
        <v/>
      </c>
      <c r="H243" s="65">
        <f>IF(OR(B243="",C243=""),"",IFERROR(VLOOKUP(B243&amp;"|||"&amp;C243,MAESTRA!$A$3:$J$500,9,0),""))</f>
        <v/>
      </c>
      <c r="I243" s="55" t="n"/>
      <c r="J243" s="55" t="n"/>
      <c r="K243" s="55" t="n"/>
      <c r="L243" s="63" t="n"/>
      <c r="M243" s="63" t="n"/>
      <c r="N243" s="66" t="n"/>
      <c r="O243" s="55" t="n"/>
      <c r="P243" s="63" t="n"/>
      <c r="Q243" s="55" t="n"/>
      <c r="R243" s="55" t="n"/>
      <c r="S243" s="63" t="n"/>
      <c r="T243" s="65">
        <f>IF(L243="","",TEXT(L243,"mmmm yyyy"))</f>
        <v/>
      </c>
    </row>
    <row r="244">
      <c r="A244" s="64">
        <f>IF(B244&lt;&gt;"",ROW()-3,"")</f>
        <v/>
      </c>
      <c r="B244" s="55" t="n"/>
      <c r="C244" s="55" t="n"/>
      <c r="D244" s="65">
        <f>IF(OR(B244="",C244=""),"",IFERROR(VLOOKUP(B244&amp;"|||"&amp;C244,MAESTRA!$A$3:$J$500,5,0),"⚠ No encontrado"))</f>
        <v/>
      </c>
      <c r="E244" s="65">
        <f>IF(OR(B244="",C244=""),"",IFERROR(VLOOKUP(B244&amp;"|||"&amp;C244,MAESTRA!$A$3:$J$500,6,0),"⚠ No encontrado"))</f>
        <v/>
      </c>
      <c r="F244" s="65">
        <f>IF(OR(B244="",C244=""),"",IFERROR(VLOOKUP(B244&amp;"|||"&amp;C244,MAESTRA!$A$3:$J$500,7,0),"⚠ No encontrado"))</f>
        <v/>
      </c>
      <c r="G244" s="65">
        <f>IF(OR(B244="",C244=""),"",IFERROR(VLOOKUP(B244&amp;"|||"&amp;C244,MAESTRA!$A$3:$J$500,8,0),"⚠ No encontrado"))</f>
        <v/>
      </c>
      <c r="H244" s="65">
        <f>IF(OR(B244="",C244=""),"",IFERROR(VLOOKUP(B244&amp;"|||"&amp;C244,MAESTRA!$A$3:$J$500,9,0),""))</f>
        <v/>
      </c>
      <c r="I244" s="55" t="n"/>
      <c r="J244" s="55" t="n"/>
      <c r="K244" s="55" t="n"/>
      <c r="L244" s="63" t="n"/>
      <c r="M244" s="63" t="n"/>
      <c r="N244" s="66" t="n"/>
      <c r="O244" s="55" t="n"/>
      <c r="P244" s="63" t="n"/>
      <c r="Q244" s="55" t="n"/>
      <c r="R244" s="55" t="n"/>
      <c r="S244" s="63" t="n"/>
      <c r="T244" s="65">
        <f>IF(L244="","",TEXT(L244,"mmmm yyyy"))</f>
        <v/>
      </c>
    </row>
    <row r="245">
      <c r="A245" s="64">
        <f>IF(B245&lt;&gt;"",ROW()-3,"")</f>
        <v/>
      </c>
      <c r="B245" s="55" t="n"/>
      <c r="C245" s="55" t="n"/>
      <c r="D245" s="65">
        <f>IF(OR(B245="",C245=""),"",IFERROR(VLOOKUP(B245&amp;"|||"&amp;C245,MAESTRA!$A$3:$J$500,5,0),"⚠ No encontrado"))</f>
        <v/>
      </c>
      <c r="E245" s="65">
        <f>IF(OR(B245="",C245=""),"",IFERROR(VLOOKUP(B245&amp;"|||"&amp;C245,MAESTRA!$A$3:$J$500,6,0),"⚠ No encontrado"))</f>
        <v/>
      </c>
      <c r="F245" s="65">
        <f>IF(OR(B245="",C245=""),"",IFERROR(VLOOKUP(B245&amp;"|||"&amp;C245,MAESTRA!$A$3:$J$500,7,0),"⚠ No encontrado"))</f>
        <v/>
      </c>
      <c r="G245" s="65">
        <f>IF(OR(B245="",C245=""),"",IFERROR(VLOOKUP(B245&amp;"|||"&amp;C245,MAESTRA!$A$3:$J$500,8,0),"⚠ No encontrado"))</f>
        <v/>
      </c>
      <c r="H245" s="65">
        <f>IF(OR(B245="",C245=""),"",IFERROR(VLOOKUP(B245&amp;"|||"&amp;C245,MAESTRA!$A$3:$J$500,9,0),""))</f>
        <v/>
      </c>
      <c r="I245" s="55" t="n"/>
      <c r="J245" s="55" t="n"/>
      <c r="K245" s="55" t="n"/>
      <c r="L245" s="63" t="n"/>
      <c r="M245" s="63" t="n"/>
      <c r="N245" s="66" t="n"/>
      <c r="O245" s="55" t="n"/>
      <c r="P245" s="63" t="n"/>
      <c r="Q245" s="55" t="n"/>
      <c r="R245" s="55" t="n"/>
      <c r="S245" s="63" t="n"/>
      <c r="T245" s="65">
        <f>IF(L245="","",TEXT(L245,"mmmm yyyy"))</f>
        <v/>
      </c>
    </row>
    <row r="246">
      <c r="A246" s="64">
        <f>IF(B246&lt;&gt;"",ROW()-3,"")</f>
        <v/>
      </c>
      <c r="B246" s="55" t="n"/>
      <c r="C246" s="55" t="n"/>
      <c r="D246" s="65">
        <f>IF(OR(B246="",C246=""),"",IFERROR(VLOOKUP(B246&amp;"|||"&amp;C246,MAESTRA!$A$3:$J$500,5,0),"⚠ No encontrado"))</f>
        <v/>
      </c>
      <c r="E246" s="65">
        <f>IF(OR(B246="",C246=""),"",IFERROR(VLOOKUP(B246&amp;"|||"&amp;C246,MAESTRA!$A$3:$J$500,6,0),"⚠ No encontrado"))</f>
        <v/>
      </c>
      <c r="F246" s="65">
        <f>IF(OR(B246="",C246=""),"",IFERROR(VLOOKUP(B246&amp;"|||"&amp;C246,MAESTRA!$A$3:$J$500,7,0),"⚠ No encontrado"))</f>
        <v/>
      </c>
      <c r="G246" s="65">
        <f>IF(OR(B246="",C246=""),"",IFERROR(VLOOKUP(B246&amp;"|||"&amp;C246,MAESTRA!$A$3:$J$500,8,0),"⚠ No encontrado"))</f>
        <v/>
      </c>
      <c r="H246" s="65">
        <f>IF(OR(B246="",C246=""),"",IFERROR(VLOOKUP(B246&amp;"|||"&amp;C246,MAESTRA!$A$3:$J$500,9,0),""))</f>
        <v/>
      </c>
      <c r="I246" s="55" t="n"/>
      <c r="J246" s="55" t="n"/>
      <c r="K246" s="55" t="n"/>
      <c r="L246" s="63" t="n"/>
      <c r="M246" s="63" t="n"/>
      <c r="N246" s="66" t="n"/>
      <c r="O246" s="55" t="n"/>
      <c r="P246" s="63" t="n"/>
      <c r="Q246" s="55" t="n"/>
      <c r="R246" s="55" t="n"/>
      <c r="S246" s="63" t="n"/>
      <c r="T246" s="65">
        <f>IF(L246="","",TEXT(L246,"mmmm yyyy"))</f>
        <v/>
      </c>
    </row>
    <row r="247">
      <c r="A247" s="64">
        <f>IF(B247&lt;&gt;"",ROW()-3,"")</f>
        <v/>
      </c>
      <c r="B247" s="55" t="n"/>
      <c r="C247" s="55" t="n"/>
      <c r="D247" s="65">
        <f>IF(OR(B247="",C247=""),"",IFERROR(VLOOKUP(B247&amp;"|||"&amp;C247,MAESTRA!$A$3:$J$500,5,0),"⚠ No encontrado"))</f>
        <v/>
      </c>
      <c r="E247" s="65">
        <f>IF(OR(B247="",C247=""),"",IFERROR(VLOOKUP(B247&amp;"|||"&amp;C247,MAESTRA!$A$3:$J$500,6,0),"⚠ No encontrado"))</f>
        <v/>
      </c>
      <c r="F247" s="65">
        <f>IF(OR(B247="",C247=""),"",IFERROR(VLOOKUP(B247&amp;"|||"&amp;C247,MAESTRA!$A$3:$J$500,7,0),"⚠ No encontrado"))</f>
        <v/>
      </c>
      <c r="G247" s="65">
        <f>IF(OR(B247="",C247=""),"",IFERROR(VLOOKUP(B247&amp;"|||"&amp;C247,MAESTRA!$A$3:$J$500,8,0),"⚠ No encontrado"))</f>
        <v/>
      </c>
      <c r="H247" s="65">
        <f>IF(OR(B247="",C247=""),"",IFERROR(VLOOKUP(B247&amp;"|||"&amp;C247,MAESTRA!$A$3:$J$500,9,0),""))</f>
        <v/>
      </c>
      <c r="I247" s="55" t="n"/>
      <c r="J247" s="55" t="n"/>
      <c r="K247" s="55" t="n"/>
      <c r="L247" s="63" t="n"/>
      <c r="M247" s="63" t="n"/>
      <c r="N247" s="66" t="n"/>
      <c r="O247" s="55" t="n"/>
      <c r="P247" s="63" t="n"/>
      <c r="Q247" s="55" t="n"/>
      <c r="R247" s="55" t="n"/>
      <c r="S247" s="63" t="n"/>
      <c r="T247" s="65">
        <f>IF(L247="","",TEXT(L247,"mmmm yyyy"))</f>
        <v/>
      </c>
    </row>
    <row r="248">
      <c r="A248" s="64">
        <f>IF(B248&lt;&gt;"",ROW()-3,"")</f>
        <v/>
      </c>
      <c r="B248" s="55" t="n"/>
      <c r="C248" s="55" t="n"/>
      <c r="D248" s="65">
        <f>IF(OR(B248="",C248=""),"",IFERROR(VLOOKUP(B248&amp;"|||"&amp;C248,MAESTRA!$A$3:$J$500,5,0),"⚠ No encontrado"))</f>
        <v/>
      </c>
      <c r="E248" s="65">
        <f>IF(OR(B248="",C248=""),"",IFERROR(VLOOKUP(B248&amp;"|||"&amp;C248,MAESTRA!$A$3:$J$500,6,0),"⚠ No encontrado"))</f>
        <v/>
      </c>
      <c r="F248" s="65">
        <f>IF(OR(B248="",C248=""),"",IFERROR(VLOOKUP(B248&amp;"|||"&amp;C248,MAESTRA!$A$3:$J$500,7,0),"⚠ No encontrado"))</f>
        <v/>
      </c>
      <c r="G248" s="65">
        <f>IF(OR(B248="",C248=""),"",IFERROR(VLOOKUP(B248&amp;"|||"&amp;C248,MAESTRA!$A$3:$J$500,8,0),"⚠ No encontrado"))</f>
        <v/>
      </c>
      <c r="H248" s="65">
        <f>IF(OR(B248="",C248=""),"",IFERROR(VLOOKUP(B248&amp;"|||"&amp;C248,MAESTRA!$A$3:$J$500,9,0),""))</f>
        <v/>
      </c>
      <c r="I248" s="55" t="n"/>
      <c r="J248" s="55" t="n"/>
      <c r="K248" s="55" t="n"/>
      <c r="L248" s="63" t="n"/>
      <c r="M248" s="63" t="n"/>
      <c r="N248" s="66" t="n"/>
      <c r="O248" s="55" t="n"/>
      <c r="P248" s="63" t="n"/>
      <c r="Q248" s="55" t="n"/>
      <c r="R248" s="55" t="n"/>
      <c r="S248" s="63" t="n"/>
      <c r="T248" s="65">
        <f>IF(L248="","",TEXT(L248,"mmmm yyyy"))</f>
        <v/>
      </c>
    </row>
    <row r="249">
      <c r="A249" s="64">
        <f>IF(B249&lt;&gt;"",ROW()-3,"")</f>
        <v/>
      </c>
      <c r="B249" s="55" t="n"/>
      <c r="C249" s="55" t="n"/>
      <c r="D249" s="65">
        <f>IF(OR(B249="",C249=""),"",IFERROR(VLOOKUP(B249&amp;"|||"&amp;C249,MAESTRA!$A$3:$J$500,5,0),"⚠ No encontrado"))</f>
        <v/>
      </c>
      <c r="E249" s="65">
        <f>IF(OR(B249="",C249=""),"",IFERROR(VLOOKUP(B249&amp;"|||"&amp;C249,MAESTRA!$A$3:$J$500,6,0),"⚠ No encontrado"))</f>
        <v/>
      </c>
      <c r="F249" s="65">
        <f>IF(OR(B249="",C249=""),"",IFERROR(VLOOKUP(B249&amp;"|||"&amp;C249,MAESTRA!$A$3:$J$500,7,0),"⚠ No encontrado"))</f>
        <v/>
      </c>
      <c r="G249" s="65">
        <f>IF(OR(B249="",C249=""),"",IFERROR(VLOOKUP(B249&amp;"|||"&amp;C249,MAESTRA!$A$3:$J$500,8,0),"⚠ No encontrado"))</f>
        <v/>
      </c>
      <c r="H249" s="65">
        <f>IF(OR(B249="",C249=""),"",IFERROR(VLOOKUP(B249&amp;"|||"&amp;C249,MAESTRA!$A$3:$J$500,9,0),""))</f>
        <v/>
      </c>
      <c r="I249" s="55" t="n"/>
      <c r="J249" s="55" t="n"/>
      <c r="K249" s="55" t="n"/>
      <c r="L249" s="63" t="n"/>
      <c r="M249" s="63" t="n"/>
      <c r="N249" s="66" t="n"/>
      <c r="O249" s="55" t="n"/>
      <c r="P249" s="63" t="n"/>
      <c r="Q249" s="55" t="n"/>
      <c r="R249" s="55" t="n"/>
      <c r="S249" s="63" t="n"/>
      <c r="T249" s="65">
        <f>IF(L249="","",TEXT(L249,"mmmm yyyy"))</f>
        <v/>
      </c>
    </row>
    <row r="250">
      <c r="A250" s="64">
        <f>IF(B250&lt;&gt;"",ROW()-3,"")</f>
        <v/>
      </c>
      <c r="B250" s="55" t="n"/>
      <c r="C250" s="55" t="n"/>
      <c r="D250" s="65">
        <f>IF(OR(B250="",C250=""),"",IFERROR(VLOOKUP(B250&amp;"|||"&amp;C250,MAESTRA!$A$3:$J$500,5,0),"⚠ No encontrado"))</f>
        <v/>
      </c>
      <c r="E250" s="65">
        <f>IF(OR(B250="",C250=""),"",IFERROR(VLOOKUP(B250&amp;"|||"&amp;C250,MAESTRA!$A$3:$J$500,6,0),"⚠ No encontrado"))</f>
        <v/>
      </c>
      <c r="F250" s="65">
        <f>IF(OR(B250="",C250=""),"",IFERROR(VLOOKUP(B250&amp;"|||"&amp;C250,MAESTRA!$A$3:$J$500,7,0),"⚠ No encontrado"))</f>
        <v/>
      </c>
      <c r="G250" s="65">
        <f>IF(OR(B250="",C250=""),"",IFERROR(VLOOKUP(B250&amp;"|||"&amp;C250,MAESTRA!$A$3:$J$500,8,0),"⚠ No encontrado"))</f>
        <v/>
      </c>
      <c r="H250" s="65">
        <f>IF(OR(B250="",C250=""),"",IFERROR(VLOOKUP(B250&amp;"|||"&amp;C250,MAESTRA!$A$3:$J$500,9,0),""))</f>
        <v/>
      </c>
      <c r="I250" s="55" t="n"/>
      <c r="J250" s="55" t="n"/>
      <c r="K250" s="55" t="n"/>
      <c r="L250" s="63" t="n"/>
      <c r="M250" s="63" t="n"/>
      <c r="N250" s="66" t="n"/>
      <c r="O250" s="55" t="n"/>
      <c r="P250" s="63" t="n"/>
      <c r="Q250" s="55" t="n"/>
      <c r="R250" s="55" t="n"/>
      <c r="S250" s="63" t="n"/>
      <c r="T250" s="65">
        <f>IF(L250="","",TEXT(L250,"mmmm yyyy"))</f>
        <v/>
      </c>
    </row>
    <row r="251">
      <c r="A251" s="64">
        <f>IF(B251&lt;&gt;"",ROW()-3,"")</f>
        <v/>
      </c>
      <c r="B251" s="55" t="n"/>
      <c r="C251" s="55" t="n"/>
      <c r="D251" s="65">
        <f>IF(OR(B251="",C251=""),"",IFERROR(VLOOKUP(B251&amp;"|||"&amp;C251,MAESTRA!$A$3:$J$500,5,0),"⚠ No encontrado"))</f>
        <v/>
      </c>
      <c r="E251" s="65">
        <f>IF(OR(B251="",C251=""),"",IFERROR(VLOOKUP(B251&amp;"|||"&amp;C251,MAESTRA!$A$3:$J$500,6,0),"⚠ No encontrado"))</f>
        <v/>
      </c>
      <c r="F251" s="65">
        <f>IF(OR(B251="",C251=""),"",IFERROR(VLOOKUP(B251&amp;"|||"&amp;C251,MAESTRA!$A$3:$J$500,7,0),"⚠ No encontrado"))</f>
        <v/>
      </c>
      <c r="G251" s="65">
        <f>IF(OR(B251="",C251=""),"",IFERROR(VLOOKUP(B251&amp;"|||"&amp;C251,MAESTRA!$A$3:$J$500,8,0),"⚠ No encontrado"))</f>
        <v/>
      </c>
      <c r="H251" s="65">
        <f>IF(OR(B251="",C251=""),"",IFERROR(VLOOKUP(B251&amp;"|||"&amp;C251,MAESTRA!$A$3:$J$500,9,0),""))</f>
        <v/>
      </c>
      <c r="I251" s="55" t="n"/>
      <c r="J251" s="55" t="n"/>
      <c r="K251" s="55" t="n"/>
      <c r="L251" s="63" t="n"/>
      <c r="M251" s="63" t="n"/>
      <c r="N251" s="66" t="n"/>
      <c r="O251" s="55" t="n"/>
      <c r="P251" s="63" t="n"/>
      <c r="Q251" s="55" t="n"/>
      <c r="R251" s="55" t="n"/>
      <c r="S251" s="63" t="n"/>
      <c r="T251" s="65">
        <f>IF(L251="","",TEXT(L251,"mmmm yyyy"))</f>
        <v/>
      </c>
    </row>
    <row r="252">
      <c r="A252" s="64">
        <f>IF(B252&lt;&gt;"",ROW()-3,"")</f>
        <v/>
      </c>
      <c r="B252" s="55" t="n"/>
      <c r="C252" s="55" t="n"/>
      <c r="D252" s="65">
        <f>IF(OR(B252="",C252=""),"",IFERROR(VLOOKUP(B252&amp;"|||"&amp;C252,MAESTRA!$A$3:$J$500,5,0),"⚠ No encontrado"))</f>
        <v/>
      </c>
      <c r="E252" s="65">
        <f>IF(OR(B252="",C252=""),"",IFERROR(VLOOKUP(B252&amp;"|||"&amp;C252,MAESTRA!$A$3:$J$500,6,0),"⚠ No encontrado"))</f>
        <v/>
      </c>
      <c r="F252" s="65">
        <f>IF(OR(B252="",C252=""),"",IFERROR(VLOOKUP(B252&amp;"|||"&amp;C252,MAESTRA!$A$3:$J$500,7,0),"⚠ No encontrado"))</f>
        <v/>
      </c>
      <c r="G252" s="65">
        <f>IF(OR(B252="",C252=""),"",IFERROR(VLOOKUP(B252&amp;"|||"&amp;C252,MAESTRA!$A$3:$J$500,8,0),"⚠ No encontrado"))</f>
        <v/>
      </c>
      <c r="H252" s="65">
        <f>IF(OR(B252="",C252=""),"",IFERROR(VLOOKUP(B252&amp;"|||"&amp;C252,MAESTRA!$A$3:$J$500,9,0),""))</f>
        <v/>
      </c>
      <c r="I252" s="55" t="n"/>
      <c r="J252" s="55" t="n"/>
      <c r="K252" s="55" t="n"/>
      <c r="L252" s="63" t="n"/>
      <c r="M252" s="63" t="n"/>
      <c r="N252" s="66" t="n"/>
      <c r="O252" s="55" t="n"/>
      <c r="P252" s="63" t="n"/>
      <c r="Q252" s="55" t="n"/>
      <c r="R252" s="55" t="n"/>
      <c r="S252" s="63" t="n"/>
      <c r="T252" s="65">
        <f>IF(L252="","",TEXT(L252,"mmmm yyyy"))</f>
        <v/>
      </c>
    </row>
    <row r="253">
      <c r="A253" s="64">
        <f>IF(B253&lt;&gt;"",ROW()-3,"")</f>
        <v/>
      </c>
      <c r="B253" s="55" t="n"/>
      <c r="C253" s="55" t="n"/>
      <c r="D253" s="65">
        <f>IF(OR(B253="",C253=""),"",IFERROR(VLOOKUP(B253&amp;"|||"&amp;C253,MAESTRA!$A$3:$J$500,5,0),"⚠ No encontrado"))</f>
        <v/>
      </c>
      <c r="E253" s="65">
        <f>IF(OR(B253="",C253=""),"",IFERROR(VLOOKUP(B253&amp;"|||"&amp;C253,MAESTRA!$A$3:$J$500,6,0),"⚠ No encontrado"))</f>
        <v/>
      </c>
      <c r="F253" s="65">
        <f>IF(OR(B253="",C253=""),"",IFERROR(VLOOKUP(B253&amp;"|||"&amp;C253,MAESTRA!$A$3:$J$500,7,0),"⚠ No encontrado"))</f>
        <v/>
      </c>
      <c r="G253" s="65">
        <f>IF(OR(B253="",C253=""),"",IFERROR(VLOOKUP(B253&amp;"|||"&amp;C253,MAESTRA!$A$3:$J$500,8,0),"⚠ No encontrado"))</f>
        <v/>
      </c>
      <c r="H253" s="65">
        <f>IF(OR(B253="",C253=""),"",IFERROR(VLOOKUP(B253&amp;"|||"&amp;C253,MAESTRA!$A$3:$J$500,9,0),""))</f>
        <v/>
      </c>
      <c r="I253" s="55" t="n"/>
      <c r="J253" s="55" t="n"/>
      <c r="K253" s="55" t="n"/>
      <c r="L253" s="63" t="n"/>
      <c r="M253" s="63" t="n"/>
      <c r="N253" s="66" t="n"/>
      <c r="O253" s="55" t="n"/>
      <c r="P253" s="63" t="n"/>
      <c r="Q253" s="55" t="n"/>
      <c r="R253" s="55" t="n"/>
      <c r="S253" s="63" t="n"/>
      <c r="T253" s="65">
        <f>IF(L253="","",TEXT(L253,"mmmm yyyy"))</f>
        <v/>
      </c>
    </row>
    <row r="254">
      <c r="A254" s="64">
        <f>IF(B254&lt;&gt;"",ROW()-3,"")</f>
        <v/>
      </c>
      <c r="B254" s="55" t="n"/>
      <c r="C254" s="55" t="n"/>
      <c r="D254" s="65">
        <f>IF(OR(B254="",C254=""),"",IFERROR(VLOOKUP(B254&amp;"|||"&amp;C254,MAESTRA!$A$3:$J$500,5,0),"⚠ No encontrado"))</f>
        <v/>
      </c>
      <c r="E254" s="65">
        <f>IF(OR(B254="",C254=""),"",IFERROR(VLOOKUP(B254&amp;"|||"&amp;C254,MAESTRA!$A$3:$J$500,6,0),"⚠ No encontrado"))</f>
        <v/>
      </c>
      <c r="F254" s="65">
        <f>IF(OR(B254="",C254=""),"",IFERROR(VLOOKUP(B254&amp;"|||"&amp;C254,MAESTRA!$A$3:$J$500,7,0),"⚠ No encontrado"))</f>
        <v/>
      </c>
      <c r="G254" s="65">
        <f>IF(OR(B254="",C254=""),"",IFERROR(VLOOKUP(B254&amp;"|||"&amp;C254,MAESTRA!$A$3:$J$500,8,0),"⚠ No encontrado"))</f>
        <v/>
      </c>
      <c r="H254" s="65">
        <f>IF(OR(B254="",C254=""),"",IFERROR(VLOOKUP(B254&amp;"|||"&amp;C254,MAESTRA!$A$3:$J$500,9,0),""))</f>
        <v/>
      </c>
      <c r="I254" s="55" t="n"/>
      <c r="J254" s="55" t="n"/>
      <c r="K254" s="55" t="n"/>
      <c r="L254" s="63" t="n"/>
      <c r="M254" s="63" t="n"/>
      <c r="N254" s="66" t="n"/>
      <c r="O254" s="55" t="n"/>
      <c r="P254" s="63" t="n"/>
      <c r="Q254" s="55" t="n"/>
      <c r="R254" s="55" t="n"/>
      <c r="S254" s="63" t="n"/>
      <c r="T254" s="65">
        <f>IF(L254="","",TEXT(L254,"mmmm yyyy"))</f>
        <v/>
      </c>
    </row>
  </sheetData>
  <mergeCells count="2">
    <mergeCell ref="A1:T1"/>
    <mergeCell ref="A2:T2"/>
  </mergeCells>
  <dataValidations count="255">
    <dataValidation sqref="C4:C53" showDropDown="0" showInputMessage="0" showErrorMessage="0" allowBlank="1" errorTitle="No está en la Maestra" error="Este valor no existe en la Maestra. Puedes continuar si es un registro manual, o cancelar y verificar." type="list" errorStyle="warning">
      <formula1>INDIRECT("PROV_"&amp;SUBSTITUTE(SUBSTITUTE(SUBSTITUTE(SUBSTITUTE(SUBSTITUTE(SUBSTITUTE(SUBSTITUTE(SUBSTITUTE(SUBSTITUTE(SUBSTITUTE(SUBSTITUTE(SUBSTITUTE(SUBSTITUTE(SUBSTITUTE(B4," ","_"),"(","_"),")","_"),".","_"),",","_"),"/","_"),"-","_"),"&amp;","_"),"Á","A"),"É","E"),"Í","I"),"Ó","O"),"Ú","U"),"Ñ","N"))</formula1>
      <formula2>0</formula2>
    </dataValidation>
    <dataValidation sqref="B4:B254" showDropDown="0" showInputMessage="0" showErrorMessage="1" allowBlank="1" errorTitle="Proveedor no está en la Maestra" error="Este proveedor no existe en la Maestra. Puedes continuar si es un registro manual." type="list" errorStyle="warning">
      <formula1>PROVEEDORES</formula1>
    </dataValidation>
    <dataValidation sqref="C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INDIRECT("PROV_"&amp;SUBSTITUTE(SUBSTITUTE(SUBSTITUTE(SUBSTITUTE(SUBSTITUTE(SUBSTITUTE(SUBSTITUTE(SUBSTITUTE(SUBSTITUTE(SUBSTITUTE(SUBSTITUTE(SUBSTITUTE(SUBSTITUTE(SUBSTITUTE(B4," ","_"),"(","_"),")","_"),".","_"),",","_"),"/","_"),"-","_"),"&amp;","_"),"Á","A"),"É","E"),"Í","I"),"Ó","O"),"Ú","U"),"Ñ","N"))</formula1>
    </dataValidation>
    <dataValidation sqref="C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INDIRECT("PROV_"&amp;SUBSTITUTE(SUBSTITUTE(SUBSTITUTE(SUBSTITUTE(SUBSTITUTE(SUBSTITUTE(SUBSTITUTE(SUBSTITUTE(SUBSTITUTE(SUBSTITUTE(SUBSTITUTE(SUBSTITUTE(SUBSTITUTE(SUBSTITUTE(B5," ","_"),"(","_"),")","_"),".","_"),",","_"),"/","_"),"-","_"),"&amp;","_"),"Á","A"),"É","E"),"Í","I"),"Ó","O"),"Ú","U"),"Ñ","N"))</formula1>
    </dataValidation>
    <dataValidation sqref="C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INDIRECT("PROV_"&amp;SUBSTITUTE(SUBSTITUTE(SUBSTITUTE(SUBSTITUTE(SUBSTITUTE(SUBSTITUTE(SUBSTITUTE(SUBSTITUTE(SUBSTITUTE(SUBSTITUTE(SUBSTITUTE(SUBSTITUTE(SUBSTITUTE(SUBSTITUTE(B6," ","_"),"(","_"),")","_"),".","_"),",","_"),"/","_"),"-","_"),"&amp;","_"),"Á","A"),"É","E"),"Í","I"),"Ó","O"),"Ú","U"),"Ñ","N"))</formula1>
    </dataValidation>
    <dataValidation sqref="C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INDIRECT("PROV_"&amp;SUBSTITUTE(SUBSTITUTE(SUBSTITUTE(SUBSTITUTE(SUBSTITUTE(SUBSTITUTE(SUBSTITUTE(SUBSTITUTE(SUBSTITUTE(SUBSTITUTE(SUBSTITUTE(SUBSTITUTE(SUBSTITUTE(SUBSTITUTE(B7," ","_"),"(","_"),")","_"),".","_"),",","_"),"/","_"),"-","_"),"&amp;","_"),"Á","A"),"É","E"),"Í","I"),"Ó","O"),"Ú","U"),"Ñ","N"))</formula1>
    </dataValidation>
    <dataValidation sqref="C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INDIRECT("PROV_"&amp;SUBSTITUTE(SUBSTITUTE(SUBSTITUTE(SUBSTITUTE(SUBSTITUTE(SUBSTITUTE(SUBSTITUTE(SUBSTITUTE(SUBSTITUTE(SUBSTITUTE(SUBSTITUTE(SUBSTITUTE(SUBSTITUTE(SUBSTITUTE(B8," ","_"),"(","_"),")","_"),".","_"),",","_"),"/","_"),"-","_"),"&amp;","_"),"Á","A"),"É","E"),"Í","I"),"Ó","O"),"Ú","U"),"Ñ","N"))</formula1>
    </dataValidation>
    <dataValidation sqref="C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INDIRECT("PROV_"&amp;SUBSTITUTE(SUBSTITUTE(SUBSTITUTE(SUBSTITUTE(SUBSTITUTE(SUBSTITUTE(SUBSTITUTE(SUBSTITUTE(SUBSTITUTE(SUBSTITUTE(SUBSTITUTE(SUBSTITUTE(SUBSTITUTE(SUBSTITUTE(B9," ","_"),"(","_"),")","_"),".","_"),",","_"),"/","_"),"-","_"),"&amp;","_"),"Á","A"),"É","E"),"Í","I"),"Ó","O"),"Ú","U"),"Ñ","N"))</formula1>
    </dataValidation>
    <dataValidation sqref="C1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INDIRECT("PROV_"&amp;SUBSTITUTE(SUBSTITUTE(SUBSTITUTE(SUBSTITUTE(SUBSTITUTE(SUBSTITUTE(SUBSTITUTE(SUBSTITUTE(SUBSTITUTE(SUBSTITUTE(SUBSTITUTE(SUBSTITUTE(SUBSTITUTE(SUBSTITUTE(B10," ","_"),"(","_"),")","_"),".","_"),",","_"),"/","_"),"-","_"),"&amp;","_"),"Á","A"),"É","E"),"Í","I"),"Ó","O"),"Ú","U"),"Ñ","N"))</formula1>
    </dataValidation>
    <dataValidation sqref="C1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INDIRECT("PROV_"&amp;SUBSTITUTE(SUBSTITUTE(SUBSTITUTE(SUBSTITUTE(SUBSTITUTE(SUBSTITUTE(SUBSTITUTE(SUBSTITUTE(SUBSTITUTE(SUBSTITUTE(SUBSTITUTE(SUBSTITUTE(SUBSTITUTE(SUBSTITUTE(B11," ","_"),"(","_"),")","_"),".","_"),",","_"),"/","_"),"-","_"),"&amp;","_"),"Á","A"),"É","E"),"Í","I"),"Ó","O"),"Ú","U"),"Ñ","N"))</formula1>
    </dataValidation>
    <dataValidation sqref="C1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INDIRECT("PROV_"&amp;SUBSTITUTE(SUBSTITUTE(SUBSTITUTE(SUBSTITUTE(SUBSTITUTE(SUBSTITUTE(SUBSTITUTE(SUBSTITUTE(SUBSTITUTE(SUBSTITUTE(SUBSTITUTE(SUBSTITUTE(SUBSTITUTE(SUBSTITUTE(B12," ","_"),"(","_"),")","_"),".","_"),",","_"),"/","_"),"-","_"),"&amp;","_"),"Á","A"),"É","E"),"Í","I"),"Ó","O"),"Ú","U"),"Ñ","N"))</formula1>
    </dataValidation>
    <dataValidation sqref="C1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INDIRECT("PROV_"&amp;SUBSTITUTE(SUBSTITUTE(SUBSTITUTE(SUBSTITUTE(SUBSTITUTE(SUBSTITUTE(SUBSTITUTE(SUBSTITUTE(SUBSTITUTE(SUBSTITUTE(SUBSTITUTE(SUBSTITUTE(SUBSTITUTE(SUBSTITUTE(B13," ","_"),"(","_"),")","_"),".","_"),",","_"),"/","_"),"-","_"),"&amp;","_"),"Á","A"),"É","E"),"Í","I"),"Ó","O"),"Ú","U"),"Ñ","N"))</formula1>
    </dataValidation>
    <dataValidation sqref="C1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INDIRECT("PROV_"&amp;SUBSTITUTE(SUBSTITUTE(SUBSTITUTE(SUBSTITUTE(SUBSTITUTE(SUBSTITUTE(SUBSTITUTE(SUBSTITUTE(SUBSTITUTE(SUBSTITUTE(SUBSTITUTE(SUBSTITUTE(SUBSTITUTE(SUBSTITUTE(B14," ","_"),"(","_"),")","_"),".","_"),",","_"),"/","_"),"-","_"),"&amp;","_"),"Á","A"),"É","E"),"Í","I"),"Ó","O"),"Ú","U"),"Ñ","N"))</formula1>
    </dataValidation>
    <dataValidation sqref="C1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INDIRECT("PROV_"&amp;SUBSTITUTE(SUBSTITUTE(SUBSTITUTE(SUBSTITUTE(SUBSTITUTE(SUBSTITUTE(SUBSTITUTE(SUBSTITUTE(SUBSTITUTE(SUBSTITUTE(SUBSTITUTE(SUBSTITUTE(SUBSTITUTE(SUBSTITUTE(B15," ","_"),"(","_"),")","_"),".","_"),",","_"),"/","_"),"-","_"),"&amp;","_"),"Á","A"),"É","E"),"Í","I"),"Ó","O"),"Ú","U"),"Ñ","N"))</formula1>
    </dataValidation>
    <dataValidation sqref="C1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INDIRECT("PROV_"&amp;SUBSTITUTE(SUBSTITUTE(SUBSTITUTE(SUBSTITUTE(SUBSTITUTE(SUBSTITUTE(SUBSTITUTE(SUBSTITUTE(SUBSTITUTE(SUBSTITUTE(SUBSTITUTE(SUBSTITUTE(SUBSTITUTE(SUBSTITUTE(B16," ","_"),"(","_"),")","_"),".","_"),",","_"),"/","_"),"-","_"),"&amp;","_"),"Á","A"),"É","E"),"Í","I"),"Ó","O"),"Ú","U"),"Ñ","N"))</formula1>
    </dataValidation>
    <dataValidation sqref="C1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INDIRECT("PROV_"&amp;SUBSTITUTE(SUBSTITUTE(SUBSTITUTE(SUBSTITUTE(SUBSTITUTE(SUBSTITUTE(SUBSTITUTE(SUBSTITUTE(SUBSTITUTE(SUBSTITUTE(SUBSTITUTE(SUBSTITUTE(SUBSTITUTE(SUBSTITUTE(B17," ","_"),"(","_"),")","_"),".","_"),",","_"),"/","_"),"-","_"),"&amp;","_"),"Á","A"),"É","E"),"Í","I"),"Ó","O"),"Ú","U"),"Ñ","N"))</formula1>
    </dataValidation>
    <dataValidation sqref="C1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INDIRECT("PROV_"&amp;SUBSTITUTE(SUBSTITUTE(SUBSTITUTE(SUBSTITUTE(SUBSTITUTE(SUBSTITUTE(SUBSTITUTE(SUBSTITUTE(SUBSTITUTE(SUBSTITUTE(SUBSTITUTE(SUBSTITUTE(SUBSTITUTE(SUBSTITUTE(B18," ","_"),"(","_"),")","_"),".","_"),",","_"),"/","_"),"-","_"),"&amp;","_"),"Á","A"),"É","E"),"Í","I"),"Ó","O"),"Ú","U"),"Ñ","N"))</formula1>
    </dataValidation>
    <dataValidation sqref="C1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INDIRECT("PROV_"&amp;SUBSTITUTE(SUBSTITUTE(SUBSTITUTE(SUBSTITUTE(SUBSTITUTE(SUBSTITUTE(SUBSTITUTE(SUBSTITUTE(SUBSTITUTE(SUBSTITUTE(SUBSTITUTE(SUBSTITUTE(SUBSTITUTE(SUBSTITUTE(B19," ","_"),"(","_"),")","_"),".","_"),",","_"),"/","_"),"-","_"),"&amp;","_"),"Á","A"),"É","E"),"Í","I"),"Ó","O"),"Ú","U"),"Ñ","N"))</formula1>
    </dataValidation>
    <dataValidation sqref="C2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INDIRECT("PROV_"&amp;SUBSTITUTE(SUBSTITUTE(SUBSTITUTE(SUBSTITUTE(SUBSTITUTE(SUBSTITUTE(SUBSTITUTE(SUBSTITUTE(SUBSTITUTE(SUBSTITUTE(SUBSTITUTE(SUBSTITUTE(SUBSTITUTE(SUBSTITUTE(B20," ","_"),"(","_"),")","_"),".","_"),",","_"),"/","_"),"-","_"),"&amp;","_"),"Á","A"),"É","E"),"Í","I"),"Ó","O"),"Ú","U"),"Ñ","N"))</formula1>
    </dataValidation>
    <dataValidation sqref="C2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INDIRECT("PROV_"&amp;SUBSTITUTE(SUBSTITUTE(SUBSTITUTE(SUBSTITUTE(SUBSTITUTE(SUBSTITUTE(SUBSTITUTE(SUBSTITUTE(SUBSTITUTE(SUBSTITUTE(SUBSTITUTE(SUBSTITUTE(SUBSTITUTE(SUBSTITUTE(B21," ","_"),"(","_"),")","_"),".","_"),",","_"),"/","_"),"-","_"),"&amp;","_"),"Á","A"),"É","E"),"Í","I"),"Ó","O"),"Ú","U"),"Ñ","N"))</formula1>
    </dataValidation>
    <dataValidation sqref="C2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INDIRECT("PROV_"&amp;SUBSTITUTE(SUBSTITUTE(SUBSTITUTE(SUBSTITUTE(SUBSTITUTE(SUBSTITUTE(SUBSTITUTE(SUBSTITUTE(SUBSTITUTE(SUBSTITUTE(SUBSTITUTE(SUBSTITUTE(SUBSTITUTE(SUBSTITUTE(B22," ","_"),"(","_"),")","_"),".","_"),",","_"),"/","_"),"-","_"),"&amp;","_"),"Á","A"),"É","E"),"Í","I"),"Ó","O"),"Ú","U"),"Ñ","N"))</formula1>
    </dataValidation>
    <dataValidation sqref="C2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INDIRECT("PROV_"&amp;SUBSTITUTE(SUBSTITUTE(SUBSTITUTE(SUBSTITUTE(SUBSTITUTE(SUBSTITUTE(SUBSTITUTE(SUBSTITUTE(SUBSTITUTE(SUBSTITUTE(SUBSTITUTE(SUBSTITUTE(SUBSTITUTE(SUBSTITUTE(B23," ","_"),"(","_"),")","_"),".","_"),",","_"),"/","_"),"-","_"),"&amp;","_"),"Á","A"),"É","E"),"Í","I"),"Ó","O"),"Ú","U"),"Ñ","N"))</formula1>
    </dataValidation>
    <dataValidation sqref="C2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INDIRECT("PROV_"&amp;SUBSTITUTE(SUBSTITUTE(SUBSTITUTE(SUBSTITUTE(SUBSTITUTE(SUBSTITUTE(SUBSTITUTE(SUBSTITUTE(SUBSTITUTE(SUBSTITUTE(SUBSTITUTE(SUBSTITUTE(SUBSTITUTE(SUBSTITUTE(B24," ","_"),"(","_"),")","_"),".","_"),",","_"),"/","_"),"-","_"),"&amp;","_"),"Á","A"),"É","E"),"Í","I"),"Ó","O"),"Ú","U"),"Ñ","N"))</formula1>
    </dataValidation>
    <dataValidation sqref="C2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INDIRECT("PROV_"&amp;SUBSTITUTE(SUBSTITUTE(SUBSTITUTE(SUBSTITUTE(SUBSTITUTE(SUBSTITUTE(SUBSTITUTE(SUBSTITUTE(SUBSTITUTE(SUBSTITUTE(SUBSTITUTE(SUBSTITUTE(SUBSTITUTE(SUBSTITUTE(B25," ","_"),"(","_"),")","_"),".","_"),",","_"),"/","_"),"-","_"),"&amp;","_"),"Á","A"),"É","E"),"Í","I"),"Ó","O"),"Ú","U"),"Ñ","N"))</formula1>
    </dataValidation>
    <dataValidation sqref="C2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INDIRECT("PROV_"&amp;SUBSTITUTE(SUBSTITUTE(SUBSTITUTE(SUBSTITUTE(SUBSTITUTE(SUBSTITUTE(SUBSTITUTE(SUBSTITUTE(SUBSTITUTE(SUBSTITUTE(SUBSTITUTE(SUBSTITUTE(SUBSTITUTE(SUBSTITUTE(B26," ","_"),"(","_"),")","_"),".","_"),",","_"),"/","_"),"-","_"),"&amp;","_"),"Á","A"),"É","E"),"Í","I"),"Ó","O"),"Ú","U"),"Ñ","N"))</formula1>
    </dataValidation>
    <dataValidation sqref="C2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INDIRECT("PROV_"&amp;SUBSTITUTE(SUBSTITUTE(SUBSTITUTE(SUBSTITUTE(SUBSTITUTE(SUBSTITUTE(SUBSTITUTE(SUBSTITUTE(SUBSTITUTE(SUBSTITUTE(SUBSTITUTE(SUBSTITUTE(SUBSTITUTE(SUBSTITUTE(B27," ","_"),"(","_"),")","_"),".","_"),",","_"),"/","_"),"-","_"),"&amp;","_"),"Á","A"),"É","E"),"Í","I"),"Ó","O"),"Ú","U"),"Ñ","N"))</formula1>
    </dataValidation>
    <dataValidation sqref="C2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INDIRECT("PROV_"&amp;SUBSTITUTE(SUBSTITUTE(SUBSTITUTE(SUBSTITUTE(SUBSTITUTE(SUBSTITUTE(SUBSTITUTE(SUBSTITUTE(SUBSTITUTE(SUBSTITUTE(SUBSTITUTE(SUBSTITUTE(SUBSTITUTE(SUBSTITUTE(B28," ","_"),"(","_"),")","_"),".","_"),",","_"),"/","_"),"-","_"),"&amp;","_"),"Á","A"),"É","E"),"Í","I"),"Ó","O"),"Ú","U"),"Ñ","N"))</formula1>
    </dataValidation>
    <dataValidation sqref="C2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INDIRECT("PROV_"&amp;SUBSTITUTE(SUBSTITUTE(SUBSTITUTE(SUBSTITUTE(SUBSTITUTE(SUBSTITUTE(SUBSTITUTE(SUBSTITUTE(SUBSTITUTE(SUBSTITUTE(SUBSTITUTE(SUBSTITUTE(SUBSTITUTE(SUBSTITUTE(B29," ","_"),"(","_"),")","_"),".","_"),",","_"),"/","_"),"-","_"),"&amp;","_"),"Á","A"),"É","E"),"Í","I"),"Ó","O"),"Ú","U"),"Ñ","N"))</formula1>
    </dataValidation>
    <dataValidation sqref="C3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INDIRECT("PROV_"&amp;SUBSTITUTE(SUBSTITUTE(SUBSTITUTE(SUBSTITUTE(SUBSTITUTE(SUBSTITUTE(SUBSTITUTE(SUBSTITUTE(SUBSTITUTE(SUBSTITUTE(SUBSTITUTE(SUBSTITUTE(SUBSTITUTE(SUBSTITUTE(B30," ","_"),"(","_"),")","_"),".","_"),",","_"),"/","_"),"-","_"),"&amp;","_"),"Á","A"),"É","E"),"Í","I"),"Ó","O"),"Ú","U"),"Ñ","N"))</formula1>
    </dataValidation>
    <dataValidation sqref="C3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INDIRECT("PROV_"&amp;SUBSTITUTE(SUBSTITUTE(SUBSTITUTE(SUBSTITUTE(SUBSTITUTE(SUBSTITUTE(SUBSTITUTE(SUBSTITUTE(SUBSTITUTE(SUBSTITUTE(SUBSTITUTE(SUBSTITUTE(SUBSTITUTE(SUBSTITUTE(B31," ","_"),"(","_"),")","_"),".","_"),",","_"),"/","_"),"-","_"),"&amp;","_"),"Á","A"),"É","E"),"Í","I"),"Ó","O"),"Ú","U"),"Ñ","N"))</formula1>
    </dataValidation>
    <dataValidation sqref="C3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INDIRECT("PROV_"&amp;SUBSTITUTE(SUBSTITUTE(SUBSTITUTE(SUBSTITUTE(SUBSTITUTE(SUBSTITUTE(SUBSTITUTE(SUBSTITUTE(SUBSTITUTE(SUBSTITUTE(SUBSTITUTE(SUBSTITUTE(SUBSTITUTE(SUBSTITUTE(B32," ","_"),"(","_"),")","_"),".","_"),",","_"),"/","_"),"-","_"),"&amp;","_"),"Á","A"),"É","E"),"Í","I"),"Ó","O"),"Ú","U"),"Ñ","N"))</formula1>
    </dataValidation>
    <dataValidation sqref="C3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INDIRECT("PROV_"&amp;SUBSTITUTE(SUBSTITUTE(SUBSTITUTE(SUBSTITUTE(SUBSTITUTE(SUBSTITUTE(SUBSTITUTE(SUBSTITUTE(SUBSTITUTE(SUBSTITUTE(SUBSTITUTE(SUBSTITUTE(SUBSTITUTE(SUBSTITUTE(B33," ","_"),"(","_"),")","_"),".","_"),",","_"),"/","_"),"-","_"),"&amp;","_"),"Á","A"),"É","E"),"Í","I"),"Ó","O"),"Ú","U"),"Ñ","N"))</formula1>
    </dataValidation>
    <dataValidation sqref="C3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INDIRECT("PROV_"&amp;SUBSTITUTE(SUBSTITUTE(SUBSTITUTE(SUBSTITUTE(SUBSTITUTE(SUBSTITUTE(SUBSTITUTE(SUBSTITUTE(SUBSTITUTE(SUBSTITUTE(SUBSTITUTE(SUBSTITUTE(SUBSTITUTE(SUBSTITUTE(B34," ","_"),"(","_"),")","_"),".","_"),",","_"),"/","_"),"-","_"),"&amp;","_"),"Á","A"),"É","E"),"Í","I"),"Ó","O"),"Ú","U"),"Ñ","N"))</formula1>
    </dataValidation>
    <dataValidation sqref="C3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INDIRECT("PROV_"&amp;SUBSTITUTE(SUBSTITUTE(SUBSTITUTE(SUBSTITUTE(SUBSTITUTE(SUBSTITUTE(SUBSTITUTE(SUBSTITUTE(SUBSTITUTE(SUBSTITUTE(SUBSTITUTE(SUBSTITUTE(SUBSTITUTE(SUBSTITUTE(B35," ","_"),"(","_"),")","_"),".","_"),",","_"),"/","_"),"-","_"),"&amp;","_"),"Á","A"),"É","E"),"Í","I"),"Ó","O"),"Ú","U"),"Ñ","N"))</formula1>
    </dataValidation>
    <dataValidation sqref="C3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INDIRECT("PROV_"&amp;SUBSTITUTE(SUBSTITUTE(SUBSTITUTE(SUBSTITUTE(SUBSTITUTE(SUBSTITUTE(SUBSTITUTE(SUBSTITUTE(SUBSTITUTE(SUBSTITUTE(SUBSTITUTE(SUBSTITUTE(SUBSTITUTE(SUBSTITUTE(B36," ","_"),"(","_"),")","_"),".","_"),",","_"),"/","_"),"-","_"),"&amp;","_"),"Á","A"),"É","E"),"Í","I"),"Ó","O"),"Ú","U"),"Ñ","N"))</formula1>
    </dataValidation>
    <dataValidation sqref="C3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INDIRECT("PROV_"&amp;SUBSTITUTE(SUBSTITUTE(SUBSTITUTE(SUBSTITUTE(SUBSTITUTE(SUBSTITUTE(SUBSTITUTE(SUBSTITUTE(SUBSTITUTE(SUBSTITUTE(SUBSTITUTE(SUBSTITUTE(SUBSTITUTE(SUBSTITUTE(B37," ","_"),"(","_"),")","_"),".","_"),",","_"),"/","_"),"-","_"),"&amp;","_"),"Á","A"),"É","E"),"Í","I"),"Ó","O"),"Ú","U"),"Ñ","N"))</formula1>
    </dataValidation>
    <dataValidation sqref="C3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INDIRECT("PROV_"&amp;SUBSTITUTE(SUBSTITUTE(SUBSTITUTE(SUBSTITUTE(SUBSTITUTE(SUBSTITUTE(SUBSTITUTE(SUBSTITUTE(SUBSTITUTE(SUBSTITUTE(SUBSTITUTE(SUBSTITUTE(SUBSTITUTE(SUBSTITUTE(B38," ","_"),"(","_"),")","_"),".","_"),",","_"),"/","_"),"-","_"),"&amp;","_"),"Á","A"),"É","E"),"Í","I"),"Ó","O"),"Ú","U"),"Ñ","N"))</formula1>
    </dataValidation>
    <dataValidation sqref="C3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INDIRECT("PROV_"&amp;SUBSTITUTE(SUBSTITUTE(SUBSTITUTE(SUBSTITUTE(SUBSTITUTE(SUBSTITUTE(SUBSTITUTE(SUBSTITUTE(SUBSTITUTE(SUBSTITUTE(SUBSTITUTE(SUBSTITUTE(SUBSTITUTE(SUBSTITUTE(B39," ","_"),"(","_"),")","_"),".","_"),",","_"),"/","_"),"-","_"),"&amp;","_"),"Á","A"),"É","E"),"Í","I"),"Ó","O"),"Ú","U"),"Ñ","N"))</formula1>
    </dataValidation>
    <dataValidation sqref="C4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INDIRECT("PROV_"&amp;SUBSTITUTE(SUBSTITUTE(SUBSTITUTE(SUBSTITUTE(SUBSTITUTE(SUBSTITUTE(SUBSTITUTE(SUBSTITUTE(SUBSTITUTE(SUBSTITUTE(SUBSTITUTE(SUBSTITUTE(SUBSTITUTE(SUBSTITUTE(B40," ","_"),"(","_"),")","_"),".","_"),",","_"),"/","_"),"-","_"),"&amp;","_"),"Á","A"),"É","E"),"Í","I"),"Ó","O"),"Ú","U"),"Ñ","N"))</formula1>
    </dataValidation>
    <dataValidation sqref="C4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INDIRECT("PROV_"&amp;SUBSTITUTE(SUBSTITUTE(SUBSTITUTE(SUBSTITUTE(SUBSTITUTE(SUBSTITUTE(SUBSTITUTE(SUBSTITUTE(SUBSTITUTE(SUBSTITUTE(SUBSTITUTE(SUBSTITUTE(SUBSTITUTE(SUBSTITUTE(B41," ","_"),"(","_"),")","_"),".","_"),",","_"),"/","_"),"-","_"),"&amp;","_"),"Á","A"),"É","E"),"Í","I"),"Ó","O"),"Ú","U"),"Ñ","N"))</formula1>
    </dataValidation>
    <dataValidation sqref="C4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INDIRECT("PROV_"&amp;SUBSTITUTE(SUBSTITUTE(SUBSTITUTE(SUBSTITUTE(SUBSTITUTE(SUBSTITUTE(SUBSTITUTE(SUBSTITUTE(SUBSTITUTE(SUBSTITUTE(SUBSTITUTE(SUBSTITUTE(SUBSTITUTE(SUBSTITUTE(B42," ","_"),"(","_"),")","_"),".","_"),",","_"),"/","_"),"-","_"),"&amp;","_"),"Á","A"),"É","E"),"Í","I"),"Ó","O"),"Ú","U"),"Ñ","N"))</formula1>
    </dataValidation>
    <dataValidation sqref="C4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INDIRECT("PROV_"&amp;SUBSTITUTE(SUBSTITUTE(SUBSTITUTE(SUBSTITUTE(SUBSTITUTE(SUBSTITUTE(SUBSTITUTE(SUBSTITUTE(SUBSTITUTE(SUBSTITUTE(SUBSTITUTE(SUBSTITUTE(SUBSTITUTE(SUBSTITUTE(B43," ","_"),"(","_"),")","_"),".","_"),",","_"),"/","_"),"-","_"),"&amp;","_"),"Á","A"),"É","E"),"Í","I"),"Ó","O"),"Ú","U"),"Ñ","N"))</formula1>
    </dataValidation>
    <dataValidation sqref="C4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INDIRECT("PROV_"&amp;SUBSTITUTE(SUBSTITUTE(SUBSTITUTE(SUBSTITUTE(SUBSTITUTE(SUBSTITUTE(SUBSTITUTE(SUBSTITUTE(SUBSTITUTE(SUBSTITUTE(SUBSTITUTE(SUBSTITUTE(SUBSTITUTE(SUBSTITUTE(B44," ","_"),"(","_"),")","_"),".","_"),",","_"),"/","_"),"-","_"),"&amp;","_"),"Á","A"),"É","E"),"Í","I"),"Ó","O"),"Ú","U"),"Ñ","N"))</formula1>
    </dataValidation>
    <dataValidation sqref="C4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INDIRECT("PROV_"&amp;SUBSTITUTE(SUBSTITUTE(SUBSTITUTE(SUBSTITUTE(SUBSTITUTE(SUBSTITUTE(SUBSTITUTE(SUBSTITUTE(SUBSTITUTE(SUBSTITUTE(SUBSTITUTE(SUBSTITUTE(SUBSTITUTE(SUBSTITUTE(B45," ","_"),"(","_"),")","_"),".","_"),",","_"),"/","_"),"-","_"),"&amp;","_"),"Á","A"),"É","E"),"Í","I"),"Ó","O"),"Ú","U"),"Ñ","N"))</formula1>
    </dataValidation>
    <dataValidation sqref="C4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INDIRECT("PROV_"&amp;SUBSTITUTE(SUBSTITUTE(SUBSTITUTE(SUBSTITUTE(SUBSTITUTE(SUBSTITUTE(SUBSTITUTE(SUBSTITUTE(SUBSTITUTE(SUBSTITUTE(SUBSTITUTE(SUBSTITUTE(SUBSTITUTE(SUBSTITUTE(B46," ","_"),"(","_"),")","_"),".","_"),",","_"),"/","_"),"-","_"),"&amp;","_"),"Á","A"),"É","E"),"Í","I"),"Ó","O"),"Ú","U"),"Ñ","N"))</formula1>
    </dataValidation>
    <dataValidation sqref="C4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INDIRECT("PROV_"&amp;SUBSTITUTE(SUBSTITUTE(SUBSTITUTE(SUBSTITUTE(SUBSTITUTE(SUBSTITUTE(SUBSTITUTE(SUBSTITUTE(SUBSTITUTE(SUBSTITUTE(SUBSTITUTE(SUBSTITUTE(SUBSTITUTE(SUBSTITUTE(B47," ","_"),"(","_"),")","_"),".","_"),",","_"),"/","_"),"-","_"),"&amp;","_"),"Á","A"),"É","E"),"Í","I"),"Ó","O"),"Ú","U"),"Ñ","N"))</formula1>
    </dataValidation>
    <dataValidation sqref="C4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INDIRECT("PROV_"&amp;SUBSTITUTE(SUBSTITUTE(SUBSTITUTE(SUBSTITUTE(SUBSTITUTE(SUBSTITUTE(SUBSTITUTE(SUBSTITUTE(SUBSTITUTE(SUBSTITUTE(SUBSTITUTE(SUBSTITUTE(SUBSTITUTE(SUBSTITUTE(B48," ","_"),"(","_"),")","_"),".","_"),",","_"),"/","_"),"-","_"),"&amp;","_"),"Á","A"),"É","E"),"Í","I"),"Ó","O"),"Ú","U"),"Ñ","N"))</formula1>
    </dataValidation>
    <dataValidation sqref="C4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INDIRECT("PROV_"&amp;SUBSTITUTE(SUBSTITUTE(SUBSTITUTE(SUBSTITUTE(SUBSTITUTE(SUBSTITUTE(SUBSTITUTE(SUBSTITUTE(SUBSTITUTE(SUBSTITUTE(SUBSTITUTE(SUBSTITUTE(SUBSTITUTE(SUBSTITUTE(B49," ","_"),"(","_"),")","_"),".","_"),",","_"),"/","_"),"-","_"),"&amp;","_"),"Á","A"),"É","E"),"Í","I"),"Ó","O"),"Ú","U"),"Ñ","N"))</formula1>
    </dataValidation>
    <dataValidation sqref="C5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INDIRECT("PROV_"&amp;SUBSTITUTE(SUBSTITUTE(SUBSTITUTE(SUBSTITUTE(SUBSTITUTE(SUBSTITUTE(SUBSTITUTE(SUBSTITUTE(SUBSTITUTE(SUBSTITUTE(SUBSTITUTE(SUBSTITUTE(SUBSTITUTE(SUBSTITUTE(B50," ","_"),"(","_"),")","_"),".","_"),",","_"),"/","_"),"-","_"),"&amp;","_"),"Á","A"),"É","E"),"Í","I"),"Ó","O"),"Ú","U"),"Ñ","N"))</formula1>
    </dataValidation>
    <dataValidation sqref="C5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INDIRECT("PROV_"&amp;SUBSTITUTE(SUBSTITUTE(SUBSTITUTE(SUBSTITUTE(SUBSTITUTE(SUBSTITUTE(SUBSTITUTE(SUBSTITUTE(SUBSTITUTE(SUBSTITUTE(SUBSTITUTE(SUBSTITUTE(SUBSTITUTE(SUBSTITUTE(B51," ","_"),"(","_"),")","_"),".","_"),",","_"),"/","_"),"-","_"),"&amp;","_"),"Á","A"),"É","E"),"Í","I"),"Ó","O"),"Ú","U"),"Ñ","N"))</formula1>
    </dataValidation>
    <dataValidation sqref="C5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INDIRECT("PROV_"&amp;SUBSTITUTE(SUBSTITUTE(SUBSTITUTE(SUBSTITUTE(SUBSTITUTE(SUBSTITUTE(SUBSTITUTE(SUBSTITUTE(SUBSTITUTE(SUBSTITUTE(SUBSTITUTE(SUBSTITUTE(SUBSTITUTE(SUBSTITUTE(B52," ","_"),"(","_"),")","_"),".","_"),",","_"),"/","_"),"-","_"),"&amp;","_"),"Á","A"),"É","E"),"Í","I"),"Ó","O"),"Ú","U"),"Ñ","N"))</formula1>
    </dataValidation>
    <dataValidation sqref="C5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INDIRECT("PROV_"&amp;SUBSTITUTE(SUBSTITUTE(SUBSTITUTE(SUBSTITUTE(SUBSTITUTE(SUBSTITUTE(SUBSTITUTE(SUBSTITUTE(SUBSTITUTE(SUBSTITUTE(SUBSTITUTE(SUBSTITUTE(SUBSTITUTE(SUBSTITUTE(B53," ","_"),"(","_"),")","_"),".","_"),",","_"),"/","_"),"-","_"),"&amp;","_"),"Á","A"),"É","E"),"Í","I"),"Ó","O"),"Ú","U"),"Ñ","N"))</formula1>
    </dataValidation>
    <dataValidation sqref="C5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INDIRECT("PROV_"&amp;SUBSTITUTE(SUBSTITUTE(SUBSTITUTE(SUBSTITUTE(SUBSTITUTE(SUBSTITUTE(SUBSTITUTE(SUBSTITUTE(SUBSTITUTE(SUBSTITUTE(SUBSTITUTE(SUBSTITUTE(SUBSTITUTE(SUBSTITUTE(B54," ","_"),"(","_"),")","_"),".","_"),",","_"),"/","_"),"-","_"),"&amp;","_"),"Á","A"),"É","E"),"Í","I"),"Ó","O"),"Ú","U"),"Ñ","N"))</formula1>
    </dataValidation>
    <dataValidation sqref="C5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INDIRECT("PROV_"&amp;SUBSTITUTE(SUBSTITUTE(SUBSTITUTE(SUBSTITUTE(SUBSTITUTE(SUBSTITUTE(SUBSTITUTE(SUBSTITUTE(SUBSTITUTE(SUBSTITUTE(SUBSTITUTE(SUBSTITUTE(SUBSTITUTE(SUBSTITUTE(B55," ","_"),"(","_"),")","_"),".","_"),",","_"),"/","_"),"-","_"),"&amp;","_"),"Á","A"),"É","E"),"Í","I"),"Ó","O"),"Ú","U"),"Ñ","N"))</formula1>
    </dataValidation>
    <dataValidation sqref="C5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INDIRECT("PROV_"&amp;SUBSTITUTE(SUBSTITUTE(SUBSTITUTE(SUBSTITUTE(SUBSTITUTE(SUBSTITUTE(SUBSTITUTE(SUBSTITUTE(SUBSTITUTE(SUBSTITUTE(SUBSTITUTE(SUBSTITUTE(SUBSTITUTE(SUBSTITUTE(B56," ","_"),"(","_"),")","_"),".","_"),",","_"),"/","_"),"-","_"),"&amp;","_"),"Á","A"),"É","E"),"Í","I"),"Ó","O"),"Ú","U"),"Ñ","N"))</formula1>
    </dataValidation>
    <dataValidation sqref="C5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INDIRECT("PROV_"&amp;SUBSTITUTE(SUBSTITUTE(SUBSTITUTE(SUBSTITUTE(SUBSTITUTE(SUBSTITUTE(SUBSTITUTE(SUBSTITUTE(SUBSTITUTE(SUBSTITUTE(SUBSTITUTE(SUBSTITUTE(SUBSTITUTE(SUBSTITUTE(B57," ","_"),"(","_"),")","_"),".","_"),",","_"),"/","_"),"-","_"),"&amp;","_"),"Á","A"),"É","E"),"Í","I"),"Ó","O"),"Ú","U"),"Ñ","N"))</formula1>
    </dataValidation>
    <dataValidation sqref="C5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INDIRECT("PROV_"&amp;SUBSTITUTE(SUBSTITUTE(SUBSTITUTE(SUBSTITUTE(SUBSTITUTE(SUBSTITUTE(SUBSTITUTE(SUBSTITUTE(SUBSTITUTE(SUBSTITUTE(SUBSTITUTE(SUBSTITUTE(SUBSTITUTE(SUBSTITUTE(B58," ","_"),"(","_"),")","_"),".","_"),",","_"),"/","_"),"-","_"),"&amp;","_"),"Á","A"),"É","E"),"Í","I"),"Ó","O"),"Ú","U"),"Ñ","N"))</formula1>
    </dataValidation>
    <dataValidation sqref="C5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INDIRECT("PROV_"&amp;SUBSTITUTE(SUBSTITUTE(SUBSTITUTE(SUBSTITUTE(SUBSTITUTE(SUBSTITUTE(SUBSTITUTE(SUBSTITUTE(SUBSTITUTE(SUBSTITUTE(SUBSTITUTE(SUBSTITUTE(SUBSTITUTE(SUBSTITUTE(B59," ","_"),"(","_"),")","_"),".","_"),",","_"),"/","_"),"-","_"),"&amp;","_"),"Á","A"),"É","E"),"Í","I"),"Ó","O"),"Ú","U"),"Ñ","N"))</formula1>
    </dataValidation>
    <dataValidation sqref="C6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INDIRECT("PROV_"&amp;SUBSTITUTE(SUBSTITUTE(SUBSTITUTE(SUBSTITUTE(SUBSTITUTE(SUBSTITUTE(SUBSTITUTE(SUBSTITUTE(SUBSTITUTE(SUBSTITUTE(SUBSTITUTE(SUBSTITUTE(SUBSTITUTE(SUBSTITUTE(B60," ","_"),"(","_"),")","_"),".","_"),",","_"),"/","_"),"-","_"),"&amp;","_"),"Á","A"),"É","E"),"Í","I"),"Ó","O"),"Ú","U"),"Ñ","N"))</formula1>
    </dataValidation>
    <dataValidation sqref="C6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INDIRECT("PROV_"&amp;SUBSTITUTE(SUBSTITUTE(SUBSTITUTE(SUBSTITUTE(SUBSTITUTE(SUBSTITUTE(SUBSTITUTE(SUBSTITUTE(SUBSTITUTE(SUBSTITUTE(SUBSTITUTE(SUBSTITUTE(SUBSTITUTE(SUBSTITUTE(B61," ","_"),"(","_"),")","_"),".","_"),",","_"),"/","_"),"-","_"),"&amp;","_"),"Á","A"),"É","E"),"Í","I"),"Ó","O"),"Ú","U"),"Ñ","N"))</formula1>
    </dataValidation>
    <dataValidation sqref="C6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INDIRECT("PROV_"&amp;SUBSTITUTE(SUBSTITUTE(SUBSTITUTE(SUBSTITUTE(SUBSTITUTE(SUBSTITUTE(SUBSTITUTE(SUBSTITUTE(SUBSTITUTE(SUBSTITUTE(SUBSTITUTE(SUBSTITUTE(SUBSTITUTE(SUBSTITUTE(B62," ","_"),"(","_"),")","_"),".","_"),",","_"),"/","_"),"-","_"),"&amp;","_"),"Á","A"),"É","E"),"Í","I"),"Ó","O"),"Ú","U"),"Ñ","N"))</formula1>
    </dataValidation>
    <dataValidation sqref="C6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INDIRECT("PROV_"&amp;SUBSTITUTE(SUBSTITUTE(SUBSTITUTE(SUBSTITUTE(SUBSTITUTE(SUBSTITUTE(SUBSTITUTE(SUBSTITUTE(SUBSTITUTE(SUBSTITUTE(SUBSTITUTE(SUBSTITUTE(SUBSTITUTE(SUBSTITUTE(B63," ","_"),"(","_"),")","_"),".","_"),",","_"),"/","_"),"-","_"),"&amp;","_"),"Á","A"),"É","E"),"Í","I"),"Ó","O"),"Ú","U"),"Ñ","N"))</formula1>
    </dataValidation>
    <dataValidation sqref="C6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INDIRECT("PROV_"&amp;SUBSTITUTE(SUBSTITUTE(SUBSTITUTE(SUBSTITUTE(SUBSTITUTE(SUBSTITUTE(SUBSTITUTE(SUBSTITUTE(SUBSTITUTE(SUBSTITUTE(SUBSTITUTE(SUBSTITUTE(SUBSTITUTE(SUBSTITUTE(B64," ","_"),"(","_"),")","_"),".","_"),",","_"),"/","_"),"-","_"),"&amp;","_"),"Á","A"),"É","E"),"Í","I"),"Ó","O"),"Ú","U"),"Ñ","N"))</formula1>
    </dataValidation>
    <dataValidation sqref="C6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INDIRECT("PROV_"&amp;SUBSTITUTE(SUBSTITUTE(SUBSTITUTE(SUBSTITUTE(SUBSTITUTE(SUBSTITUTE(SUBSTITUTE(SUBSTITUTE(SUBSTITUTE(SUBSTITUTE(SUBSTITUTE(SUBSTITUTE(SUBSTITUTE(SUBSTITUTE(B65," ","_"),"(","_"),")","_"),".","_"),",","_"),"/","_"),"-","_"),"&amp;","_"),"Á","A"),"É","E"),"Í","I"),"Ó","O"),"Ú","U"),"Ñ","N"))</formula1>
    </dataValidation>
    <dataValidation sqref="C6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INDIRECT("PROV_"&amp;SUBSTITUTE(SUBSTITUTE(SUBSTITUTE(SUBSTITUTE(SUBSTITUTE(SUBSTITUTE(SUBSTITUTE(SUBSTITUTE(SUBSTITUTE(SUBSTITUTE(SUBSTITUTE(SUBSTITUTE(SUBSTITUTE(SUBSTITUTE(B66," ","_"),"(","_"),")","_"),".","_"),",","_"),"/","_"),"-","_"),"&amp;","_"),"Á","A"),"É","E"),"Í","I"),"Ó","O"),"Ú","U"),"Ñ","N"))</formula1>
    </dataValidation>
    <dataValidation sqref="C6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INDIRECT("PROV_"&amp;SUBSTITUTE(SUBSTITUTE(SUBSTITUTE(SUBSTITUTE(SUBSTITUTE(SUBSTITUTE(SUBSTITUTE(SUBSTITUTE(SUBSTITUTE(SUBSTITUTE(SUBSTITUTE(SUBSTITUTE(SUBSTITUTE(SUBSTITUTE(B67," ","_"),"(","_"),")","_"),".","_"),",","_"),"/","_"),"-","_"),"&amp;","_"),"Á","A"),"É","E"),"Í","I"),"Ó","O"),"Ú","U"),"Ñ","N"))</formula1>
    </dataValidation>
    <dataValidation sqref="C6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INDIRECT("PROV_"&amp;SUBSTITUTE(SUBSTITUTE(SUBSTITUTE(SUBSTITUTE(SUBSTITUTE(SUBSTITUTE(SUBSTITUTE(SUBSTITUTE(SUBSTITUTE(SUBSTITUTE(SUBSTITUTE(SUBSTITUTE(SUBSTITUTE(SUBSTITUTE(B68," ","_"),"(","_"),")","_"),".","_"),",","_"),"/","_"),"-","_"),"&amp;","_"),"Á","A"),"É","E"),"Í","I"),"Ó","O"),"Ú","U"),"Ñ","N"))</formula1>
    </dataValidation>
    <dataValidation sqref="C6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INDIRECT("PROV_"&amp;SUBSTITUTE(SUBSTITUTE(SUBSTITUTE(SUBSTITUTE(SUBSTITUTE(SUBSTITUTE(SUBSTITUTE(SUBSTITUTE(SUBSTITUTE(SUBSTITUTE(SUBSTITUTE(SUBSTITUTE(SUBSTITUTE(SUBSTITUTE(B69," ","_"),"(","_"),")","_"),".","_"),",","_"),"/","_"),"-","_"),"&amp;","_"),"Á","A"),"É","E"),"Í","I"),"Ó","O"),"Ú","U"),"Ñ","N"))</formula1>
    </dataValidation>
    <dataValidation sqref="C7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INDIRECT("PROV_"&amp;SUBSTITUTE(SUBSTITUTE(SUBSTITUTE(SUBSTITUTE(SUBSTITUTE(SUBSTITUTE(SUBSTITUTE(SUBSTITUTE(SUBSTITUTE(SUBSTITUTE(SUBSTITUTE(SUBSTITUTE(SUBSTITUTE(SUBSTITUTE(B70," ","_"),"(","_"),")","_"),".","_"),",","_"),"/","_"),"-","_"),"&amp;","_"),"Á","A"),"É","E"),"Í","I"),"Ó","O"),"Ú","U"),"Ñ","N"))</formula1>
    </dataValidation>
    <dataValidation sqref="C7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INDIRECT("PROV_"&amp;SUBSTITUTE(SUBSTITUTE(SUBSTITUTE(SUBSTITUTE(SUBSTITUTE(SUBSTITUTE(SUBSTITUTE(SUBSTITUTE(SUBSTITUTE(SUBSTITUTE(SUBSTITUTE(SUBSTITUTE(SUBSTITUTE(SUBSTITUTE(B71," ","_"),"(","_"),")","_"),".","_"),",","_"),"/","_"),"-","_"),"&amp;","_"),"Á","A"),"É","E"),"Í","I"),"Ó","O"),"Ú","U"),"Ñ","N"))</formula1>
    </dataValidation>
    <dataValidation sqref="C7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INDIRECT("PROV_"&amp;SUBSTITUTE(SUBSTITUTE(SUBSTITUTE(SUBSTITUTE(SUBSTITUTE(SUBSTITUTE(SUBSTITUTE(SUBSTITUTE(SUBSTITUTE(SUBSTITUTE(SUBSTITUTE(SUBSTITUTE(SUBSTITUTE(SUBSTITUTE(B72," ","_"),"(","_"),")","_"),".","_"),",","_"),"/","_"),"-","_"),"&amp;","_"),"Á","A"),"É","E"),"Í","I"),"Ó","O"),"Ú","U"),"Ñ","N"))</formula1>
    </dataValidation>
    <dataValidation sqref="C7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INDIRECT("PROV_"&amp;SUBSTITUTE(SUBSTITUTE(SUBSTITUTE(SUBSTITUTE(SUBSTITUTE(SUBSTITUTE(SUBSTITUTE(SUBSTITUTE(SUBSTITUTE(SUBSTITUTE(SUBSTITUTE(SUBSTITUTE(SUBSTITUTE(SUBSTITUTE(B73," ","_"),"(","_"),")","_"),".","_"),",","_"),"/","_"),"-","_"),"&amp;","_"),"Á","A"),"É","E"),"Í","I"),"Ó","O"),"Ú","U"),"Ñ","N"))</formula1>
    </dataValidation>
    <dataValidation sqref="C7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INDIRECT("PROV_"&amp;SUBSTITUTE(SUBSTITUTE(SUBSTITUTE(SUBSTITUTE(SUBSTITUTE(SUBSTITUTE(SUBSTITUTE(SUBSTITUTE(SUBSTITUTE(SUBSTITUTE(SUBSTITUTE(SUBSTITUTE(SUBSTITUTE(SUBSTITUTE(B74," ","_"),"(","_"),")","_"),".","_"),",","_"),"/","_"),"-","_"),"&amp;","_"),"Á","A"),"É","E"),"Í","I"),"Ó","O"),"Ú","U"),"Ñ","N"))</formula1>
    </dataValidation>
    <dataValidation sqref="C7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INDIRECT("PROV_"&amp;SUBSTITUTE(SUBSTITUTE(SUBSTITUTE(SUBSTITUTE(SUBSTITUTE(SUBSTITUTE(SUBSTITUTE(SUBSTITUTE(SUBSTITUTE(SUBSTITUTE(SUBSTITUTE(SUBSTITUTE(SUBSTITUTE(SUBSTITUTE(B75," ","_"),"(","_"),")","_"),".","_"),",","_"),"/","_"),"-","_"),"&amp;","_"),"Á","A"),"É","E"),"Í","I"),"Ó","O"),"Ú","U"),"Ñ","N"))</formula1>
    </dataValidation>
    <dataValidation sqref="C7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INDIRECT("PROV_"&amp;SUBSTITUTE(SUBSTITUTE(SUBSTITUTE(SUBSTITUTE(SUBSTITUTE(SUBSTITUTE(SUBSTITUTE(SUBSTITUTE(SUBSTITUTE(SUBSTITUTE(SUBSTITUTE(SUBSTITUTE(SUBSTITUTE(SUBSTITUTE(B76," ","_"),"(","_"),")","_"),".","_"),",","_"),"/","_"),"-","_"),"&amp;","_"),"Á","A"),"É","E"),"Í","I"),"Ó","O"),"Ú","U"),"Ñ","N"))</formula1>
    </dataValidation>
    <dataValidation sqref="C7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INDIRECT("PROV_"&amp;SUBSTITUTE(SUBSTITUTE(SUBSTITUTE(SUBSTITUTE(SUBSTITUTE(SUBSTITUTE(SUBSTITUTE(SUBSTITUTE(SUBSTITUTE(SUBSTITUTE(SUBSTITUTE(SUBSTITUTE(SUBSTITUTE(SUBSTITUTE(B77," ","_"),"(","_"),")","_"),".","_"),",","_"),"/","_"),"-","_"),"&amp;","_"),"Á","A"),"É","E"),"Í","I"),"Ó","O"),"Ú","U"),"Ñ","N"))</formula1>
    </dataValidation>
    <dataValidation sqref="C7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INDIRECT("PROV_"&amp;SUBSTITUTE(SUBSTITUTE(SUBSTITUTE(SUBSTITUTE(SUBSTITUTE(SUBSTITUTE(SUBSTITUTE(SUBSTITUTE(SUBSTITUTE(SUBSTITUTE(SUBSTITUTE(SUBSTITUTE(SUBSTITUTE(SUBSTITUTE(B78," ","_"),"(","_"),")","_"),".","_"),",","_"),"/","_"),"-","_"),"&amp;","_"),"Á","A"),"É","E"),"Í","I"),"Ó","O"),"Ú","U"),"Ñ","N"))</formula1>
    </dataValidation>
    <dataValidation sqref="C7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INDIRECT("PROV_"&amp;SUBSTITUTE(SUBSTITUTE(SUBSTITUTE(SUBSTITUTE(SUBSTITUTE(SUBSTITUTE(SUBSTITUTE(SUBSTITUTE(SUBSTITUTE(SUBSTITUTE(SUBSTITUTE(SUBSTITUTE(SUBSTITUTE(SUBSTITUTE(B79," ","_"),"(","_"),")","_"),".","_"),",","_"),"/","_"),"-","_"),"&amp;","_"),"Á","A"),"É","E"),"Í","I"),"Ó","O"),"Ú","U"),"Ñ","N"))</formula1>
    </dataValidation>
    <dataValidation sqref="C8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INDIRECT("PROV_"&amp;SUBSTITUTE(SUBSTITUTE(SUBSTITUTE(SUBSTITUTE(SUBSTITUTE(SUBSTITUTE(SUBSTITUTE(SUBSTITUTE(SUBSTITUTE(SUBSTITUTE(SUBSTITUTE(SUBSTITUTE(SUBSTITUTE(SUBSTITUTE(B80," ","_"),"(","_"),")","_"),".","_"),",","_"),"/","_"),"-","_"),"&amp;","_"),"Á","A"),"É","E"),"Í","I"),"Ó","O"),"Ú","U"),"Ñ","N"))</formula1>
    </dataValidation>
    <dataValidation sqref="C8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INDIRECT("PROV_"&amp;SUBSTITUTE(SUBSTITUTE(SUBSTITUTE(SUBSTITUTE(SUBSTITUTE(SUBSTITUTE(SUBSTITUTE(SUBSTITUTE(SUBSTITUTE(SUBSTITUTE(SUBSTITUTE(SUBSTITUTE(SUBSTITUTE(SUBSTITUTE(B81," ","_"),"(","_"),")","_"),".","_"),",","_"),"/","_"),"-","_"),"&amp;","_"),"Á","A"),"É","E"),"Í","I"),"Ó","O"),"Ú","U"),"Ñ","N"))</formula1>
    </dataValidation>
    <dataValidation sqref="C8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INDIRECT("PROV_"&amp;SUBSTITUTE(SUBSTITUTE(SUBSTITUTE(SUBSTITUTE(SUBSTITUTE(SUBSTITUTE(SUBSTITUTE(SUBSTITUTE(SUBSTITUTE(SUBSTITUTE(SUBSTITUTE(SUBSTITUTE(SUBSTITUTE(SUBSTITUTE(B82," ","_"),"(","_"),")","_"),".","_"),",","_"),"/","_"),"-","_"),"&amp;","_"),"Á","A"),"É","E"),"Í","I"),"Ó","O"),"Ú","U"),"Ñ","N"))</formula1>
    </dataValidation>
    <dataValidation sqref="C8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INDIRECT("PROV_"&amp;SUBSTITUTE(SUBSTITUTE(SUBSTITUTE(SUBSTITUTE(SUBSTITUTE(SUBSTITUTE(SUBSTITUTE(SUBSTITUTE(SUBSTITUTE(SUBSTITUTE(SUBSTITUTE(SUBSTITUTE(SUBSTITUTE(SUBSTITUTE(B83," ","_"),"(","_"),")","_"),".","_"),",","_"),"/","_"),"-","_"),"&amp;","_"),"Á","A"),"É","E"),"Í","I"),"Ó","O"),"Ú","U"),"Ñ","N"))</formula1>
    </dataValidation>
    <dataValidation sqref="C8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INDIRECT("PROV_"&amp;SUBSTITUTE(SUBSTITUTE(SUBSTITUTE(SUBSTITUTE(SUBSTITUTE(SUBSTITUTE(SUBSTITUTE(SUBSTITUTE(SUBSTITUTE(SUBSTITUTE(SUBSTITUTE(SUBSTITUTE(SUBSTITUTE(SUBSTITUTE(B84," ","_"),"(","_"),")","_"),".","_"),",","_"),"/","_"),"-","_"),"&amp;","_"),"Á","A"),"É","E"),"Í","I"),"Ó","O"),"Ú","U"),"Ñ","N"))</formula1>
    </dataValidation>
    <dataValidation sqref="C8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INDIRECT("PROV_"&amp;SUBSTITUTE(SUBSTITUTE(SUBSTITUTE(SUBSTITUTE(SUBSTITUTE(SUBSTITUTE(SUBSTITUTE(SUBSTITUTE(SUBSTITUTE(SUBSTITUTE(SUBSTITUTE(SUBSTITUTE(SUBSTITUTE(SUBSTITUTE(B85," ","_"),"(","_"),")","_"),".","_"),",","_"),"/","_"),"-","_"),"&amp;","_"),"Á","A"),"É","E"),"Í","I"),"Ó","O"),"Ú","U"),"Ñ","N"))</formula1>
    </dataValidation>
    <dataValidation sqref="C8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INDIRECT("PROV_"&amp;SUBSTITUTE(SUBSTITUTE(SUBSTITUTE(SUBSTITUTE(SUBSTITUTE(SUBSTITUTE(SUBSTITUTE(SUBSTITUTE(SUBSTITUTE(SUBSTITUTE(SUBSTITUTE(SUBSTITUTE(SUBSTITUTE(SUBSTITUTE(B86," ","_"),"(","_"),")","_"),".","_"),",","_"),"/","_"),"-","_"),"&amp;","_"),"Á","A"),"É","E"),"Í","I"),"Ó","O"),"Ú","U"),"Ñ","N"))</formula1>
    </dataValidation>
    <dataValidation sqref="C8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INDIRECT("PROV_"&amp;SUBSTITUTE(SUBSTITUTE(SUBSTITUTE(SUBSTITUTE(SUBSTITUTE(SUBSTITUTE(SUBSTITUTE(SUBSTITUTE(SUBSTITUTE(SUBSTITUTE(SUBSTITUTE(SUBSTITUTE(SUBSTITUTE(SUBSTITUTE(B87," ","_"),"(","_"),")","_"),".","_"),",","_"),"/","_"),"-","_"),"&amp;","_"),"Á","A"),"É","E"),"Í","I"),"Ó","O"),"Ú","U"),"Ñ","N"))</formula1>
    </dataValidation>
    <dataValidation sqref="C8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INDIRECT("PROV_"&amp;SUBSTITUTE(SUBSTITUTE(SUBSTITUTE(SUBSTITUTE(SUBSTITUTE(SUBSTITUTE(SUBSTITUTE(SUBSTITUTE(SUBSTITUTE(SUBSTITUTE(SUBSTITUTE(SUBSTITUTE(SUBSTITUTE(SUBSTITUTE(B88," ","_"),"(","_"),")","_"),".","_"),",","_"),"/","_"),"-","_"),"&amp;","_"),"Á","A"),"É","E"),"Í","I"),"Ó","O"),"Ú","U"),"Ñ","N"))</formula1>
    </dataValidation>
    <dataValidation sqref="C8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INDIRECT("PROV_"&amp;SUBSTITUTE(SUBSTITUTE(SUBSTITUTE(SUBSTITUTE(SUBSTITUTE(SUBSTITUTE(SUBSTITUTE(SUBSTITUTE(SUBSTITUTE(SUBSTITUTE(SUBSTITUTE(SUBSTITUTE(SUBSTITUTE(SUBSTITUTE(B89," ","_"),"(","_"),")","_"),".","_"),",","_"),"/","_"),"-","_"),"&amp;","_"),"Á","A"),"É","E"),"Í","I"),"Ó","O"),"Ú","U"),"Ñ","N"))</formula1>
    </dataValidation>
    <dataValidation sqref="C9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INDIRECT("PROV_"&amp;SUBSTITUTE(SUBSTITUTE(SUBSTITUTE(SUBSTITUTE(SUBSTITUTE(SUBSTITUTE(SUBSTITUTE(SUBSTITUTE(SUBSTITUTE(SUBSTITUTE(SUBSTITUTE(SUBSTITUTE(SUBSTITUTE(SUBSTITUTE(B90," ","_"),"(","_"),")","_"),".","_"),",","_"),"/","_"),"-","_"),"&amp;","_"),"Á","A"),"É","E"),"Í","I"),"Ó","O"),"Ú","U"),"Ñ","N"))</formula1>
    </dataValidation>
    <dataValidation sqref="C9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INDIRECT("PROV_"&amp;SUBSTITUTE(SUBSTITUTE(SUBSTITUTE(SUBSTITUTE(SUBSTITUTE(SUBSTITUTE(SUBSTITUTE(SUBSTITUTE(SUBSTITUTE(SUBSTITUTE(SUBSTITUTE(SUBSTITUTE(SUBSTITUTE(SUBSTITUTE(B91," ","_"),"(","_"),")","_"),".","_"),",","_"),"/","_"),"-","_"),"&amp;","_"),"Á","A"),"É","E"),"Í","I"),"Ó","O"),"Ú","U"),"Ñ","N"))</formula1>
    </dataValidation>
    <dataValidation sqref="C9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INDIRECT("PROV_"&amp;SUBSTITUTE(SUBSTITUTE(SUBSTITUTE(SUBSTITUTE(SUBSTITUTE(SUBSTITUTE(SUBSTITUTE(SUBSTITUTE(SUBSTITUTE(SUBSTITUTE(SUBSTITUTE(SUBSTITUTE(SUBSTITUTE(SUBSTITUTE(B92," ","_"),"(","_"),")","_"),".","_"),",","_"),"/","_"),"-","_"),"&amp;","_"),"Á","A"),"É","E"),"Í","I"),"Ó","O"),"Ú","U"),"Ñ","N"))</formula1>
    </dataValidation>
    <dataValidation sqref="C9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INDIRECT("PROV_"&amp;SUBSTITUTE(SUBSTITUTE(SUBSTITUTE(SUBSTITUTE(SUBSTITUTE(SUBSTITUTE(SUBSTITUTE(SUBSTITUTE(SUBSTITUTE(SUBSTITUTE(SUBSTITUTE(SUBSTITUTE(SUBSTITUTE(SUBSTITUTE(B93," ","_"),"(","_"),")","_"),".","_"),",","_"),"/","_"),"-","_"),"&amp;","_"),"Á","A"),"É","E"),"Í","I"),"Ó","O"),"Ú","U"),"Ñ","N"))</formula1>
    </dataValidation>
    <dataValidation sqref="C9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INDIRECT("PROV_"&amp;SUBSTITUTE(SUBSTITUTE(SUBSTITUTE(SUBSTITUTE(SUBSTITUTE(SUBSTITUTE(SUBSTITUTE(SUBSTITUTE(SUBSTITUTE(SUBSTITUTE(SUBSTITUTE(SUBSTITUTE(SUBSTITUTE(SUBSTITUTE(B94," ","_"),"(","_"),")","_"),".","_"),",","_"),"/","_"),"-","_"),"&amp;","_"),"Á","A"),"É","E"),"Í","I"),"Ó","O"),"Ú","U"),"Ñ","N"))</formula1>
    </dataValidation>
    <dataValidation sqref="C9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INDIRECT("PROV_"&amp;SUBSTITUTE(SUBSTITUTE(SUBSTITUTE(SUBSTITUTE(SUBSTITUTE(SUBSTITUTE(SUBSTITUTE(SUBSTITUTE(SUBSTITUTE(SUBSTITUTE(SUBSTITUTE(SUBSTITUTE(SUBSTITUTE(SUBSTITUTE(B95," ","_"),"(","_"),")","_"),".","_"),",","_"),"/","_"),"-","_"),"&amp;","_"),"Á","A"),"É","E"),"Í","I"),"Ó","O"),"Ú","U"),"Ñ","N"))</formula1>
    </dataValidation>
    <dataValidation sqref="C9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INDIRECT("PROV_"&amp;SUBSTITUTE(SUBSTITUTE(SUBSTITUTE(SUBSTITUTE(SUBSTITUTE(SUBSTITUTE(SUBSTITUTE(SUBSTITUTE(SUBSTITUTE(SUBSTITUTE(SUBSTITUTE(SUBSTITUTE(SUBSTITUTE(SUBSTITUTE(B96," ","_"),"(","_"),")","_"),".","_"),",","_"),"/","_"),"-","_"),"&amp;","_"),"Á","A"),"É","E"),"Í","I"),"Ó","O"),"Ú","U"),"Ñ","N"))</formula1>
    </dataValidation>
    <dataValidation sqref="C9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INDIRECT("PROV_"&amp;SUBSTITUTE(SUBSTITUTE(SUBSTITUTE(SUBSTITUTE(SUBSTITUTE(SUBSTITUTE(SUBSTITUTE(SUBSTITUTE(SUBSTITUTE(SUBSTITUTE(SUBSTITUTE(SUBSTITUTE(SUBSTITUTE(SUBSTITUTE(B97," ","_"),"(","_"),")","_"),".","_"),",","_"),"/","_"),"-","_"),"&amp;","_"),"Á","A"),"É","E"),"Í","I"),"Ó","O"),"Ú","U"),"Ñ","N"))</formula1>
    </dataValidation>
    <dataValidation sqref="C9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INDIRECT("PROV_"&amp;SUBSTITUTE(SUBSTITUTE(SUBSTITUTE(SUBSTITUTE(SUBSTITUTE(SUBSTITUTE(SUBSTITUTE(SUBSTITUTE(SUBSTITUTE(SUBSTITUTE(SUBSTITUTE(SUBSTITUTE(SUBSTITUTE(SUBSTITUTE(B98," ","_"),"(","_"),")","_"),".","_"),",","_"),"/","_"),"-","_"),"&amp;","_"),"Á","A"),"É","E"),"Í","I"),"Ó","O"),"Ú","U"),"Ñ","N"))</formula1>
    </dataValidation>
    <dataValidation sqref="C9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INDIRECT("PROV_"&amp;SUBSTITUTE(SUBSTITUTE(SUBSTITUTE(SUBSTITUTE(SUBSTITUTE(SUBSTITUTE(SUBSTITUTE(SUBSTITUTE(SUBSTITUTE(SUBSTITUTE(SUBSTITUTE(SUBSTITUTE(SUBSTITUTE(SUBSTITUTE(B99," ","_"),"(","_"),")","_"),".","_"),",","_"),"/","_"),"-","_"),"&amp;","_"),"Á","A"),"É","E"),"Í","I"),"Ó","O"),"Ú","U"),"Ñ","N"))</formula1>
    </dataValidation>
    <dataValidation sqref="C10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INDIRECT("PROV_"&amp;SUBSTITUTE(SUBSTITUTE(SUBSTITUTE(SUBSTITUTE(SUBSTITUTE(SUBSTITUTE(SUBSTITUTE(SUBSTITUTE(SUBSTITUTE(SUBSTITUTE(SUBSTITUTE(SUBSTITUTE(SUBSTITUTE(SUBSTITUTE(B100," ","_"),"(","_"),")","_"),".","_"),",","_"),"/","_"),"-","_"),"&amp;","_"),"Á","A"),"É","E"),"Í","I"),"Ó","O"),"Ú","U"),"Ñ","N"))</formula1>
    </dataValidation>
    <dataValidation sqref="C10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INDIRECT("PROV_"&amp;SUBSTITUTE(SUBSTITUTE(SUBSTITUTE(SUBSTITUTE(SUBSTITUTE(SUBSTITUTE(SUBSTITUTE(SUBSTITUTE(SUBSTITUTE(SUBSTITUTE(SUBSTITUTE(SUBSTITUTE(SUBSTITUTE(SUBSTITUTE(B101," ","_"),"(","_"),")","_"),".","_"),",","_"),"/","_"),"-","_"),"&amp;","_"),"Á","A"),"É","E"),"Í","I"),"Ó","O"),"Ú","U"),"Ñ","N"))</formula1>
    </dataValidation>
    <dataValidation sqref="C10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INDIRECT("PROV_"&amp;SUBSTITUTE(SUBSTITUTE(SUBSTITUTE(SUBSTITUTE(SUBSTITUTE(SUBSTITUTE(SUBSTITUTE(SUBSTITUTE(SUBSTITUTE(SUBSTITUTE(SUBSTITUTE(SUBSTITUTE(SUBSTITUTE(SUBSTITUTE(B102," ","_"),"(","_"),")","_"),".","_"),",","_"),"/","_"),"-","_"),"&amp;","_"),"Á","A"),"É","E"),"Í","I"),"Ó","O"),"Ú","U"),"Ñ","N"))</formula1>
    </dataValidation>
    <dataValidation sqref="C10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INDIRECT("PROV_"&amp;SUBSTITUTE(SUBSTITUTE(SUBSTITUTE(SUBSTITUTE(SUBSTITUTE(SUBSTITUTE(SUBSTITUTE(SUBSTITUTE(SUBSTITUTE(SUBSTITUTE(SUBSTITUTE(SUBSTITUTE(SUBSTITUTE(SUBSTITUTE(B103," ","_"),"(","_"),")","_"),".","_"),",","_"),"/","_"),"-","_"),"&amp;","_"),"Á","A"),"É","E"),"Í","I"),"Ó","O"),"Ú","U"),"Ñ","N"))</formula1>
    </dataValidation>
    <dataValidation sqref="C10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INDIRECT("PROV_"&amp;SUBSTITUTE(SUBSTITUTE(SUBSTITUTE(SUBSTITUTE(SUBSTITUTE(SUBSTITUTE(SUBSTITUTE(SUBSTITUTE(SUBSTITUTE(SUBSTITUTE(SUBSTITUTE(SUBSTITUTE(SUBSTITUTE(SUBSTITUTE(B104," ","_"),"(","_"),")","_"),".","_"),",","_"),"/","_"),"-","_"),"&amp;","_"),"Á","A"),"É","E"),"Í","I"),"Ó","O"),"Ú","U"),"Ñ","N"))</formula1>
    </dataValidation>
    <dataValidation sqref="C10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INDIRECT("PROV_"&amp;SUBSTITUTE(SUBSTITUTE(SUBSTITUTE(SUBSTITUTE(SUBSTITUTE(SUBSTITUTE(SUBSTITUTE(SUBSTITUTE(SUBSTITUTE(SUBSTITUTE(SUBSTITUTE(SUBSTITUTE(SUBSTITUTE(SUBSTITUTE(B105," ","_"),"(","_"),")","_"),".","_"),",","_"),"/","_"),"-","_"),"&amp;","_"),"Á","A"),"É","E"),"Í","I"),"Ó","O"),"Ú","U"),"Ñ","N"))</formula1>
    </dataValidation>
    <dataValidation sqref="C10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INDIRECT("PROV_"&amp;SUBSTITUTE(SUBSTITUTE(SUBSTITUTE(SUBSTITUTE(SUBSTITUTE(SUBSTITUTE(SUBSTITUTE(SUBSTITUTE(SUBSTITUTE(SUBSTITUTE(SUBSTITUTE(SUBSTITUTE(SUBSTITUTE(SUBSTITUTE(B106," ","_"),"(","_"),")","_"),".","_"),",","_"),"/","_"),"-","_"),"&amp;","_"),"Á","A"),"É","E"),"Í","I"),"Ó","O"),"Ú","U"),"Ñ","N"))</formula1>
    </dataValidation>
    <dataValidation sqref="C10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INDIRECT("PROV_"&amp;SUBSTITUTE(SUBSTITUTE(SUBSTITUTE(SUBSTITUTE(SUBSTITUTE(SUBSTITUTE(SUBSTITUTE(SUBSTITUTE(SUBSTITUTE(SUBSTITUTE(SUBSTITUTE(SUBSTITUTE(SUBSTITUTE(SUBSTITUTE(B107," ","_"),"(","_"),")","_"),".","_"),",","_"),"/","_"),"-","_"),"&amp;","_"),"Á","A"),"É","E"),"Í","I"),"Ó","O"),"Ú","U"),"Ñ","N"))</formula1>
    </dataValidation>
    <dataValidation sqref="C10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INDIRECT("PROV_"&amp;SUBSTITUTE(SUBSTITUTE(SUBSTITUTE(SUBSTITUTE(SUBSTITUTE(SUBSTITUTE(SUBSTITUTE(SUBSTITUTE(SUBSTITUTE(SUBSTITUTE(SUBSTITUTE(SUBSTITUTE(SUBSTITUTE(SUBSTITUTE(B108," ","_"),"(","_"),")","_"),".","_"),",","_"),"/","_"),"-","_"),"&amp;","_"),"Á","A"),"É","E"),"Í","I"),"Ó","O"),"Ú","U"),"Ñ","N"))</formula1>
    </dataValidation>
    <dataValidation sqref="C10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INDIRECT("PROV_"&amp;SUBSTITUTE(SUBSTITUTE(SUBSTITUTE(SUBSTITUTE(SUBSTITUTE(SUBSTITUTE(SUBSTITUTE(SUBSTITUTE(SUBSTITUTE(SUBSTITUTE(SUBSTITUTE(SUBSTITUTE(SUBSTITUTE(SUBSTITUTE(B109," ","_"),"(","_"),")","_"),".","_"),",","_"),"/","_"),"-","_"),"&amp;","_"),"Á","A"),"É","E"),"Í","I"),"Ó","O"),"Ú","U"),"Ñ","N"))</formula1>
    </dataValidation>
    <dataValidation sqref="C11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INDIRECT("PROV_"&amp;SUBSTITUTE(SUBSTITUTE(SUBSTITUTE(SUBSTITUTE(SUBSTITUTE(SUBSTITUTE(SUBSTITUTE(SUBSTITUTE(SUBSTITUTE(SUBSTITUTE(SUBSTITUTE(SUBSTITUTE(SUBSTITUTE(SUBSTITUTE(B110," ","_"),"(","_"),")","_"),".","_"),",","_"),"/","_"),"-","_"),"&amp;","_"),"Á","A"),"É","E"),"Í","I"),"Ó","O"),"Ú","U"),"Ñ","N"))</formula1>
    </dataValidation>
    <dataValidation sqref="C11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INDIRECT("PROV_"&amp;SUBSTITUTE(SUBSTITUTE(SUBSTITUTE(SUBSTITUTE(SUBSTITUTE(SUBSTITUTE(SUBSTITUTE(SUBSTITUTE(SUBSTITUTE(SUBSTITUTE(SUBSTITUTE(SUBSTITUTE(SUBSTITUTE(SUBSTITUTE(B111," ","_"),"(","_"),")","_"),".","_"),",","_"),"/","_"),"-","_"),"&amp;","_"),"Á","A"),"É","E"),"Í","I"),"Ó","O"),"Ú","U"),"Ñ","N"))</formula1>
    </dataValidation>
    <dataValidation sqref="C11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INDIRECT("PROV_"&amp;SUBSTITUTE(SUBSTITUTE(SUBSTITUTE(SUBSTITUTE(SUBSTITUTE(SUBSTITUTE(SUBSTITUTE(SUBSTITUTE(SUBSTITUTE(SUBSTITUTE(SUBSTITUTE(SUBSTITUTE(SUBSTITUTE(SUBSTITUTE(B112," ","_"),"(","_"),")","_"),".","_"),",","_"),"/","_"),"-","_"),"&amp;","_"),"Á","A"),"É","E"),"Í","I"),"Ó","O"),"Ú","U"),"Ñ","N"))</formula1>
    </dataValidation>
    <dataValidation sqref="C11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INDIRECT("PROV_"&amp;SUBSTITUTE(SUBSTITUTE(SUBSTITUTE(SUBSTITUTE(SUBSTITUTE(SUBSTITUTE(SUBSTITUTE(SUBSTITUTE(SUBSTITUTE(SUBSTITUTE(SUBSTITUTE(SUBSTITUTE(SUBSTITUTE(SUBSTITUTE(B113," ","_"),"(","_"),")","_"),".","_"),",","_"),"/","_"),"-","_"),"&amp;","_"),"Á","A"),"É","E"),"Í","I"),"Ó","O"),"Ú","U"),"Ñ","N"))</formula1>
    </dataValidation>
    <dataValidation sqref="C11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INDIRECT("PROV_"&amp;SUBSTITUTE(SUBSTITUTE(SUBSTITUTE(SUBSTITUTE(SUBSTITUTE(SUBSTITUTE(SUBSTITUTE(SUBSTITUTE(SUBSTITUTE(SUBSTITUTE(SUBSTITUTE(SUBSTITUTE(SUBSTITUTE(SUBSTITUTE(B114," ","_"),"(","_"),")","_"),".","_"),",","_"),"/","_"),"-","_"),"&amp;","_"),"Á","A"),"É","E"),"Í","I"),"Ó","O"),"Ú","U"),"Ñ","N"))</formula1>
    </dataValidation>
    <dataValidation sqref="C11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INDIRECT("PROV_"&amp;SUBSTITUTE(SUBSTITUTE(SUBSTITUTE(SUBSTITUTE(SUBSTITUTE(SUBSTITUTE(SUBSTITUTE(SUBSTITUTE(SUBSTITUTE(SUBSTITUTE(SUBSTITUTE(SUBSTITUTE(SUBSTITUTE(SUBSTITUTE(B115," ","_"),"(","_"),")","_"),".","_"),",","_"),"/","_"),"-","_"),"&amp;","_"),"Á","A"),"É","E"),"Í","I"),"Ó","O"),"Ú","U"),"Ñ","N"))</formula1>
    </dataValidation>
    <dataValidation sqref="C11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INDIRECT("PROV_"&amp;SUBSTITUTE(SUBSTITUTE(SUBSTITUTE(SUBSTITUTE(SUBSTITUTE(SUBSTITUTE(SUBSTITUTE(SUBSTITUTE(SUBSTITUTE(SUBSTITUTE(SUBSTITUTE(SUBSTITUTE(SUBSTITUTE(SUBSTITUTE(B116," ","_"),"(","_"),")","_"),".","_"),",","_"),"/","_"),"-","_"),"&amp;","_"),"Á","A"),"É","E"),"Í","I"),"Ó","O"),"Ú","U"),"Ñ","N"))</formula1>
    </dataValidation>
    <dataValidation sqref="C11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INDIRECT("PROV_"&amp;SUBSTITUTE(SUBSTITUTE(SUBSTITUTE(SUBSTITUTE(SUBSTITUTE(SUBSTITUTE(SUBSTITUTE(SUBSTITUTE(SUBSTITUTE(SUBSTITUTE(SUBSTITUTE(SUBSTITUTE(SUBSTITUTE(SUBSTITUTE(B117," ","_"),"(","_"),")","_"),".","_"),",","_"),"/","_"),"-","_"),"&amp;","_"),"Á","A"),"É","E"),"Í","I"),"Ó","O"),"Ú","U"),"Ñ","N"))</formula1>
    </dataValidation>
    <dataValidation sqref="C11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INDIRECT("PROV_"&amp;SUBSTITUTE(SUBSTITUTE(SUBSTITUTE(SUBSTITUTE(SUBSTITUTE(SUBSTITUTE(SUBSTITUTE(SUBSTITUTE(SUBSTITUTE(SUBSTITUTE(SUBSTITUTE(SUBSTITUTE(SUBSTITUTE(SUBSTITUTE(B118," ","_"),"(","_"),")","_"),".","_"),",","_"),"/","_"),"-","_"),"&amp;","_"),"Á","A"),"É","E"),"Í","I"),"Ó","O"),"Ú","U"),"Ñ","N"))</formula1>
    </dataValidation>
    <dataValidation sqref="C11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INDIRECT("PROV_"&amp;SUBSTITUTE(SUBSTITUTE(SUBSTITUTE(SUBSTITUTE(SUBSTITUTE(SUBSTITUTE(SUBSTITUTE(SUBSTITUTE(SUBSTITUTE(SUBSTITUTE(SUBSTITUTE(SUBSTITUTE(SUBSTITUTE(SUBSTITUTE(B119," ","_"),"(","_"),")","_"),".","_"),",","_"),"/","_"),"-","_"),"&amp;","_"),"Á","A"),"É","E"),"Í","I"),"Ó","O"),"Ú","U"),"Ñ","N"))</formula1>
    </dataValidation>
    <dataValidation sqref="C12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INDIRECT("PROV_"&amp;SUBSTITUTE(SUBSTITUTE(SUBSTITUTE(SUBSTITUTE(SUBSTITUTE(SUBSTITUTE(SUBSTITUTE(SUBSTITUTE(SUBSTITUTE(SUBSTITUTE(SUBSTITUTE(SUBSTITUTE(SUBSTITUTE(SUBSTITUTE(B120," ","_"),"(","_"),")","_"),".","_"),",","_"),"/","_"),"-","_"),"&amp;","_"),"Á","A"),"É","E"),"Í","I"),"Ó","O"),"Ú","U"),"Ñ","N"))</formula1>
    </dataValidation>
    <dataValidation sqref="C12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INDIRECT("PROV_"&amp;SUBSTITUTE(SUBSTITUTE(SUBSTITUTE(SUBSTITUTE(SUBSTITUTE(SUBSTITUTE(SUBSTITUTE(SUBSTITUTE(SUBSTITUTE(SUBSTITUTE(SUBSTITUTE(SUBSTITUTE(SUBSTITUTE(SUBSTITUTE(B121," ","_"),"(","_"),")","_"),".","_"),",","_"),"/","_"),"-","_"),"&amp;","_"),"Á","A"),"É","E"),"Í","I"),"Ó","O"),"Ú","U"),"Ñ","N"))</formula1>
    </dataValidation>
    <dataValidation sqref="C12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INDIRECT("PROV_"&amp;SUBSTITUTE(SUBSTITUTE(SUBSTITUTE(SUBSTITUTE(SUBSTITUTE(SUBSTITUTE(SUBSTITUTE(SUBSTITUTE(SUBSTITUTE(SUBSTITUTE(SUBSTITUTE(SUBSTITUTE(SUBSTITUTE(SUBSTITUTE(B122," ","_"),"(","_"),")","_"),".","_"),",","_"),"/","_"),"-","_"),"&amp;","_"),"Á","A"),"É","E"),"Í","I"),"Ó","O"),"Ú","U"),"Ñ","N"))</formula1>
    </dataValidation>
    <dataValidation sqref="C12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INDIRECT("PROV_"&amp;SUBSTITUTE(SUBSTITUTE(SUBSTITUTE(SUBSTITUTE(SUBSTITUTE(SUBSTITUTE(SUBSTITUTE(SUBSTITUTE(SUBSTITUTE(SUBSTITUTE(SUBSTITUTE(SUBSTITUTE(SUBSTITUTE(SUBSTITUTE(B123," ","_"),"(","_"),")","_"),".","_"),",","_"),"/","_"),"-","_"),"&amp;","_"),"Á","A"),"É","E"),"Í","I"),"Ó","O"),"Ú","U"),"Ñ","N"))</formula1>
    </dataValidation>
    <dataValidation sqref="C12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INDIRECT("PROV_"&amp;SUBSTITUTE(SUBSTITUTE(SUBSTITUTE(SUBSTITUTE(SUBSTITUTE(SUBSTITUTE(SUBSTITUTE(SUBSTITUTE(SUBSTITUTE(SUBSTITUTE(SUBSTITUTE(SUBSTITUTE(SUBSTITUTE(SUBSTITUTE(B124," ","_"),"(","_"),")","_"),".","_"),",","_"),"/","_"),"-","_"),"&amp;","_"),"Á","A"),"É","E"),"Í","I"),"Ó","O"),"Ú","U"),"Ñ","N"))</formula1>
    </dataValidation>
    <dataValidation sqref="C12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INDIRECT("PROV_"&amp;SUBSTITUTE(SUBSTITUTE(SUBSTITUTE(SUBSTITUTE(SUBSTITUTE(SUBSTITUTE(SUBSTITUTE(SUBSTITUTE(SUBSTITUTE(SUBSTITUTE(SUBSTITUTE(SUBSTITUTE(SUBSTITUTE(SUBSTITUTE(B125," ","_"),"(","_"),")","_"),".","_"),",","_"),"/","_"),"-","_"),"&amp;","_"),"Á","A"),"É","E"),"Í","I"),"Ó","O"),"Ú","U"),"Ñ","N"))</formula1>
    </dataValidation>
    <dataValidation sqref="C12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INDIRECT("PROV_"&amp;SUBSTITUTE(SUBSTITUTE(SUBSTITUTE(SUBSTITUTE(SUBSTITUTE(SUBSTITUTE(SUBSTITUTE(SUBSTITUTE(SUBSTITUTE(SUBSTITUTE(SUBSTITUTE(SUBSTITUTE(SUBSTITUTE(SUBSTITUTE(B126," ","_"),"(","_"),")","_"),".","_"),",","_"),"/","_"),"-","_"),"&amp;","_"),"Á","A"),"É","E"),"Í","I"),"Ó","O"),"Ú","U"),"Ñ","N"))</formula1>
    </dataValidation>
    <dataValidation sqref="C12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INDIRECT("PROV_"&amp;SUBSTITUTE(SUBSTITUTE(SUBSTITUTE(SUBSTITUTE(SUBSTITUTE(SUBSTITUTE(SUBSTITUTE(SUBSTITUTE(SUBSTITUTE(SUBSTITUTE(SUBSTITUTE(SUBSTITUTE(SUBSTITUTE(SUBSTITUTE(B127," ","_"),"(","_"),")","_"),".","_"),",","_"),"/","_"),"-","_"),"&amp;","_"),"Á","A"),"É","E"),"Í","I"),"Ó","O"),"Ú","U"),"Ñ","N"))</formula1>
    </dataValidation>
    <dataValidation sqref="C12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INDIRECT("PROV_"&amp;SUBSTITUTE(SUBSTITUTE(SUBSTITUTE(SUBSTITUTE(SUBSTITUTE(SUBSTITUTE(SUBSTITUTE(SUBSTITUTE(SUBSTITUTE(SUBSTITUTE(SUBSTITUTE(SUBSTITUTE(SUBSTITUTE(SUBSTITUTE(B128," ","_"),"(","_"),")","_"),".","_"),",","_"),"/","_"),"-","_"),"&amp;","_"),"Á","A"),"É","E"),"Í","I"),"Ó","O"),"Ú","U"),"Ñ","N"))</formula1>
    </dataValidation>
    <dataValidation sqref="C12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INDIRECT("PROV_"&amp;SUBSTITUTE(SUBSTITUTE(SUBSTITUTE(SUBSTITUTE(SUBSTITUTE(SUBSTITUTE(SUBSTITUTE(SUBSTITUTE(SUBSTITUTE(SUBSTITUTE(SUBSTITUTE(SUBSTITUTE(SUBSTITUTE(SUBSTITUTE(B129," ","_"),"(","_"),")","_"),".","_"),",","_"),"/","_"),"-","_"),"&amp;","_"),"Á","A"),"É","E"),"Í","I"),"Ó","O"),"Ú","U"),"Ñ","N"))</formula1>
    </dataValidation>
    <dataValidation sqref="C13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INDIRECT("PROV_"&amp;SUBSTITUTE(SUBSTITUTE(SUBSTITUTE(SUBSTITUTE(SUBSTITUTE(SUBSTITUTE(SUBSTITUTE(SUBSTITUTE(SUBSTITUTE(SUBSTITUTE(SUBSTITUTE(SUBSTITUTE(SUBSTITUTE(SUBSTITUTE(B130," ","_"),"(","_"),")","_"),".","_"),",","_"),"/","_"),"-","_"),"&amp;","_"),"Á","A"),"É","E"),"Í","I"),"Ó","O"),"Ú","U"),"Ñ","N"))</formula1>
    </dataValidation>
    <dataValidation sqref="C13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INDIRECT("PROV_"&amp;SUBSTITUTE(SUBSTITUTE(SUBSTITUTE(SUBSTITUTE(SUBSTITUTE(SUBSTITUTE(SUBSTITUTE(SUBSTITUTE(SUBSTITUTE(SUBSTITUTE(SUBSTITUTE(SUBSTITUTE(SUBSTITUTE(SUBSTITUTE(B131," ","_"),"(","_"),")","_"),".","_"),",","_"),"/","_"),"-","_"),"&amp;","_"),"Á","A"),"É","E"),"Í","I"),"Ó","O"),"Ú","U"),"Ñ","N"))</formula1>
    </dataValidation>
    <dataValidation sqref="C13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INDIRECT("PROV_"&amp;SUBSTITUTE(SUBSTITUTE(SUBSTITUTE(SUBSTITUTE(SUBSTITUTE(SUBSTITUTE(SUBSTITUTE(SUBSTITUTE(SUBSTITUTE(SUBSTITUTE(SUBSTITUTE(SUBSTITUTE(SUBSTITUTE(SUBSTITUTE(B132," ","_"),"(","_"),")","_"),".","_"),",","_"),"/","_"),"-","_"),"&amp;","_"),"Á","A"),"É","E"),"Í","I"),"Ó","O"),"Ú","U"),"Ñ","N"))</formula1>
    </dataValidation>
    <dataValidation sqref="C13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INDIRECT("PROV_"&amp;SUBSTITUTE(SUBSTITUTE(SUBSTITUTE(SUBSTITUTE(SUBSTITUTE(SUBSTITUTE(SUBSTITUTE(SUBSTITUTE(SUBSTITUTE(SUBSTITUTE(SUBSTITUTE(SUBSTITUTE(SUBSTITUTE(SUBSTITUTE(B133," ","_"),"(","_"),")","_"),".","_"),",","_"),"/","_"),"-","_"),"&amp;","_"),"Á","A"),"É","E"),"Í","I"),"Ó","O"),"Ú","U"),"Ñ","N"))</formula1>
    </dataValidation>
    <dataValidation sqref="C13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INDIRECT("PROV_"&amp;SUBSTITUTE(SUBSTITUTE(SUBSTITUTE(SUBSTITUTE(SUBSTITUTE(SUBSTITUTE(SUBSTITUTE(SUBSTITUTE(SUBSTITUTE(SUBSTITUTE(SUBSTITUTE(SUBSTITUTE(SUBSTITUTE(SUBSTITUTE(B134," ","_"),"(","_"),")","_"),".","_"),",","_"),"/","_"),"-","_"),"&amp;","_"),"Á","A"),"É","E"),"Í","I"),"Ó","O"),"Ú","U"),"Ñ","N"))</formula1>
    </dataValidation>
    <dataValidation sqref="C13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INDIRECT("PROV_"&amp;SUBSTITUTE(SUBSTITUTE(SUBSTITUTE(SUBSTITUTE(SUBSTITUTE(SUBSTITUTE(SUBSTITUTE(SUBSTITUTE(SUBSTITUTE(SUBSTITUTE(SUBSTITUTE(SUBSTITUTE(SUBSTITUTE(SUBSTITUTE(B135," ","_"),"(","_"),")","_"),".","_"),",","_"),"/","_"),"-","_"),"&amp;","_"),"Á","A"),"É","E"),"Í","I"),"Ó","O"),"Ú","U"),"Ñ","N"))</formula1>
    </dataValidation>
    <dataValidation sqref="C13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INDIRECT("PROV_"&amp;SUBSTITUTE(SUBSTITUTE(SUBSTITUTE(SUBSTITUTE(SUBSTITUTE(SUBSTITUTE(SUBSTITUTE(SUBSTITUTE(SUBSTITUTE(SUBSTITUTE(SUBSTITUTE(SUBSTITUTE(SUBSTITUTE(SUBSTITUTE(B136," ","_"),"(","_"),")","_"),".","_"),",","_"),"/","_"),"-","_"),"&amp;","_"),"Á","A"),"É","E"),"Í","I"),"Ó","O"),"Ú","U"),"Ñ","N"))</formula1>
    </dataValidation>
    <dataValidation sqref="C13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INDIRECT("PROV_"&amp;SUBSTITUTE(SUBSTITUTE(SUBSTITUTE(SUBSTITUTE(SUBSTITUTE(SUBSTITUTE(SUBSTITUTE(SUBSTITUTE(SUBSTITUTE(SUBSTITUTE(SUBSTITUTE(SUBSTITUTE(SUBSTITUTE(SUBSTITUTE(B137," ","_"),"(","_"),")","_"),".","_"),",","_"),"/","_"),"-","_"),"&amp;","_"),"Á","A"),"É","E"),"Í","I"),"Ó","O"),"Ú","U"),"Ñ","N"))</formula1>
    </dataValidation>
    <dataValidation sqref="C13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INDIRECT("PROV_"&amp;SUBSTITUTE(SUBSTITUTE(SUBSTITUTE(SUBSTITUTE(SUBSTITUTE(SUBSTITUTE(SUBSTITUTE(SUBSTITUTE(SUBSTITUTE(SUBSTITUTE(SUBSTITUTE(SUBSTITUTE(SUBSTITUTE(SUBSTITUTE(B138," ","_"),"(","_"),")","_"),".","_"),",","_"),"/","_"),"-","_"),"&amp;","_"),"Á","A"),"É","E"),"Í","I"),"Ó","O"),"Ú","U"),"Ñ","N"))</formula1>
    </dataValidation>
    <dataValidation sqref="C13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INDIRECT("PROV_"&amp;SUBSTITUTE(SUBSTITUTE(SUBSTITUTE(SUBSTITUTE(SUBSTITUTE(SUBSTITUTE(SUBSTITUTE(SUBSTITUTE(SUBSTITUTE(SUBSTITUTE(SUBSTITUTE(SUBSTITUTE(SUBSTITUTE(SUBSTITUTE(B139," ","_"),"(","_"),")","_"),".","_"),",","_"),"/","_"),"-","_"),"&amp;","_"),"Á","A"),"É","E"),"Í","I"),"Ó","O"),"Ú","U"),"Ñ","N"))</formula1>
    </dataValidation>
    <dataValidation sqref="C14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INDIRECT("PROV_"&amp;SUBSTITUTE(SUBSTITUTE(SUBSTITUTE(SUBSTITUTE(SUBSTITUTE(SUBSTITUTE(SUBSTITUTE(SUBSTITUTE(SUBSTITUTE(SUBSTITUTE(SUBSTITUTE(SUBSTITUTE(SUBSTITUTE(SUBSTITUTE(B140," ","_"),"(","_"),")","_"),".","_"),",","_"),"/","_"),"-","_"),"&amp;","_"),"Á","A"),"É","E"),"Í","I"),"Ó","O"),"Ú","U"),"Ñ","N"))</formula1>
    </dataValidation>
    <dataValidation sqref="C14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INDIRECT("PROV_"&amp;SUBSTITUTE(SUBSTITUTE(SUBSTITUTE(SUBSTITUTE(SUBSTITUTE(SUBSTITUTE(SUBSTITUTE(SUBSTITUTE(SUBSTITUTE(SUBSTITUTE(SUBSTITUTE(SUBSTITUTE(SUBSTITUTE(SUBSTITUTE(B141," ","_"),"(","_"),")","_"),".","_"),",","_"),"/","_"),"-","_"),"&amp;","_"),"Á","A"),"É","E"),"Í","I"),"Ó","O"),"Ú","U"),"Ñ","N"))</formula1>
    </dataValidation>
    <dataValidation sqref="C14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INDIRECT("PROV_"&amp;SUBSTITUTE(SUBSTITUTE(SUBSTITUTE(SUBSTITUTE(SUBSTITUTE(SUBSTITUTE(SUBSTITUTE(SUBSTITUTE(SUBSTITUTE(SUBSTITUTE(SUBSTITUTE(SUBSTITUTE(SUBSTITUTE(SUBSTITUTE(B142," ","_"),"(","_"),")","_"),".","_"),",","_"),"/","_"),"-","_"),"&amp;","_"),"Á","A"),"É","E"),"Í","I"),"Ó","O"),"Ú","U"),"Ñ","N"))</formula1>
    </dataValidation>
    <dataValidation sqref="C14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INDIRECT("PROV_"&amp;SUBSTITUTE(SUBSTITUTE(SUBSTITUTE(SUBSTITUTE(SUBSTITUTE(SUBSTITUTE(SUBSTITUTE(SUBSTITUTE(SUBSTITUTE(SUBSTITUTE(SUBSTITUTE(SUBSTITUTE(SUBSTITUTE(SUBSTITUTE(B143," ","_"),"(","_"),")","_"),".","_"),",","_"),"/","_"),"-","_"),"&amp;","_"),"Á","A"),"É","E"),"Í","I"),"Ó","O"),"Ú","U"),"Ñ","N"))</formula1>
    </dataValidation>
    <dataValidation sqref="C14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INDIRECT("PROV_"&amp;SUBSTITUTE(SUBSTITUTE(SUBSTITUTE(SUBSTITUTE(SUBSTITUTE(SUBSTITUTE(SUBSTITUTE(SUBSTITUTE(SUBSTITUTE(SUBSTITUTE(SUBSTITUTE(SUBSTITUTE(SUBSTITUTE(SUBSTITUTE(B144," ","_"),"(","_"),")","_"),".","_"),",","_"),"/","_"),"-","_"),"&amp;","_"),"Á","A"),"É","E"),"Í","I"),"Ó","O"),"Ú","U"),"Ñ","N"))</formula1>
    </dataValidation>
    <dataValidation sqref="C14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INDIRECT("PROV_"&amp;SUBSTITUTE(SUBSTITUTE(SUBSTITUTE(SUBSTITUTE(SUBSTITUTE(SUBSTITUTE(SUBSTITUTE(SUBSTITUTE(SUBSTITUTE(SUBSTITUTE(SUBSTITUTE(SUBSTITUTE(SUBSTITUTE(SUBSTITUTE(B145," ","_"),"(","_"),")","_"),".","_"),",","_"),"/","_"),"-","_"),"&amp;","_"),"Á","A"),"É","E"),"Í","I"),"Ó","O"),"Ú","U"),"Ñ","N"))</formula1>
    </dataValidation>
    <dataValidation sqref="C14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INDIRECT("PROV_"&amp;SUBSTITUTE(SUBSTITUTE(SUBSTITUTE(SUBSTITUTE(SUBSTITUTE(SUBSTITUTE(SUBSTITUTE(SUBSTITUTE(SUBSTITUTE(SUBSTITUTE(SUBSTITUTE(SUBSTITUTE(SUBSTITUTE(SUBSTITUTE(B146," ","_"),"(","_"),")","_"),".","_"),",","_"),"/","_"),"-","_"),"&amp;","_"),"Á","A"),"É","E"),"Í","I"),"Ó","O"),"Ú","U"),"Ñ","N"))</formula1>
    </dataValidation>
    <dataValidation sqref="C14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INDIRECT("PROV_"&amp;SUBSTITUTE(SUBSTITUTE(SUBSTITUTE(SUBSTITUTE(SUBSTITUTE(SUBSTITUTE(SUBSTITUTE(SUBSTITUTE(SUBSTITUTE(SUBSTITUTE(SUBSTITUTE(SUBSTITUTE(SUBSTITUTE(SUBSTITUTE(B147," ","_"),"(","_"),")","_"),".","_"),",","_"),"/","_"),"-","_"),"&amp;","_"),"Á","A"),"É","E"),"Í","I"),"Ó","O"),"Ú","U"),"Ñ","N"))</formula1>
    </dataValidation>
    <dataValidation sqref="C14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INDIRECT("PROV_"&amp;SUBSTITUTE(SUBSTITUTE(SUBSTITUTE(SUBSTITUTE(SUBSTITUTE(SUBSTITUTE(SUBSTITUTE(SUBSTITUTE(SUBSTITUTE(SUBSTITUTE(SUBSTITUTE(SUBSTITUTE(SUBSTITUTE(SUBSTITUTE(B148," ","_"),"(","_"),")","_"),".","_"),",","_"),"/","_"),"-","_"),"&amp;","_"),"Á","A"),"É","E"),"Í","I"),"Ó","O"),"Ú","U"),"Ñ","N"))</formula1>
    </dataValidation>
    <dataValidation sqref="C14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INDIRECT("PROV_"&amp;SUBSTITUTE(SUBSTITUTE(SUBSTITUTE(SUBSTITUTE(SUBSTITUTE(SUBSTITUTE(SUBSTITUTE(SUBSTITUTE(SUBSTITUTE(SUBSTITUTE(SUBSTITUTE(SUBSTITUTE(SUBSTITUTE(SUBSTITUTE(B149," ","_"),"(","_"),")","_"),".","_"),",","_"),"/","_"),"-","_"),"&amp;","_"),"Á","A"),"É","E"),"Í","I"),"Ó","O"),"Ú","U"),"Ñ","N"))</formula1>
    </dataValidation>
    <dataValidation sqref="C15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INDIRECT("PROV_"&amp;SUBSTITUTE(SUBSTITUTE(SUBSTITUTE(SUBSTITUTE(SUBSTITUTE(SUBSTITUTE(SUBSTITUTE(SUBSTITUTE(SUBSTITUTE(SUBSTITUTE(SUBSTITUTE(SUBSTITUTE(SUBSTITUTE(SUBSTITUTE(B150," ","_"),"(","_"),")","_"),".","_"),",","_"),"/","_"),"-","_"),"&amp;","_"),"Á","A"),"É","E"),"Í","I"),"Ó","O"),"Ú","U"),"Ñ","N"))</formula1>
    </dataValidation>
    <dataValidation sqref="C15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INDIRECT("PROV_"&amp;SUBSTITUTE(SUBSTITUTE(SUBSTITUTE(SUBSTITUTE(SUBSTITUTE(SUBSTITUTE(SUBSTITUTE(SUBSTITUTE(SUBSTITUTE(SUBSTITUTE(SUBSTITUTE(SUBSTITUTE(SUBSTITUTE(SUBSTITUTE(B151," ","_"),"(","_"),")","_"),".","_"),",","_"),"/","_"),"-","_"),"&amp;","_"),"Á","A"),"É","E"),"Í","I"),"Ó","O"),"Ú","U"),"Ñ","N"))</formula1>
    </dataValidation>
    <dataValidation sqref="C15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INDIRECT("PROV_"&amp;SUBSTITUTE(SUBSTITUTE(SUBSTITUTE(SUBSTITUTE(SUBSTITUTE(SUBSTITUTE(SUBSTITUTE(SUBSTITUTE(SUBSTITUTE(SUBSTITUTE(SUBSTITUTE(SUBSTITUTE(SUBSTITUTE(SUBSTITUTE(B152," ","_"),"(","_"),")","_"),".","_"),",","_"),"/","_"),"-","_"),"&amp;","_"),"Á","A"),"É","E"),"Í","I"),"Ó","O"),"Ú","U"),"Ñ","N"))</formula1>
    </dataValidation>
    <dataValidation sqref="C15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INDIRECT("PROV_"&amp;SUBSTITUTE(SUBSTITUTE(SUBSTITUTE(SUBSTITUTE(SUBSTITUTE(SUBSTITUTE(SUBSTITUTE(SUBSTITUTE(SUBSTITUTE(SUBSTITUTE(SUBSTITUTE(SUBSTITUTE(SUBSTITUTE(SUBSTITUTE(B153," ","_"),"(","_"),")","_"),".","_"),",","_"),"/","_"),"-","_"),"&amp;","_"),"Á","A"),"É","E"),"Í","I"),"Ó","O"),"Ú","U"),"Ñ","N"))</formula1>
    </dataValidation>
    <dataValidation sqref="C15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INDIRECT("PROV_"&amp;SUBSTITUTE(SUBSTITUTE(SUBSTITUTE(SUBSTITUTE(SUBSTITUTE(SUBSTITUTE(SUBSTITUTE(SUBSTITUTE(SUBSTITUTE(SUBSTITUTE(SUBSTITUTE(SUBSTITUTE(SUBSTITUTE(SUBSTITUTE(B154," ","_"),"(","_"),")","_"),".","_"),",","_"),"/","_"),"-","_"),"&amp;","_"),"Á","A"),"É","E"),"Í","I"),"Ó","O"),"Ú","U"),"Ñ","N"))</formula1>
    </dataValidation>
    <dataValidation sqref="C15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INDIRECT("PROV_"&amp;SUBSTITUTE(SUBSTITUTE(SUBSTITUTE(SUBSTITUTE(SUBSTITUTE(SUBSTITUTE(SUBSTITUTE(SUBSTITUTE(SUBSTITUTE(SUBSTITUTE(SUBSTITUTE(SUBSTITUTE(SUBSTITUTE(SUBSTITUTE(B155," ","_"),"(","_"),")","_"),".","_"),",","_"),"/","_"),"-","_"),"&amp;","_"),"Á","A"),"É","E"),"Í","I"),"Ó","O"),"Ú","U"),"Ñ","N"))</formula1>
    </dataValidation>
    <dataValidation sqref="C15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INDIRECT("PROV_"&amp;SUBSTITUTE(SUBSTITUTE(SUBSTITUTE(SUBSTITUTE(SUBSTITUTE(SUBSTITUTE(SUBSTITUTE(SUBSTITUTE(SUBSTITUTE(SUBSTITUTE(SUBSTITUTE(SUBSTITUTE(SUBSTITUTE(SUBSTITUTE(B156," ","_"),"(","_"),")","_"),".","_"),",","_"),"/","_"),"-","_"),"&amp;","_"),"Á","A"),"É","E"),"Í","I"),"Ó","O"),"Ú","U"),"Ñ","N"))</formula1>
    </dataValidation>
    <dataValidation sqref="C15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INDIRECT("PROV_"&amp;SUBSTITUTE(SUBSTITUTE(SUBSTITUTE(SUBSTITUTE(SUBSTITUTE(SUBSTITUTE(SUBSTITUTE(SUBSTITUTE(SUBSTITUTE(SUBSTITUTE(SUBSTITUTE(SUBSTITUTE(SUBSTITUTE(SUBSTITUTE(B157," ","_"),"(","_"),")","_"),".","_"),",","_"),"/","_"),"-","_"),"&amp;","_"),"Á","A"),"É","E"),"Í","I"),"Ó","O"),"Ú","U"),"Ñ","N"))</formula1>
    </dataValidation>
    <dataValidation sqref="C15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INDIRECT("PROV_"&amp;SUBSTITUTE(SUBSTITUTE(SUBSTITUTE(SUBSTITUTE(SUBSTITUTE(SUBSTITUTE(SUBSTITUTE(SUBSTITUTE(SUBSTITUTE(SUBSTITUTE(SUBSTITUTE(SUBSTITUTE(SUBSTITUTE(SUBSTITUTE(B158," ","_"),"(","_"),")","_"),".","_"),",","_"),"/","_"),"-","_"),"&amp;","_"),"Á","A"),"É","E"),"Í","I"),"Ó","O"),"Ú","U"),"Ñ","N"))</formula1>
    </dataValidation>
    <dataValidation sqref="C15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INDIRECT("PROV_"&amp;SUBSTITUTE(SUBSTITUTE(SUBSTITUTE(SUBSTITUTE(SUBSTITUTE(SUBSTITUTE(SUBSTITUTE(SUBSTITUTE(SUBSTITUTE(SUBSTITUTE(SUBSTITUTE(SUBSTITUTE(SUBSTITUTE(SUBSTITUTE(B159," ","_"),"(","_"),")","_"),".","_"),",","_"),"/","_"),"-","_"),"&amp;","_"),"Á","A"),"É","E"),"Í","I"),"Ó","O"),"Ú","U"),"Ñ","N"))</formula1>
    </dataValidation>
    <dataValidation sqref="C16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INDIRECT("PROV_"&amp;SUBSTITUTE(SUBSTITUTE(SUBSTITUTE(SUBSTITUTE(SUBSTITUTE(SUBSTITUTE(SUBSTITUTE(SUBSTITUTE(SUBSTITUTE(SUBSTITUTE(SUBSTITUTE(SUBSTITUTE(SUBSTITUTE(SUBSTITUTE(B160," ","_"),"(","_"),")","_"),".","_"),",","_"),"/","_"),"-","_"),"&amp;","_"),"Á","A"),"É","E"),"Í","I"),"Ó","O"),"Ú","U"),"Ñ","N"))</formula1>
    </dataValidation>
    <dataValidation sqref="C16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INDIRECT("PROV_"&amp;SUBSTITUTE(SUBSTITUTE(SUBSTITUTE(SUBSTITUTE(SUBSTITUTE(SUBSTITUTE(SUBSTITUTE(SUBSTITUTE(SUBSTITUTE(SUBSTITUTE(SUBSTITUTE(SUBSTITUTE(SUBSTITUTE(SUBSTITUTE(B161," ","_"),"(","_"),")","_"),".","_"),",","_"),"/","_"),"-","_"),"&amp;","_"),"Á","A"),"É","E"),"Í","I"),"Ó","O"),"Ú","U"),"Ñ","N"))</formula1>
    </dataValidation>
    <dataValidation sqref="C16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INDIRECT("PROV_"&amp;SUBSTITUTE(SUBSTITUTE(SUBSTITUTE(SUBSTITUTE(SUBSTITUTE(SUBSTITUTE(SUBSTITUTE(SUBSTITUTE(SUBSTITUTE(SUBSTITUTE(SUBSTITUTE(SUBSTITUTE(SUBSTITUTE(SUBSTITUTE(B162," ","_"),"(","_"),")","_"),".","_"),",","_"),"/","_"),"-","_"),"&amp;","_"),"Á","A"),"É","E"),"Í","I"),"Ó","O"),"Ú","U"),"Ñ","N"))</formula1>
    </dataValidation>
    <dataValidation sqref="C16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INDIRECT("PROV_"&amp;SUBSTITUTE(SUBSTITUTE(SUBSTITUTE(SUBSTITUTE(SUBSTITUTE(SUBSTITUTE(SUBSTITUTE(SUBSTITUTE(SUBSTITUTE(SUBSTITUTE(SUBSTITUTE(SUBSTITUTE(SUBSTITUTE(SUBSTITUTE(B163," ","_"),"(","_"),")","_"),".","_"),",","_"),"/","_"),"-","_"),"&amp;","_"),"Á","A"),"É","E"),"Í","I"),"Ó","O"),"Ú","U"),"Ñ","N"))</formula1>
    </dataValidation>
    <dataValidation sqref="C16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INDIRECT("PROV_"&amp;SUBSTITUTE(SUBSTITUTE(SUBSTITUTE(SUBSTITUTE(SUBSTITUTE(SUBSTITUTE(SUBSTITUTE(SUBSTITUTE(SUBSTITUTE(SUBSTITUTE(SUBSTITUTE(SUBSTITUTE(SUBSTITUTE(SUBSTITUTE(B164," ","_"),"(","_"),")","_"),".","_"),",","_"),"/","_"),"-","_"),"&amp;","_"),"Á","A"),"É","E"),"Í","I"),"Ó","O"),"Ú","U"),"Ñ","N"))</formula1>
    </dataValidation>
    <dataValidation sqref="C16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INDIRECT("PROV_"&amp;SUBSTITUTE(SUBSTITUTE(SUBSTITUTE(SUBSTITUTE(SUBSTITUTE(SUBSTITUTE(SUBSTITUTE(SUBSTITUTE(SUBSTITUTE(SUBSTITUTE(SUBSTITUTE(SUBSTITUTE(SUBSTITUTE(SUBSTITUTE(B165," ","_"),"(","_"),")","_"),".","_"),",","_"),"/","_"),"-","_"),"&amp;","_"),"Á","A"),"É","E"),"Í","I"),"Ó","O"),"Ú","U"),"Ñ","N"))</formula1>
    </dataValidation>
    <dataValidation sqref="C16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INDIRECT("PROV_"&amp;SUBSTITUTE(SUBSTITUTE(SUBSTITUTE(SUBSTITUTE(SUBSTITUTE(SUBSTITUTE(SUBSTITUTE(SUBSTITUTE(SUBSTITUTE(SUBSTITUTE(SUBSTITUTE(SUBSTITUTE(SUBSTITUTE(SUBSTITUTE(B166," ","_"),"(","_"),")","_"),".","_"),",","_"),"/","_"),"-","_"),"&amp;","_"),"Á","A"),"É","E"),"Í","I"),"Ó","O"),"Ú","U"),"Ñ","N"))</formula1>
    </dataValidation>
    <dataValidation sqref="C16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INDIRECT("PROV_"&amp;SUBSTITUTE(SUBSTITUTE(SUBSTITUTE(SUBSTITUTE(SUBSTITUTE(SUBSTITUTE(SUBSTITUTE(SUBSTITUTE(SUBSTITUTE(SUBSTITUTE(SUBSTITUTE(SUBSTITUTE(SUBSTITUTE(SUBSTITUTE(B167," ","_"),"(","_"),")","_"),".","_"),",","_"),"/","_"),"-","_"),"&amp;","_"),"Á","A"),"É","E"),"Í","I"),"Ó","O"),"Ú","U"),"Ñ","N"))</formula1>
    </dataValidation>
    <dataValidation sqref="C16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INDIRECT("PROV_"&amp;SUBSTITUTE(SUBSTITUTE(SUBSTITUTE(SUBSTITUTE(SUBSTITUTE(SUBSTITUTE(SUBSTITUTE(SUBSTITUTE(SUBSTITUTE(SUBSTITUTE(SUBSTITUTE(SUBSTITUTE(SUBSTITUTE(SUBSTITUTE(B168," ","_"),"(","_"),")","_"),".","_"),",","_"),"/","_"),"-","_"),"&amp;","_"),"Á","A"),"É","E"),"Í","I"),"Ó","O"),"Ú","U"),"Ñ","N"))</formula1>
    </dataValidation>
    <dataValidation sqref="C16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INDIRECT("PROV_"&amp;SUBSTITUTE(SUBSTITUTE(SUBSTITUTE(SUBSTITUTE(SUBSTITUTE(SUBSTITUTE(SUBSTITUTE(SUBSTITUTE(SUBSTITUTE(SUBSTITUTE(SUBSTITUTE(SUBSTITUTE(SUBSTITUTE(SUBSTITUTE(B169," ","_"),"(","_"),")","_"),".","_"),",","_"),"/","_"),"-","_"),"&amp;","_"),"Á","A"),"É","E"),"Í","I"),"Ó","O"),"Ú","U"),"Ñ","N"))</formula1>
    </dataValidation>
    <dataValidation sqref="C17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INDIRECT("PROV_"&amp;SUBSTITUTE(SUBSTITUTE(SUBSTITUTE(SUBSTITUTE(SUBSTITUTE(SUBSTITUTE(SUBSTITUTE(SUBSTITUTE(SUBSTITUTE(SUBSTITUTE(SUBSTITUTE(SUBSTITUTE(SUBSTITUTE(SUBSTITUTE(B170," ","_"),"(","_"),")","_"),".","_"),",","_"),"/","_"),"-","_"),"&amp;","_"),"Á","A"),"É","E"),"Í","I"),"Ó","O"),"Ú","U"),"Ñ","N"))</formula1>
    </dataValidation>
    <dataValidation sqref="C17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INDIRECT("PROV_"&amp;SUBSTITUTE(SUBSTITUTE(SUBSTITUTE(SUBSTITUTE(SUBSTITUTE(SUBSTITUTE(SUBSTITUTE(SUBSTITUTE(SUBSTITUTE(SUBSTITUTE(SUBSTITUTE(SUBSTITUTE(SUBSTITUTE(SUBSTITUTE(B171," ","_"),"(","_"),")","_"),".","_"),",","_"),"/","_"),"-","_"),"&amp;","_"),"Á","A"),"É","E"),"Í","I"),"Ó","O"),"Ú","U"),"Ñ","N"))</formula1>
    </dataValidation>
    <dataValidation sqref="C17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INDIRECT("PROV_"&amp;SUBSTITUTE(SUBSTITUTE(SUBSTITUTE(SUBSTITUTE(SUBSTITUTE(SUBSTITUTE(SUBSTITUTE(SUBSTITUTE(SUBSTITUTE(SUBSTITUTE(SUBSTITUTE(SUBSTITUTE(SUBSTITUTE(SUBSTITUTE(B172," ","_"),"(","_"),")","_"),".","_"),",","_"),"/","_"),"-","_"),"&amp;","_"),"Á","A"),"É","E"),"Í","I"),"Ó","O"),"Ú","U"),"Ñ","N"))</formula1>
    </dataValidation>
    <dataValidation sqref="C17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INDIRECT("PROV_"&amp;SUBSTITUTE(SUBSTITUTE(SUBSTITUTE(SUBSTITUTE(SUBSTITUTE(SUBSTITUTE(SUBSTITUTE(SUBSTITUTE(SUBSTITUTE(SUBSTITUTE(SUBSTITUTE(SUBSTITUTE(SUBSTITUTE(SUBSTITUTE(B173," ","_"),"(","_"),")","_"),".","_"),",","_"),"/","_"),"-","_"),"&amp;","_"),"Á","A"),"É","E"),"Í","I"),"Ó","O"),"Ú","U"),"Ñ","N"))</formula1>
    </dataValidation>
    <dataValidation sqref="C17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INDIRECT("PROV_"&amp;SUBSTITUTE(SUBSTITUTE(SUBSTITUTE(SUBSTITUTE(SUBSTITUTE(SUBSTITUTE(SUBSTITUTE(SUBSTITUTE(SUBSTITUTE(SUBSTITUTE(SUBSTITUTE(SUBSTITUTE(SUBSTITUTE(SUBSTITUTE(B174," ","_"),"(","_"),")","_"),".","_"),",","_"),"/","_"),"-","_"),"&amp;","_"),"Á","A"),"É","E"),"Í","I"),"Ó","O"),"Ú","U"),"Ñ","N"))</formula1>
    </dataValidation>
    <dataValidation sqref="C17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INDIRECT("PROV_"&amp;SUBSTITUTE(SUBSTITUTE(SUBSTITUTE(SUBSTITUTE(SUBSTITUTE(SUBSTITUTE(SUBSTITUTE(SUBSTITUTE(SUBSTITUTE(SUBSTITUTE(SUBSTITUTE(SUBSTITUTE(SUBSTITUTE(SUBSTITUTE(B175," ","_"),"(","_"),")","_"),".","_"),",","_"),"/","_"),"-","_"),"&amp;","_"),"Á","A"),"É","E"),"Í","I"),"Ó","O"),"Ú","U"),"Ñ","N"))</formula1>
    </dataValidation>
    <dataValidation sqref="C17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INDIRECT("PROV_"&amp;SUBSTITUTE(SUBSTITUTE(SUBSTITUTE(SUBSTITUTE(SUBSTITUTE(SUBSTITUTE(SUBSTITUTE(SUBSTITUTE(SUBSTITUTE(SUBSTITUTE(SUBSTITUTE(SUBSTITUTE(SUBSTITUTE(SUBSTITUTE(B176," ","_"),"(","_"),")","_"),".","_"),",","_"),"/","_"),"-","_"),"&amp;","_"),"Á","A"),"É","E"),"Í","I"),"Ó","O"),"Ú","U"),"Ñ","N"))</formula1>
    </dataValidation>
    <dataValidation sqref="C17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INDIRECT("PROV_"&amp;SUBSTITUTE(SUBSTITUTE(SUBSTITUTE(SUBSTITUTE(SUBSTITUTE(SUBSTITUTE(SUBSTITUTE(SUBSTITUTE(SUBSTITUTE(SUBSTITUTE(SUBSTITUTE(SUBSTITUTE(SUBSTITUTE(SUBSTITUTE(B177," ","_"),"(","_"),")","_"),".","_"),",","_"),"/","_"),"-","_"),"&amp;","_"),"Á","A"),"É","E"),"Í","I"),"Ó","O"),"Ú","U"),"Ñ","N"))</formula1>
    </dataValidation>
    <dataValidation sqref="C17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INDIRECT("PROV_"&amp;SUBSTITUTE(SUBSTITUTE(SUBSTITUTE(SUBSTITUTE(SUBSTITUTE(SUBSTITUTE(SUBSTITUTE(SUBSTITUTE(SUBSTITUTE(SUBSTITUTE(SUBSTITUTE(SUBSTITUTE(SUBSTITUTE(SUBSTITUTE(B178," ","_"),"(","_"),")","_"),".","_"),",","_"),"/","_"),"-","_"),"&amp;","_"),"Á","A"),"É","E"),"Í","I"),"Ó","O"),"Ú","U"),"Ñ","N"))</formula1>
    </dataValidation>
    <dataValidation sqref="C17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INDIRECT("PROV_"&amp;SUBSTITUTE(SUBSTITUTE(SUBSTITUTE(SUBSTITUTE(SUBSTITUTE(SUBSTITUTE(SUBSTITUTE(SUBSTITUTE(SUBSTITUTE(SUBSTITUTE(SUBSTITUTE(SUBSTITUTE(SUBSTITUTE(SUBSTITUTE(B179," ","_"),"(","_"),")","_"),".","_"),",","_"),"/","_"),"-","_"),"&amp;","_"),"Á","A"),"É","E"),"Í","I"),"Ó","O"),"Ú","U"),"Ñ","N"))</formula1>
    </dataValidation>
    <dataValidation sqref="C18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INDIRECT("PROV_"&amp;SUBSTITUTE(SUBSTITUTE(SUBSTITUTE(SUBSTITUTE(SUBSTITUTE(SUBSTITUTE(SUBSTITUTE(SUBSTITUTE(SUBSTITUTE(SUBSTITUTE(SUBSTITUTE(SUBSTITUTE(SUBSTITUTE(SUBSTITUTE(B180," ","_"),"(","_"),")","_"),".","_"),",","_"),"/","_"),"-","_"),"&amp;","_"),"Á","A"),"É","E"),"Í","I"),"Ó","O"),"Ú","U"),"Ñ","N"))</formula1>
    </dataValidation>
    <dataValidation sqref="C18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INDIRECT("PROV_"&amp;SUBSTITUTE(SUBSTITUTE(SUBSTITUTE(SUBSTITUTE(SUBSTITUTE(SUBSTITUTE(SUBSTITUTE(SUBSTITUTE(SUBSTITUTE(SUBSTITUTE(SUBSTITUTE(SUBSTITUTE(SUBSTITUTE(SUBSTITUTE(B181," ","_"),"(","_"),")","_"),".","_"),",","_"),"/","_"),"-","_"),"&amp;","_"),"Á","A"),"É","E"),"Í","I"),"Ó","O"),"Ú","U"),"Ñ","N"))</formula1>
    </dataValidation>
    <dataValidation sqref="C18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INDIRECT("PROV_"&amp;SUBSTITUTE(SUBSTITUTE(SUBSTITUTE(SUBSTITUTE(SUBSTITUTE(SUBSTITUTE(SUBSTITUTE(SUBSTITUTE(SUBSTITUTE(SUBSTITUTE(SUBSTITUTE(SUBSTITUTE(SUBSTITUTE(SUBSTITUTE(B182," ","_"),"(","_"),")","_"),".","_"),",","_"),"/","_"),"-","_"),"&amp;","_"),"Á","A"),"É","E"),"Í","I"),"Ó","O"),"Ú","U"),"Ñ","N"))</formula1>
    </dataValidation>
    <dataValidation sqref="C18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INDIRECT("PROV_"&amp;SUBSTITUTE(SUBSTITUTE(SUBSTITUTE(SUBSTITUTE(SUBSTITUTE(SUBSTITUTE(SUBSTITUTE(SUBSTITUTE(SUBSTITUTE(SUBSTITUTE(SUBSTITUTE(SUBSTITUTE(SUBSTITUTE(SUBSTITUTE(B183," ","_"),"(","_"),")","_"),".","_"),",","_"),"/","_"),"-","_"),"&amp;","_"),"Á","A"),"É","E"),"Í","I"),"Ó","O"),"Ú","U"),"Ñ","N"))</formula1>
    </dataValidation>
    <dataValidation sqref="C18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INDIRECT("PROV_"&amp;SUBSTITUTE(SUBSTITUTE(SUBSTITUTE(SUBSTITUTE(SUBSTITUTE(SUBSTITUTE(SUBSTITUTE(SUBSTITUTE(SUBSTITUTE(SUBSTITUTE(SUBSTITUTE(SUBSTITUTE(SUBSTITUTE(SUBSTITUTE(B184," ","_"),"(","_"),")","_"),".","_"),",","_"),"/","_"),"-","_"),"&amp;","_"),"Á","A"),"É","E"),"Í","I"),"Ó","O"),"Ú","U"),"Ñ","N"))</formula1>
    </dataValidation>
    <dataValidation sqref="C18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INDIRECT("PROV_"&amp;SUBSTITUTE(SUBSTITUTE(SUBSTITUTE(SUBSTITUTE(SUBSTITUTE(SUBSTITUTE(SUBSTITUTE(SUBSTITUTE(SUBSTITUTE(SUBSTITUTE(SUBSTITUTE(SUBSTITUTE(SUBSTITUTE(SUBSTITUTE(B185," ","_"),"(","_"),")","_"),".","_"),",","_"),"/","_"),"-","_"),"&amp;","_"),"Á","A"),"É","E"),"Í","I"),"Ó","O"),"Ú","U"),"Ñ","N"))</formula1>
    </dataValidation>
    <dataValidation sqref="C18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INDIRECT("PROV_"&amp;SUBSTITUTE(SUBSTITUTE(SUBSTITUTE(SUBSTITUTE(SUBSTITUTE(SUBSTITUTE(SUBSTITUTE(SUBSTITUTE(SUBSTITUTE(SUBSTITUTE(SUBSTITUTE(SUBSTITUTE(SUBSTITUTE(SUBSTITUTE(B186," ","_"),"(","_"),")","_"),".","_"),",","_"),"/","_"),"-","_"),"&amp;","_"),"Á","A"),"É","E"),"Í","I"),"Ó","O"),"Ú","U"),"Ñ","N"))</formula1>
    </dataValidation>
    <dataValidation sqref="C18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INDIRECT("PROV_"&amp;SUBSTITUTE(SUBSTITUTE(SUBSTITUTE(SUBSTITUTE(SUBSTITUTE(SUBSTITUTE(SUBSTITUTE(SUBSTITUTE(SUBSTITUTE(SUBSTITUTE(SUBSTITUTE(SUBSTITUTE(SUBSTITUTE(SUBSTITUTE(B187," ","_"),"(","_"),")","_"),".","_"),",","_"),"/","_"),"-","_"),"&amp;","_"),"Á","A"),"É","E"),"Í","I"),"Ó","O"),"Ú","U"),"Ñ","N"))</formula1>
    </dataValidation>
    <dataValidation sqref="C18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INDIRECT("PROV_"&amp;SUBSTITUTE(SUBSTITUTE(SUBSTITUTE(SUBSTITUTE(SUBSTITUTE(SUBSTITUTE(SUBSTITUTE(SUBSTITUTE(SUBSTITUTE(SUBSTITUTE(SUBSTITUTE(SUBSTITUTE(SUBSTITUTE(SUBSTITUTE(B188," ","_"),"(","_"),")","_"),".","_"),",","_"),"/","_"),"-","_"),"&amp;","_"),"Á","A"),"É","E"),"Í","I"),"Ó","O"),"Ú","U"),"Ñ","N"))</formula1>
    </dataValidation>
    <dataValidation sqref="C18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INDIRECT("PROV_"&amp;SUBSTITUTE(SUBSTITUTE(SUBSTITUTE(SUBSTITUTE(SUBSTITUTE(SUBSTITUTE(SUBSTITUTE(SUBSTITUTE(SUBSTITUTE(SUBSTITUTE(SUBSTITUTE(SUBSTITUTE(SUBSTITUTE(SUBSTITUTE(B189," ","_"),"(","_"),")","_"),".","_"),",","_"),"/","_"),"-","_"),"&amp;","_"),"Á","A"),"É","E"),"Í","I"),"Ó","O"),"Ú","U"),"Ñ","N"))</formula1>
    </dataValidation>
    <dataValidation sqref="C19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INDIRECT("PROV_"&amp;SUBSTITUTE(SUBSTITUTE(SUBSTITUTE(SUBSTITUTE(SUBSTITUTE(SUBSTITUTE(SUBSTITUTE(SUBSTITUTE(SUBSTITUTE(SUBSTITUTE(SUBSTITUTE(SUBSTITUTE(SUBSTITUTE(SUBSTITUTE(B190," ","_"),"(","_"),")","_"),".","_"),",","_"),"/","_"),"-","_"),"&amp;","_"),"Á","A"),"É","E"),"Í","I"),"Ó","O"),"Ú","U"),"Ñ","N"))</formula1>
    </dataValidation>
    <dataValidation sqref="C19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INDIRECT("PROV_"&amp;SUBSTITUTE(SUBSTITUTE(SUBSTITUTE(SUBSTITUTE(SUBSTITUTE(SUBSTITUTE(SUBSTITUTE(SUBSTITUTE(SUBSTITUTE(SUBSTITUTE(SUBSTITUTE(SUBSTITUTE(SUBSTITUTE(SUBSTITUTE(B191," ","_"),"(","_"),")","_"),".","_"),",","_"),"/","_"),"-","_"),"&amp;","_"),"Á","A"),"É","E"),"Í","I"),"Ó","O"),"Ú","U"),"Ñ","N"))</formula1>
    </dataValidation>
    <dataValidation sqref="C19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INDIRECT("PROV_"&amp;SUBSTITUTE(SUBSTITUTE(SUBSTITUTE(SUBSTITUTE(SUBSTITUTE(SUBSTITUTE(SUBSTITUTE(SUBSTITUTE(SUBSTITUTE(SUBSTITUTE(SUBSTITUTE(SUBSTITUTE(SUBSTITUTE(SUBSTITUTE(B192," ","_"),"(","_"),")","_"),".","_"),",","_"),"/","_"),"-","_"),"&amp;","_"),"Á","A"),"É","E"),"Í","I"),"Ó","O"),"Ú","U"),"Ñ","N"))</formula1>
    </dataValidation>
    <dataValidation sqref="C19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INDIRECT("PROV_"&amp;SUBSTITUTE(SUBSTITUTE(SUBSTITUTE(SUBSTITUTE(SUBSTITUTE(SUBSTITUTE(SUBSTITUTE(SUBSTITUTE(SUBSTITUTE(SUBSTITUTE(SUBSTITUTE(SUBSTITUTE(SUBSTITUTE(SUBSTITUTE(B193," ","_"),"(","_"),")","_"),".","_"),",","_"),"/","_"),"-","_"),"&amp;","_"),"Á","A"),"É","E"),"Í","I"),"Ó","O"),"Ú","U"),"Ñ","N"))</formula1>
    </dataValidation>
    <dataValidation sqref="C19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INDIRECT("PROV_"&amp;SUBSTITUTE(SUBSTITUTE(SUBSTITUTE(SUBSTITUTE(SUBSTITUTE(SUBSTITUTE(SUBSTITUTE(SUBSTITUTE(SUBSTITUTE(SUBSTITUTE(SUBSTITUTE(SUBSTITUTE(SUBSTITUTE(SUBSTITUTE(B194," ","_"),"(","_"),")","_"),".","_"),",","_"),"/","_"),"-","_"),"&amp;","_"),"Á","A"),"É","E"),"Í","I"),"Ó","O"),"Ú","U"),"Ñ","N"))</formula1>
    </dataValidation>
    <dataValidation sqref="C19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INDIRECT("PROV_"&amp;SUBSTITUTE(SUBSTITUTE(SUBSTITUTE(SUBSTITUTE(SUBSTITUTE(SUBSTITUTE(SUBSTITUTE(SUBSTITUTE(SUBSTITUTE(SUBSTITUTE(SUBSTITUTE(SUBSTITUTE(SUBSTITUTE(SUBSTITUTE(B195," ","_"),"(","_"),")","_"),".","_"),",","_"),"/","_"),"-","_"),"&amp;","_"),"Á","A"),"É","E"),"Í","I"),"Ó","O"),"Ú","U"),"Ñ","N"))</formula1>
    </dataValidation>
    <dataValidation sqref="C19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INDIRECT("PROV_"&amp;SUBSTITUTE(SUBSTITUTE(SUBSTITUTE(SUBSTITUTE(SUBSTITUTE(SUBSTITUTE(SUBSTITUTE(SUBSTITUTE(SUBSTITUTE(SUBSTITUTE(SUBSTITUTE(SUBSTITUTE(SUBSTITUTE(SUBSTITUTE(B196," ","_"),"(","_"),")","_"),".","_"),",","_"),"/","_"),"-","_"),"&amp;","_"),"Á","A"),"É","E"),"Í","I"),"Ó","O"),"Ú","U"),"Ñ","N"))</formula1>
    </dataValidation>
    <dataValidation sqref="C19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INDIRECT("PROV_"&amp;SUBSTITUTE(SUBSTITUTE(SUBSTITUTE(SUBSTITUTE(SUBSTITUTE(SUBSTITUTE(SUBSTITUTE(SUBSTITUTE(SUBSTITUTE(SUBSTITUTE(SUBSTITUTE(SUBSTITUTE(SUBSTITUTE(SUBSTITUTE(B197," ","_"),"(","_"),")","_"),".","_"),",","_"),"/","_"),"-","_"),"&amp;","_"),"Á","A"),"É","E"),"Í","I"),"Ó","O"),"Ú","U"),"Ñ","N"))</formula1>
    </dataValidation>
    <dataValidation sqref="C19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INDIRECT("PROV_"&amp;SUBSTITUTE(SUBSTITUTE(SUBSTITUTE(SUBSTITUTE(SUBSTITUTE(SUBSTITUTE(SUBSTITUTE(SUBSTITUTE(SUBSTITUTE(SUBSTITUTE(SUBSTITUTE(SUBSTITUTE(SUBSTITUTE(SUBSTITUTE(B198," ","_"),"(","_"),")","_"),".","_"),",","_"),"/","_"),"-","_"),"&amp;","_"),"Á","A"),"É","E"),"Í","I"),"Ó","O"),"Ú","U"),"Ñ","N"))</formula1>
    </dataValidation>
    <dataValidation sqref="C19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INDIRECT("PROV_"&amp;SUBSTITUTE(SUBSTITUTE(SUBSTITUTE(SUBSTITUTE(SUBSTITUTE(SUBSTITUTE(SUBSTITUTE(SUBSTITUTE(SUBSTITUTE(SUBSTITUTE(SUBSTITUTE(SUBSTITUTE(SUBSTITUTE(SUBSTITUTE(B199," ","_"),"(","_"),")","_"),".","_"),",","_"),"/","_"),"-","_"),"&amp;","_"),"Á","A"),"É","E"),"Í","I"),"Ó","O"),"Ú","U"),"Ñ","N"))</formula1>
    </dataValidation>
    <dataValidation sqref="C20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INDIRECT("PROV_"&amp;SUBSTITUTE(SUBSTITUTE(SUBSTITUTE(SUBSTITUTE(SUBSTITUTE(SUBSTITUTE(SUBSTITUTE(SUBSTITUTE(SUBSTITUTE(SUBSTITUTE(SUBSTITUTE(SUBSTITUTE(SUBSTITUTE(SUBSTITUTE(B200," ","_"),"(","_"),")","_"),".","_"),",","_"),"/","_"),"-","_"),"&amp;","_"),"Á","A"),"É","E"),"Í","I"),"Ó","O"),"Ú","U"),"Ñ","N"))</formula1>
    </dataValidation>
    <dataValidation sqref="C20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INDIRECT("PROV_"&amp;SUBSTITUTE(SUBSTITUTE(SUBSTITUTE(SUBSTITUTE(SUBSTITUTE(SUBSTITUTE(SUBSTITUTE(SUBSTITUTE(SUBSTITUTE(SUBSTITUTE(SUBSTITUTE(SUBSTITUTE(SUBSTITUTE(SUBSTITUTE(B201," ","_"),"(","_"),")","_"),".","_"),",","_"),"/","_"),"-","_"),"&amp;","_"),"Á","A"),"É","E"),"Í","I"),"Ó","O"),"Ú","U"),"Ñ","N"))</formula1>
    </dataValidation>
    <dataValidation sqref="C20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INDIRECT("PROV_"&amp;SUBSTITUTE(SUBSTITUTE(SUBSTITUTE(SUBSTITUTE(SUBSTITUTE(SUBSTITUTE(SUBSTITUTE(SUBSTITUTE(SUBSTITUTE(SUBSTITUTE(SUBSTITUTE(SUBSTITUTE(SUBSTITUTE(SUBSTITUTE(B202," ","_"),"(","_"),")","_"),".","_"),",","_"),"/","_"),"-","_"),"&amp;","_"),"Á","A"),"É","E"),"Í","I"),"Ó","O"),"Ú","U"),"Ñ","N"))</formula1>
    </dataValidation>
    <dataValidation sqref="C20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INDIRECT("PROV_"&amp;SUBSTITUTE(SUBSTITUTE(SUBSTITUTE(SUBSTITUTE(SUBSTITUTE(SUBSTITUTE(SUBSTITUTE(SUBSTITUTE(SUBSTITUTE(SUBSTITUTE(SUBSTITUTE(SUBSTITUTE(SUBSTITUTE(SUBSTITUTE(B203," ","_"),"(","_"),")","_"),".","_"),",","_"),"/","_"),"-","_"),"&amp;","_"),"Á","A"),"É","E"),"Í","I"),"Ó","O"),"Ú","U"),"Ñ","N"))</formula1>
    </dataValidation>
    <dataValidation sqref="C20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INDIRECT("PROV_"&amp;SUBSTITUTE(SUBSTITUTE(SUBSTITUTE(SUBSTITUTE(SUBSTITUTE(SUBSTITUTE(SUBSTITUTE(SUBSTITUTE(SUBSTITUTE(SUBSTITUTE(SUBSTITUTE(SUBSTITUTE(SUBSTITUTE(SUBSTITUTE(B204," ","_"),"(","_"),")","_"),".","_"),",","_"),"/","_"),"-","_"),"&amp;","_"),"Á","A"),"É","E"),"Í","I"),"Ó","O"),"Ú","U"),"Ñ","N"))</formula1>
    </dataValidation>
    <dataValidation sqref="C20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INDIRECT("PROV_"&amp;SUBSTITUTE(SUBSTITUTE(SUBSTITUTE(SUBSTITUTE(SUBSTITUTE(SUBSTITUTE(SUBSTITUTE(SUBSTITUTE(SUBSTITUTE(SUBSTITUTE(SUBSTITUTE(SUBSTITUTE(SUBSTITUTE(SUBSTITUTE(B205," ","_"),"(","_"),")","_"),".","_"),",","_"),"/","_"),"-","_"),"&amp;","_"),"Á","A"),"É","E"),"Í","I"),"Ó","O"),"Ú","U"),"Ñ","N"))</formula1>
    </dataValidation>
    <dataValidation sqref="C20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INDIRECT("PROV_"&amp;SUBSTITUTE(SUBSTITUTE(SUBSTITUTE(SUBSTITUTE(SUBSTITUTE(SUBSTITUTE(SUBSTITUTE(SUBSTITUTE(SUBSTITUTE(SUBSTITUTE(SUBSTITUTE(SUBSTITUTE(SUBSTITUTE(SUBSTITUTE(B206," ","_"),"(","_"),")","_"),".","_"),",","_"),"/","_"),"-","_"),"&amp;","_"),"Á","A"),"É","E"),"Í","I"),"Ó","O"),"Ú","U"),"Ñ","N"))</formula1>
    </dataValidation>
    <dataValidation sqref="C20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INDIRECT("PROV_"&amp;SUBSTITUTE(SUBSTITUTE(SUBSTITUTE(SUBSTITUTE(SUBSTITUTE(SUBSTITUTE(SUBSTITUTE(SUBSTITUTE(SUBSTITUTE(SUBSTITUTE(SUBSTITUTE(SUBSTITUTE(SUBSTITUTE(SUBSTITUTE(B207," ","_"),"(","_"),")","_"),".","_"),",","_"),"/","_"),"-","_"),"&amp;","_"),"Á","A"),"É","E"),"Í","I"),"Ó","O"),"Ú","U"),"Ñ","N"))</formula1>
    </dataValidation>
    <dataValidation sqref="C20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INDIRECT("PROV_"&amp;SUBSTITUTE(SUBSTITUTE(SUBSTITUTE(SUBSTITUTE(SUBSTITUTE(SUBSTITUTE(SUBSTITUTE(SUBSTITUTE(SUBSTITUTE(SUBSTITUTE(SUBSTITUTE(SUBSTITUTE(SUBSTITUTE(SUBSTITUTE(B208," ","_"),"(","_"),")","_"),".","_"),",","_"),"/","_"),"-","_"),"&amp;","_"),"Á","A"),"É","E"),"Í","I"),"Ó","O"),"Ú","U"),"Ñ","N"))</formula1>
    </dataValidation>
    <dataValidation sqref="C20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INDIRECT("PROV_"&amp;SUBSTITUTE(SUBSTITUTE(SUBSTITUTE(SUBSTITUTE(SUBSTITUTE(SUBSTITUTE(SUBSTITUTE(SUBSTITUTE(SUBSTITUTE(SUBSTITUTE(SUBSTITUTE(SUBSTITUTE(SUBSTITUTE(SUBSTITUTE(B209," ","_"),"(","_"),")","_"),".","_"),",","_"),"/","_"),"-","_"),"&amp;","_"),"Á","A"),"É","E"),"Í","I"),"Ó","O"),"Ú","U"),"Ñ","N"))</formula1>
    </dataValidation>
    <dataValidation sqref="C21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INDIRECT("PROV_"&amp;SUBSTITUTE(SUBSTITUTE(SUBSTITUTE(SUBSTITUTE(SUBSTITUTE(SUBSTITUTE(SUBSTITUTE(SUBSTITUTE(SUBSTITUTE(SUBSTITUTE(SUBSTITUTE(SUBSTITUTE(SUBSTITUTE(SUBSTITUTE(B210," ","_"),"(","_"),")","_"),".","_"),",","_"),"/","_"),"-","_"),"&amp;","_"),"Á","A"),"É","E"),"Í","I"),"Ó","O"),"Ú","U"),"Ñ","N"))</formula1>
    </dataValidation>
    <dataValidation sqref="C21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INDIRECT("PROV_"&amp;SUBSTITUTE(SUBSTITUTE(SUBSTITUTE(SUBSTITUTE(SUBSTITUTE(SUBSTITUTE(SUBSTITUTE(SUBSTITUTE(SUBSTITUTE(SUBSTITUTE(SUBSTITUTE(SUBSTITUTE(SUBSTITUTE(SUBSTITUTE(B211," ","_"),"(","_"),")","_"),".","_"),",","_"),"/","_"),"-","_"),"&amp;","_"),"Á","A"),"É","E"),"Í","I"),"Ó","O"),"Ú","U"),"Ñ","N"))</formula1>
    </dataValidation>
    <dataValidation sqref="C21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INDIRECT("PROV_"&amp;SUBSTITUTE(SUBSTITUTE(SUBSTITUTE(SUBSTITUTE(SUBSTITUTE(SUBSTITUTE(SUBSTITUTE(SUBSTITUTE(SUBSTITUTE(SUBSTITUTE(SUBSTITUTE(SUBSTITUTE(SUBSTITUTE(SUBSTITUTE(B212," ","_"),"(","_"),")","_"),".","_"),",","_"),"/","_"),"-","_"),"&amp;","_"),"Á","A"),"É","E"),"Í","I"),"Ó","O"),"Ú","U"),"Ñ","N"))</formula1>
    </dataValidation>
    <dataValidation sqref="C21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INDIRECT("PROV_"&amp;SUBSTITUTE(SUBSTITUTE(SUBSTITUTE(SUBSTITUTE(SUBSTITUTE(SUBSTITUTE(SUBSTITUTE(SUBSTITUTE(SUBSTITUTE(SUBSTITUTE(SUBSTITUTE(SUBSTITUTE(SUBSTITUTE(SUBSTITUTE(B213," ","_"),"(","_"),")","_"),".","_"),",","_"),"/","_"),"-","_"),"&amp;","_"),"Á","A"),"É","E"),"Í","I"),"Ó","O"),"Ú","U"),"Ñ","N"))</formula1>
    </dataValidation>
    <dataValidation sqref="C21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INDIRECT("PROV_"&amp;SUBSTITUTE(SUBSTITUTE(SUBSTITUTE(SUBSTITUTE(SUBSTITUTE(SUBSTITUTE(SUBSTITUTE(SUBSTITUTE(SUBSTITUTE(SUBSTITUTE(SUBSTITUTE(SUBSTITUTE(SUBSTITUTE(SUBSTITUTE(B214," ","_"),"(","_"),")","_"),".","_"),",","_"),"/","_"),"-","_"),"&amp;","_"),"Á","A"),"É","E"),"Í","I"),"Ó","O"),"Ú","U"),"Ñ","N"))</formula1>
    </dataValidation>
    <dataValidation sqref="C21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INDIRECT("PROV_"&amp;SUBSTITUTE(SUBSTITUTE(SUBSTITUTE(SUBSTITUTE(SUBSTITUTE(SUBSTITUTE(SUBSTITUTE(SUBSTITUTE(SUBSTITUTE(SUBSTITUTE(SUBSTITUTE(SUBSTITUTE(SUBSTITUTE(SUBSTITUTE(B215," ","_"),"(","_"),")","_"),".","_"),",","_"),"/","_"),"-","_"),"&amp;","_"),"Á","A"),"É","E"),"Í","I"),"Ó","O"),"Ú","U"),"Ñ","N"))</formula1>
    </dataValidation>
    <dataValidation sqref="C21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INDIRECT("PROV_"&amp;SUBSTITUTE(SUBSTITUTE(SUBSTITUTE(SUBSTITUTE(SUBSTITUTE(SUBSTITUTE(SUBSTITUTE(SUBSTITUTE(SUBSTITUTE(SUBSTITUTE(SUBSTITUTE(SUBSTITUTE(SUBSTITUTE(SUBSTITUTE(B216," ","_"),"(","_"),")","_"),".","_"),",","_"),"/","_"),"-","_"),"&amp;","_"),"Á","A"),"É","E"),"Í","I"),"Ó","O"),"Ú","U"),"Ñ","N"))</formula1>
    </dataValidation>
    <dataValidation sqref="C21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INDIRECT("PROV_"&amp;SUBSTITUTE(SUBSTITUTE(SUBSTITUTE(SUBSTITUTE(SUBSTITUTE(SUBSTITUTE(SUBSTITUTE(SUBSTITUTE(SUBSTITUTE(SUBSTITUTE(SUBSTITUTE(SUBSTITUTE(SUBSTITUTE(SUBSTITUTE(B217," ","_"),"(","_"),")","_"),".","_"),",","_"),"/","_"),"-","_"),"&amp;","_"),"Á","A"),"É","E"),"Í","I"),"Ó","O"),"Ú","U"),"Ñ","N"))</formula1>
    </dataValidation>
    <dataValidation sqref="C21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INDIRECT("PROV_"&amp;SUBSTITUTE(SUBSTITUTE(SUBSTITUTE(SUBSTITUTE(SUBSTITUTE(SUBSTITUTE(SUBSTITUTE(SUBSTITUTE(SUBSTITUTE(SUBSTITUTE(SUBSTITUTE(SUBSTITUTE(SUBSTITUTE(SUBSTITUTE(B218," ","_"),"(","_"),")","_"),".","_"),",","_"),"/","_"),"-","_"),"&amp;","_"),"Á","A"),"É","E"),"Í","I"),"Ó","O"),"Ú","U"),"Ñ","N"))</formula1>
    </dataValidation>
    <dataValidation sqref="C21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INDIRECT("PROV_"&amp;SUBSTITUTE(SUBSTITUTE(SUBSTITUTE(SUBSTITUTE(SUBSTITUTE(SUBSTITUTE(SUBSTITUTE(SUBSTITUTE(SUBSTITUTE(SUBSTITUTE(SUBSTITUTE(SUBSTITUTE(SUBSTITUTE(SUBSTITUTE(B219," ","_"),"(","_"),")","_"),".","_"),",","_"),"/","_"),"-","_"),"&amp;","_"),"Á","A"),"É","E"),"Í","I"),"Ó","O"),"Ú","U"),"Ñ","N"))</formula1>
    </dataValidation>
    <dataValidation sqref="C22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INDIRECT("PROV_"&amp;SUBSTITUTE(SUBSTITUTE(SUBSTITUTE(SUBSTITUTE(SUBSTITUTE(SUBSTITUTE(SUBSTITUTE(SUBSTITUTE(SUBSTITUTE(SUBSTITUTE(SUBSTITUTE(SUBSTITUTE(SUBSTITUTE(SUBSTITUTE(B220," ","_"),"(","_"),")","_"),".","_"),",","_"),"/","_"),"-","_"),"&amp;","_"),"Á","A"),"É","E"),"Í","I"),"Ó","O"),"Ú","U"),"Ñ","N"))</formula1>
    </dataValidation>
    <dataValidation sqref="C22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INDIRECT("PROV_"&amp;SUBSTITUTE(SUBSTITUTE(SUBSTITUTE(SUBSTITUTE(SUBSTITUTE(SUBSTITUTE(SUBSTITUTE(SUBSTITUTE(SUBSTITUTE(SUBSTITUTE(SUBSTITUTE(SUBSTITUTE(SUBSTITUTE(SUBSTITUTE(B221," ","_"),"(","_"),")","_"),".","_"),",","_"),"/","_"),"-","_"),"&amp;","_"),"Á","A"),"É","E"),"Í","I"),"Ó","O"),"Ú","U"),"Ñ","N"))</formula1>
    </dataValidation>
    <dataValidation sqref="C22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INDIRECT("PROV_"&amp;SUBSTITUTE(SUBSTITUTE(SUBSTITUTE(SUBSTITUTE(SUBSTITUTE(SUBSTITUTE(SUBSTITUTE(SUBSTITUTE(SUBSTITUTE(SUBSTITUTE(SUBSTITUTE(SUBSTITUTE(SUBSTITUTE(SUBSTITUTE(B222," ","_"),"(","_"),")","_"),".","_"),",","_"),"/","_"),"-","_"),"&amp;","_"),"Á","A"),"É","E"),"Í","I"),"Ó","O"),"Ú","U"),"Ñ","N"))</formula1>
    </dataValidation>
    <dataValidation sqref="C22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INDIRECT("PROV_"&amp;SUBSTITUTE(SUBSTITUTE(SUBSTITUTE(SUBSTITUTE(SUBSTITUTE(SUBSTITUTE(SUBSTITUTE(SUBSTITUTE(SUBSTITUTE(SUBSTITUTE(SUBSTITUTE(SUBSTITUTE(SUBSTITUTE(SUBSTITUTE(B223," ","_"),"(","_"),")","_"),".","_"),",","_"),"/","_"),"-","_"),"&amp;","_"),"Á","A"),"É","E"),"Í","I"),"Ó","O"),"Ú","U"),"Ñ","N"))</formula1>
    </dataValidation>
    <dataValidation sqref="C22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INDIRECT("PROV_"&amp;SUBSTITUTE(SUBSTITUTE(SUBSTITUTE(SUBSTITUTE(SUBSTITUTE(SUBSTITUTE(SUBSTITUTE(SUBSTITUTE(SUBSTITUTE(SUBSTITUTE(SUBSTITUTE(SUBSTITUTE(SUBSTITUTE(SUBSTITUTE(B224," ","_"),"(","_"),")","_"),".","_"),",","_"),"/","_"),"-","_"),"&amp;","_"),"Á","A"),"É","E"),"Í","I"),"Ó","O"),"Ú","U"),"Ñ","N"))</formula1>
    </dataValidation>
    <dataValidation sqref="C22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INDIRECT("PROV_"&amp;SUBSTITUTE(SUBSTITUTE(SUBSTITUTE(SUBSTITUTE(SUBSTITUTE(SUBSTITUTE(SUBSTITUTE(SUBSTITUTE(SUBSTITUTE(SUBSTITUTE(SUBSTITUTE(SUBSTITUTE(SUBSTITUTE(SUBSTITUTE(B225," ","_"),"(","_"),")","_"),".","_"),",","_"),"/","_"),"-","_"),"&amp;","_"),"Á","A"),"É","E"),"Í","I"),"Ó","O"),"Ú","U"),"Ñ","N"))</formula1>
    </dataValidation>
    <dataValidation sqref="C22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INDIRECT("PROV_"&amp;SUBSTITUTE(SUBSTITUTE(SUBSTITUTE(SUBSTITUTE(SUBSTITUTE(SUBSTITUTE(SUBSTITUTE(SUBSTITUTE(SUBSTITUTE(SUBSTITUTE(SUBSTITUTE(SUBSTITUTE(SUBSTITUTE(SUBSTITUTE(B226," ","_"),"(","_"),")","_"),".","_"),",","_"),"/","_"),"-","_"),"&amp;","_"),"Á","A"),"É","E"),"Í","I"),"Ó","O"),"Ú","U"),"Ñ","N"))</formula1>
    </dataValidation>
    <dataValidation sqref="C22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INDIRECT("PROV_"&amp;SUBSTITUTE(SUBSTITUTE(SUBSTITUTE(SUBSTITUTE(SUBSTITUTE(SUBSTITUTE(SUBSTITUTE(SUBSTITUTE(SUBSTITUTE(SUBSTITUTE(SUBSTITUTE(SUBSTITUTE(SUBSTITUTE(SUBSTITUTE(B227," ","_"),"(","_"),")","_"),".","_"),",","_"),"/","_"),"-","_"),"&amp;","_"),"Á","A"),"É","E"),"Í","I"),"Ó","O"),"Ú","U"),"Ñ","N"))</formula1>
    </dataValidation>
    <dataValidation sqref="C22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INDIRECT("PROV_"&amp;SUBSTITUTE(SUBSTITUTE(SUBSTITUTE(SUBSTITUTE(SUBSTITUTE(SUBSTITUTE(SUBSTITUTE(SUBSTITUTE(SUBSTITUTE(SUBSTITUTE(SUBSTITUTE(SUBSTITUTE(SUBSTITUTE(SUBSTITUTE(B228," ","_"),"(","_"),")","_"),".","_"),",","_"),"/","_"),"-","_"),"&amp;","_"),"Á","A"),"É","E"),"Í","I"),"Ó","O"),"Ú","U"),"Ñ","N"))</formula1>
    </dataValidation>
    <dataValidation sqref="C22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INDIRECT("PROV_"&amp;SUBSTITUTE(SUBSTITUTE(SUBSTITUTE(SUBSTITUTE(SUBSTITUTE(SUBSTITUTE(SUBSTITUTE(SUBSTITUTE(SUBSTITUTE(SUBSTITUTE(SUBSTITUTE(SUBSTITUTE(SUBSTITUTE(SUBSTITUTE(B229," ","_"),"(","_"),")","_"),".","_"),",","_"),"/","_"),"-","_"),"&amp;","_"),"Á","A"),"É","E"),"Í","I"),"Ó","O"),"Ú","U"),"Ñ","N"))</formula1>
    </dataValidation>
    <dataValidation sqref="C23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INDIRECT("PROV_"&amp;SUBSTITUTE(SUBSTITUTE(SUBSTITUTE(SUBSTITUTE(SUBSTITUTE(SUBSTITUTE(SUBSTITUTE(SUBSTITUTE(SUBSTITUTE(SUBSTITUTE(SUBSTITUTE(SUBSTITUTE(SUBSTITUTE(SUBSTITUTE(B230," ","_"),"(","_"),")","_"),".","_"),",","_"),"/","_"),"-","_"),"&amp;","_"),"Á","A"),"É","E"),"Í","I"),"Ó","O"),"Ú","U"),"Ñ","N"))</formula1>
    </dataValidation>
    <dataValidation sqref="C23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INDIRECT("PROV_"&amp;SUBSTITUTE(SUBSTITUTE(SUBSTITUTE(SUBSTITUTE(SUBSTITUTE(SUBSTITUTE(SUBSTITUTE(SUBSTITUTE(SUBSTITUTE(SUBSTITUTE(SUBSTITUTE(SUBSTITUTE(SUBSTITUTE(SUBSTITUTE(B231," ","_"),"(","_"),")","_"),".","_"),",","_"),"/","_"),"-","_"),"&amp;","_"),"Á","A"),"É","E"),"Í","I"),"Ó","O"),"Ú","U"),"Ñ","N"))</formula1>
    </dataValidation>
    <dataValidation sqref="C23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INDIRECT("PROV_"&amp;SUBSTITUTE(SUBSTITUTE(SUBSTITUTE(SUBSTITUTE(SUBSTITUTE(SUBSTITUTE(SUBSTITUTE(SUBSTITUTE(SUBSTITUTE(SUBSTITUTE(SUBSTITUTE(SUBSTITUTE(SUBSTITUTE(SUBSTITUTE(B232," ","_"),"(","_"),")","_"),".","_"),",","_"),"/","_"),"-","_"),"&amp;","_"),"Á","A"),"É","E"),"Í","I"),"Ó","O"),"Ú","U"),"Ñ","N"))</formula1>
    </dataValidation>
    <dataValidation sqref="C23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INDIRECT("PROV_"&amp;SUBSTITUTE(SUBSTITUTE(SUBSTITUTE(SUBSTITUTE(SUBSTITUTE(SUBSTITUTE(SUBSTITUTE(SUBSTITUTE(SUBSTITUTE(SUBSTITUTE(SUBSTITUTE(SUBSTITUTE(SUBSTITUTE(SUBSTITUTE(B233," ","_"),"(","_"),")","_"),".","_"),",","_"),"/","_"),"-","_"),"&amp;","_"),"Á","A"),"É","E"),"Í","I"),"Ó","O"),"Ú","U"),"Ñ","N"))</formula1>
    </dataValidation>
    <dataValidation sqref="C23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INDIRECT("PROV_"&amp;SUBSTITUTE(SUBSTITUTE(SUBSTITUTE(SUBSTITUTE(SUBSTITUTE(SUBSTITUTE(SUBSTITUTE(SUBSTITUTE(SUBSTITUTE(SUBSTITUTE(SUBSTITUTE(SUBSTITUTE(SUBSTITUTE(SUBSTITUTE(B234," ","_"),"(","_"),")","_"),".","_"),",","_"),"/","_"),"-","_"),"&amp;","_"),"Á","A"),"É","E"),"Í","I"),"Ó","O"),"Ú","U"),"Ñ","N"))</formula1>
    </dataValidation>
    <dataValidation sqref="C23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INDIRECT("PROV_"&amp;SUBSTITUTE(SUBSTITUTE(SUBSTITUTE(SUBSTITUTE(SUBSTITUTE(SUBSTITUTE(SUBSTITUTE(SUBSTITUTE(SUBSTITUTE(SUBSTITUTE(SUBSTITUTE(SUBSTITUTE(SUBSTITUTE(SUBSTITUTE(B235," ","_"),"(","_"),")","_"),".","_"),",","_"),"/","_"),"-","_"),"&amp;","_"),"Á","A"),"É","E"),"Í","I"),"Ó","O"),"Ú","U"),"Ñ","N"))</formula1>
    </dataValidation>
    <dataValidation sqref="C23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INDIRECT("PROV_"&amp;SUBSTITUTE(SUBSTITUTE(SUBSTITUTE(SUBSTITUTE(SUBSTITUTE(SUBSTITUTE(SUBSTITUTE(SUBSTITUTE(SUBSTITUTE(SUBSTITUTE(SUBSTITUTE(SUBSTITUTE(SUBSTITUTE(SUBSTITUTE(B236," ","_"),"(","_"),")","_"),".","_"),",","_"),"/","_"),"-","_"),"&amp;","_"),"Á","A"),"É","E"),"Í","I"),"Ó","O"),"Ú","U"),"Ñ","N"))</formula1>
    </dataValidation>
    <dataValidation sqref="C23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INDIRECT("PROV_"&amp;SUBSTITUTE(SUBSTITUTE(SUBSTITUTE(SUBSTITUTE(SUBSTITUTE(SUBSTITUTE(SUBSTITUTE(SUBSTITUTE(SUBSTITUTE(SUBSTITUTE(SUBSTITUTE(SUBSTITUTE(SUBSTITUTE(SUBSTITUTE(B237," ","_"),"(","_"),")","_"),".","_"),",","_"),"/","_"),"-","_"),"&amp;","_"),"Á","A"),"É","E"),"Í","I"),"Ó","O"),"Ú","U"),"Ñ","N"))</formula1>
    </dataValidation>
    <dataValidation sqref="C23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INDIRECT("PROV_"&amp;SUBSTITUTE(SUBSTITUTE(SUBSTITUTE(SUBSTITUTE(SUBSTITUTE(SUBSTITUTE(SUBSTITUTE(SUBSTITUTE(SUBSTITUTE(SUBSTITUTE(SUBSTITUTE(SUBSTITUTE(SUBSTITUTE(SUBSTITUTE(B238," ","_"),"(","_"),")","_"),".","_"),",","_"),"/","_"),"-","_"),"&amp;","_"),"Á","A"),"É","E"),"Í","I"),"Ó","O"),"Ú","U"),"Ñ","N"))</formula1>
    </dataValidation>
    <dataValidation sqref="C23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INDIRECT("PROV_"&amp;SUBSTITUTE(SUBSTITUTE(SUBSTITUTE(SUBSTITUTE(SUBSTITUTE(SUBSTITUTE(SUBSTITUTE(SUBSTITUTE(SUBSTITUTE(SUBSTITUTE(SUBSTITUTE(SUBSTITUTE(SUBSTITUTE(SUBSTITUTE(B239," ","_"),"(","_"),")","_"),".","_"),",","_"),"/","_"),"-","_"),"&amp;","_"),"Á","A"),"É","E"),"Í","I"),"Ó","O"),"Ú","U"),"Ñ","N"))</formula1>
    </dataValidation>
    <dataValidation sqref="C24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INDIRECT("PROV_"&amp;SUBSTITUTE(SUBSTITUTE(SUBSTITUTE(SUBSTITUTE(SUBSTITUTE(SUBSTITUTE(SUBSTITUTE(SUBSTITUTE(SUBSTITUTE(SUBSTITUTE(SUBSTITUTE(SUBSTITUTE(SUBSTITUTE(SUBSTITUTE(B240," ","_"),"(","_"),")","_"),".","_"),",","_"),"/","_"),"-","_"),"&amp;","_"),"Á","A"),"É","E"),"Í","I"),"Ó","O"),"Ú","U"),"Ñ","N"))</formula1>
    </dataValidation>
    <dataValidation sqref="C24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INDIRECT("PROV_"&amp;SUBSTITUTE(SUBSTITUTE(SUBSTITUTE(SUBSTITUTE(SUBSTITUTE(SUBSTITUTE(SUBSTITUTE(SUBSTITUTE(SUBSTITUTE(SUBSTITUTE(SUBSTITUTE(SUBSTITUTE(SUBSTITUTE(SUBSTITUTE(B241," ","_"),"(","_"),")","_"),".","_"),",","_"),"/","_"),"-","_"),"&amp;","_"),"Á","A"),"É","E"),"Í","I"),"Ó","O"),"Ú","U"),"Ñ","N"))</formula1>
    </dataValidation>
    <dataValidation sqref="C24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INDIRECT("PROV_"&amp;SUBSTITUTE(SUBSTITUTE(SUBSTITUTE(SUBSTITUTE(SUBSTITUTE(SUBSTITUTE(SUBSTITUTE(SUBSTITUTE(SUBSTITUTE(SUBSTITUTE(SUBSTITUTE(SUBSTITUTE(SUBSTITUTE(SUBSTITUTE(B242," ","_"),"(","_"),")","_"),".","_"),",","_"),"/","_"),"-","_"),"&amp;","_"),"Á","A"),"É","E"),"Í","I"),"Ó","O"),"Ú","U"),"Ñ","N"))</formula1>
    </dataValidation>
    <dataValidation sqref="C24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INDIRECT("PROV_"&amp;SUBSTITUTE(SUBSTITUTE(SUBSTITUTE(SUBSTITUTE(SUBSTITUTE(SUBSTITUTE(SUBSTITUTE(SUBSTITUTE(SUBSTITUTE(SUBSTITUTE(SUBSTITUTE(SUBSTITUTE(SUBSTITUTE(SUBSTITUTE(B243," ","_"),"(","_"),")","_"),".","_"),",","_"),"/","_"),"-","_"),"&amp;","_"),"Á","A"),"É","E"),"Í","I"),"Ó","O"),"Ú","U"),"Ñ","N"))</formula1>
    </dataValidation>
    <dataValidation sqref="C24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INDIRECT("PROV_"&amp;SUBSTITUTE(SUBSTITUTE(SUBSTITUTE(SUBSTITUTE(SUBSTITUTE(SUBSTITUTE(SUBSTITUTE(SUBSTITUTE(SUBSTITUTE(SUBSTITUTE(SUBSTITUTE(SUBSTITUTE(SUBSTITUTE(SUBSTITUTE(B244," ","_"),"(","_"),")","_"),".","_"),",","_"),"/","_"),"-","_"),"&amp;","_"),"Á","A"),"É","E"),"Í","I"),"Ó","O"),"Ú","U"),"Ñ","N"))</formula1>
    </dataValidation>
    <dataValidation sqref="C245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INDIRECT("PROV_"&amp;SUBSTITUTE(SUBSTITUTE(SUBSTITUTE(SUBSTITUTE(SUBSTITUTE(SUBSTITUTE(SUBSTITUTE(SUBSTITUTE(SUBSTITUTE(SUBSTITUTE(SUBSTITUTE(SUBSTITUTE(SUBSTITUTE(SUBSTITUTE(B245," ","_"),"(","_"),")","_"),".","_"),",","_"),"/","_"),"-","_"),"&amp;","_"),"Á","A"),"É","E"),"Í","I"),"Ó","O"),"Ú","U"),"Ñ","N"))</formula1>
    </dataValidation>
    <dataValidation sqref="C246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INDIRECT("PROV_"&amp;SUBSTITUTE(SUBSTITUTE(SUBSTITUTE(SUBSTITUTE(SUBSTITUTE(SUBSTITUTE(SUBSTITUTE(SUBSTITUTE(SUBSTITUTE(SUBSTITUTE(SUBSTITUTE(SUBSTITUTE(SUBSTITUTE(SUBSTITUTE(B246," ","_"),"(","_"),")","_"),".","_"),",","_"),"/","_"),"-","_"),"&amp;","_"),"Á","A"),"É","E"),"Í","I"),"Ó","O"),"Ú","U"),"Ñ","N"))</formula1>
    </dataValidation>
    <dataValidation sqref="C247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INDIRECT("PROV_"&amp;SUBSTITUTE(SUBSTITUTE(SUBSTITUTE(SUBSTITUTE(SUBSTITUTE(SUBSTITUTE(SUBSTITUTE(SUBSTITUTE(SUBSTITUTE(SUBSTITUTE(SUBSTITUTE(SUBSTITUTE(SUBSTITUTE(SUBSTITUTE(B247," ","_"),"(","_"),")","_"),".","_"),",","_"),"/","_"),"-","_"),"&amp;","_"),"Á","A"),"É","E"),"Í","I"),"Ó","O"),"Ú","U"),"Ñ","N"))</formula1>
    </dataValidation>
    <dataValidation sqref="C248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INDIRECT("PROV_"&amp;SUBSTITUTE(SUBSTITUTE(SUBSTITUTE(SUBSTITUTE(SUBSTITUTE(SUBSTITUTE(SUBSTITUTE(SUBSTITUTE(SUBSTITUTE(SUBSTITUTE(SUBSTITUTE(SUBSTITUTE(SUBSTITUTE(SUBSTITUTE(B248," ","_"),"(","_"),")","_"),".","_"),",","_"),"/","_"),"-","_"),"&amp;","_"),"Á","A"),"É","E"),"Í","I"),"Ó","O"),"Ú","U"),"Ñ","N"))</formula1>
    </dataValidation>
    <dataValidation sqref="C249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INDIRECT("PROV_"&amp;SUBSTITUTE(SUBSTITUTE(SUBSTITUTE(SUBSTITUTE(SUBSTITUTE(SUBSTITUTE(SUBSTITUTE(SUBSTITUTE(SUBSTITUTE(SUBSTITUTE(SUBSTITUTE(SUBSTITUTE(SUBSTITUTE(SUBSTITUTE(B249," ","_"),"(","_"),")","_"),".","_"),",","_"),"/","_"),"-","_"),"&amp;","_"),"Á","A"),"É","E"),"Í","I"),"Ó","O"),"Ú","U"),"Ñ","N"))</formula1>
    </dataValidation>
    <dataValidation sqref="C250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INDIRECT("PROV_"&amp;SUBSTITUTE(SUBSTITUTE(SUBSTITUTE(SUBSTITUTE(SUBSTITUTE(SUBSTITUTE(SUBSTITUTE(SUBSTITUTE(SUBSTITUTE(SUBSTITUTE(SUBSTITUTE(SUBSTITUTE(SUBSTITUTE(SUBSTITUTE(B250," ","_"),"(","_"),")","_"),".","_"),",","_"),"/","_"),"-","_"),"&amp;","_"),"Á","A"),"É","E"),"Í","I"),"Ó","O"),"Ú","U"),"Ñ","N"))</formula1>
    </dataValidation>
    <dataValidation sqref="C251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INDIRECT("PROV_"&amp;SUBSTITUTE(SUBSTITUTE(SUBSTITUTE(SUBSTITUTE(SUBSTITUTE(SUBSTITUTE(SUBSTITUTE(SUBSTITUTE(SUBSTITUTE(SUBSTITUTE(SUBSTITUTE(SUBSTITUTE(SUBSTITUTE(SUBSTITUTE(B251," ","_"),"(","_"),")","_"),".","_"),",","_"),"/","_"),"-","_"),"&amp;","_"),"Á","A"),"É","E"),"Í","I"),"Ó","O"),"Ú","U"),"Ñ","N"))</formula1>
    </dataValidation>
    <dataValidation sqref="C252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INDIRECT("PROV_"&amp;SUBSTITUTE(SUBSTITUTE(SUBSTITUTE(SUBSTITUTE(SUBSTITUTE(SUBSTITUTE(SUBSTITUTE(SUBSTITUTE(SUBSTITUTE(SUBSTITUTE(SUBSTITUTE(SUBSTITUTE(SUBSTITUTE(SUBSTITUTE(B252," ","_"),"(","_"),")","_"),".","_"),",","_"),"/","_"),"-","_"),"&amp;","_"),"Á","A"),"É","E"),"Í","I"),"Ó","O"),"Ú","U"),"Ñ","N"))</formula1>
    </dataValidation>
    <dataValidation sqref="C253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INDIRECT("PROV_"&amp;SUBSTITUTE(SUBSTITUTE(SUBSTITUTE(SUBSTITUTE(SUBSTITUTE(SUBSTITUTE(SUBSTITUTE(SUBSTITUTE(SUBSTITUTE(SUBSTITUTE(SUBSTITUTE(SUBSTITUTE(SUBSTITUTE(SUBSTITUTE(B253," ","_"),"(","_"),")","_"),".","_"),",","_"),"/","_"),"-","_"),"&amp;","_"),"Á","A"),"É","E"),"Í","I"),"Ó","O"),"Ú","U"),"Ñ","N"))</formula1>
    </dataValidation>
    <dataValidation sqref="C254" showDropDown="0" showInputMessage="0" showErrorMessage="1" allowBlank="1" errorTitle="Servicio no está en la Maestra" error="Este servicio no existe en la Maestra. Puedes continuar si es un registro manual." type="list" errorStyle="warning">
      <formula1>INDIRECT("PROV_"&amp;SUBSTITUTE(SUBSTITUTE(SUBSTITUTE(SUBSTITUTE(SUBSTITUTE(SUBSTITUTE(SUBSTITUTE(SUBSTITUTE(SUBSTITUTE(SUBSTITUTE(SUBSTITUTE(SUBSTITUTE(SUBSTITUTE(SUBSTITUTE(B254," ","_"),"(","_"),")","_"),".","_"),",","_"),"/","_"),"-","_"),"&amp;","_"),"Á","A"),"É","E"),"Í","I"),"Ó","O"),"Ú","U"),"Ñ","N"))</formula1>
    </dataValidation>
    <dataValidation sqref="J4:J254" showDropDown="0" showInputMessage="0" showErrorMessage="0" allowBlank="1" type="list">
      <formula1>"Calle 100,Aeropuerto,Buenaventura,Cartagena,Barranquilla,Medellín,Cali,Transversal,Puertos"</formula1>
    </dataValidation>
    <dataValidation sqref="R4:R254" showDropDown="0" showInputMessage="0" showErrorMessage="0" allowBlank="1" type="list">
      <formula1>"Aprobado,Pendiente,Rechazado"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4"/>
  <sheetViews>
    <sheetView zoomScaleNormal="100" workbookViewId="0">
      <pane ySplit="3" topLeftCell="A4" activePane="bottomLeft" state="frozen"/>
      <selection pane="bottomLeft" activeCell="A1" sqref="A1:M1"/>
    </sheetView>
  </sheetViews>
  <sheetFormatPr baseColWidth="10" defaultColWidth="8.7109375" defaultRowHeight="15"/>
  <cols>
    <col width="5" customWidth="1" min="1" max="1"/>
    <col width="40" customWidth="1" min="2" max="2"/>
    <col width="38" customWidth="1" min="3" max="3"/>
    <col width="8" customWidth="1" min="4" max="4"/>
    <col width="22" customWidth="1" min="5" max="6"/>
    <col width="28" customWidth="1" min="7" max="7"/>
    <col width="35" customWidth="1" min="8" max="8"/>
    <col width="14" customWidth="1" min="9" max="9"/>
    <col width="12" customWidth="1" min="10" max="10"/>
    <col width="16" customWidth="1" min="11" max="11"/>
    <col width="14" customWidth="1" min="12" max="13"/>
  </cols>
  <sheetData>
    <row r="1" ht="30" customHeight="1">
      <c r="A1" s="53" t="inlineStr">
        <is>
          <t>ARCHIVO PLANO NO PAGAR — PARA CONTABILIDAD  |  Generado automáticamente desde REGISTRO NO PAGAR</t>
        </is>
      </c>
    </row>
    <row r="2" ht="24.75" customHeight="1"/>
    <row r="3" ht="21.75" customHeight="1">
      <c r="A3" s="42" t="inlineStr">
        <is>
          <t>N°</t>
        </is>
      </c>
      <c r="B3" s="42" t="inlineStr">
        <is>
          <t>Proveedor</t>
        </is>
      </c>
      <c r="C3" s="42" t="inlineStr">
        <is>
          <t>Servicio</t>
        </is>
      </c>
      <c r="D3" s="42" t="inlineStr">
        <is>
          <t>Área</t>
        </is>
      </c>
      <c r="E3" s="42" t="inlineStr">
        <is>
          <t>P&amp;L</t>
        </is>
      </c>
      <c r="F3" s="42" t="inlineStr">
        <is>
          <t>Cuenta Contable</t>
        </is>
      </c>
      <c r="G3" s="42" t="inlineStr">
        <is>
          <t>Glosa</t>
        </is>
      </c>
      <c r="H3" s="42" t="inlineStr">
        <is>
          <t>Detalle del Gasto</t>
        </is>
      </c>
      <c r="I3" s="42" t="inlineStr">
        <is>
          <t>Sucursal</t>
        </is>
      </c>
      <c r="J3" s="42" t="inlineStr">
        <is>
          <t>N° Factura</t>
        </is>
      </c>
      <c r="K3" s="42" t="inlineStr">
        <is>
          <t>Fecha Realización Eventos</t>
        </is>
      </c>
      <c r="L3" s="42" t="inlineStr">
        <is>
          <t>Monto</t>
        </is>
      </c>
      <c r="M3" s="42" t="inlineStr">
        <is>
          <t>Mes Ejecución</t>
        </is>
      </c>
    </row>
    <row r="4" ht="15" customHeight="1">
      <c r="A4" s="74">
        <f>IF('REGISTRO NO PAGAR'!B4="","",'REGISTRO NO PAGAR'!A4)</f>
        <v/>
      </c>
      <c r="B4" s="74">
        <f>IF('REGISTRO NO PAGAR'!B4="","",'REGISTRO NO PAGAR'!B4)</f>
        <v/>
      </c>
      <c r="C4" s="74">
        <f>IF('REGISTRO NO PAGAR'!B4="","",'REGISTRO NO PAGAR'!C4)</f>
        <v/>
      </c>
      <c r="D4" s="74">
        <f>IF('REGISTRO NO PAGAR'!B4="","",'REGISTRO NO PAGAR'!D4)</f>
        <v/>
      </c>
      <c r="E4" s="74">
        <f>IF('REGISTRO NO PAGAR'!B4="","",'REGISTRO NO PAGAR'!E4)</f>
        <v/>
      </c>
      <c r="F4" s="74">
        <f>IF('REGISTRO NO PAGAR'!B4="","",'REGISTRO NO PAGAR'!F4)</f>
        <v/>
      </c>
      <c r="G4" s="74">
        <f>IF('REGISTRO NO PAGAR'!B4="","",'REGISTRO NO PAGAR'!G4)</f>
        <v/>
      </c>
      <c r="H4" s="74">
        <f>IF('REGISTRO NO PAGAR'!B4="","",'REGISTRO NO PAGAR'!I4)</f>
        <v/>
      </c>
      <c r="I4" s="74">
        <f>IF('REGISTRO NO PAGAR'!B4="","",'REGISTRO NO PAGAR'!J4)</f>
        <v/>
      </c>
      <c r="J4" s="74">
        <f>IF('REGISTRO NO PAGAR'!B4="","",'REGISTRO NO PAGAR'!K4)</f>
        <v/>
      </c>
      <c r="K4" s="77">
        <f>IF('REGISTRO NO PAGAR'!B4="","",'REGISTRO NO PAGAR'!M4)</f>
        <v/>
      </c>
      <c r="L4" s="75">
        <f>IF('REGISTRO NO PAGAR'!B4="","",'REGISTRO NO PAGAR'!N4)</f>
        <v/>
      </c>
      <c r="M4" s="74">
        <f>IF('REGISTRO NO PAGAR'!B4="","",'REGISTRO NO PAGAR'!T4)</f>
        <v/>
      </c>
    </row>
    <row r="5" ht="15" customHeight="1">
      <c r="A5" s="74">
        <f>IF('REGISTRO NO PAGAR'!B5="","",'REGISTRO NO PAGAR'!A5)</f>
        <v/>
      </c>
      <c r="B5" s="74">
        <f>IF('REGISTRO NO PAGAR'!B5="","",'REGISTRO NO PAGAR'!B5)</f>
        <v/>
      </c>
      <c r="C5" s="74">
        <f>IF('REGISTRO NO PAGAR'!B5="","",'REGISTRO NO PAGAR'!C5)</f>
        <v/>
      </c>
      <c r="D5" s="74">
        <f>IF('REGISTRO NO PAGAR'!B5="","",'REGISTRO NO PAGAR'!D5)</f>
        <v/>
      </c>
      <c r="E5" s="74">
        <f>IF('REGISTRO NO PAGAR'!B5="","",'REGISTRO NO PAGAR'!E5)</f>
        <v/>
      </c>
      <c r="F5" s="74">
        <f>IF('REGISTRO NO PAGAR'!B5="","",'REGISTRO NO PAGAR'!F5)</f>
        <v/>
      </c>
      <c r="G5" s="74">
        <f>IF('REGISTRO NO PAGAR'!B5="","",'REGISTRO NO PAGAR'!G5)</f>
        <v/>
      </c>
      <c r="H5" s="74">
        <f>IF('REGISTRO NO PAGAR'!B5="","",'REGISTRO NO PAGAR'!I5)</f>
        <v/>
      </c>
      <c r="I5" s="74">
        <f>IF('REGISTRO NO PAGAR'!B5="","",'REGISTRO NO PAGAR'!J5)</f>
        <v/>
      </c>
      <c r="J5" s="74">
        <f>IF('REGISTRO NO PAGAR'!B5="","",'REGISTRO NO PAGAR'!K5)</f>
        <v/>
      </c>
      <c r="K5" s="74">
        <f>IF('REGISTRO NO PAGAR'!B5="","",'REGISTRO NO PAGAR'!M5)</f>
        <v/>
      </c>
      <c r="L5" s="75">
        <f>IF('REGISTRO NO PAGAR'!B5="","",'REGISTRO NO PAGAR'!N5)</f>
        <v/>
      </c>
      <c r="M5" s="74">
        <f>IF('REGISTRO NO PAGAR'!B5="","",'REGISTRO NO PAGAR'!T5)</f>
        <v/>
      </c>
    </row>
    <row r="6" ht="15" customHeight="1">
      <c r="A6" s="74">
        <f>IF('REGISTRO NO PAGAR'!B6="","",'REGISTRO NO PAGAR'!A6)</f>
        <v/>
      </c>
      <c r="B6" s="74">
        <f>IF('REGISTRO NO PAGAR'!B6="","",'REGISTRO NO PAGAR'!B6)</f>
        <v/>
      </c>
      <c r="C6" s="74">
        <f>IF('REGISTRO NO PAGAR'!B6="","",'REGISTRO NO PAGAR'!C6)</f>
        <v/>
      </c>
      <c r="D6" s="74">
        <f>IF('REGISTRO NO PAGAR'!B6="","",'REGISTRO NO PAGAR'!D6)</f>
        <v/>
      </c>
      <c r="E6" s="74">
        <f>IF('REGISTRO NO PAGAR'!B6="","",'REGISTRO NO PAGAR'!E6)</f>
        <v/>
      </c>
      <c r="F6" s="74">
        <f>IF('REGISTRO NO PAGAR'!B6="","",'REGISTRO NO PAGAR'!F6)</f>
        <v/>
      </c>
      <c r="G6" s="74">
        <f>IF('REGISTRO NO PAGAR'!B6="","",'REGISTRO NO PAGAR'!G6)</f>
        <v/>
      </c>
      <c r="H6" s="74">
        <f>IF('REGISTRO NO PAGAR'!B6="","",'REGISTRO NO PAGAR'!I6)</f>
        <v/>
      </c>
      <c r="I6" s="74">
        <f>IF('REGISTRO NO PAGAR'!B6="","",'REGISTRO NO PAGAR'!J6)</f>
        <v/>
      </c>
      <c r="J6" s="74">
        <f>IF('REGISTRO NO PAGAR'!B6="","",'REGISTRO NO PAGAR'!K6)</f>
        <v/>
      </c>
      <c r="K6" s="74">
        <f>IF('REGISTRO NO PAGAR'!B6="","",'REGISTRO NO PAGAR'!M6)</f>
        <v/>
      </c>
      <c r="L6" s="75">
        <f>IF('REGISTRO NO PAGAR'!B6="","",'REGISTRO NO PAGAR'!N6)</f>
        <v/>
      </c>
      <c r="M6" s="74">
        <f>IF('REGISTRO NO PAGAR'!B6="","",'REGISTRO NO PAGAR'!T6)</f>
        <v/>
      </c>
    </row>
    <row r="7" ht="15" customHeight="1">
      <c r="A7" s="74">
        <f>IF('REGISTRO NO PAGAR'!B7="","",'REGISTRO NO PAGAR'!A7)</f>
        <v/>
      </c>
      <c r="B7" s="74">
        <f>IF('REGISTRO NO PAGAR'!B7="","",'REGISTRO NO PAGAR'!B7)</f>
        <v/>
      </c>
      <c r="C7" s="74">
        <f>IF('REGISTRO NO PAGAR'!B7="","",'REGISTRO NO PAGAR'!C7)</f>
        <v/>
      </c>
      <c r="D7" s="74">
        <f>IF('REGISTRO NO PAGAR'!B7="","",'REGISTRO NO PAGAR'!D7)</f>
        <v/>
      </c>
      <c r="E7" s="74">
        <f>IF('REGISTRO NO PAGAR'!B7="","",'REGISTRO NO PAGAR'!E7)</f>
        <v/>
      </c>
      <c r="F7" s="74">
        <f>IF('REGISTRO NO PAGAR'!B7="","",'REGISTRO NO PAGAR'!F7)</f>
        <v/>
      </c>
      <c r="G7" s="74">
        <f>IF('REGISTRO NO PAGAR'!B7="","",'REGISTRO NO PAGAR'!G7)</f>
        <v/>
      </c>
      <c r="H7" s="74">
        <f>IF('REGISTRO NO PAGAR'!B7="","",'REGISTRO NO PAGAR'!I7)</f>
        <v/>
      </c>
      <c r="I7" s="74">
        <f>IF('REGISTRO NO PAGAR'!B7="","",'REGISTRO NO PAGAR'!J7)</f>
        <v/>
      </c>
      <c r="J7" s="74">
        <f>IF('REGISTRO NO PAGAR'!B7="","",'REGISTRO NO PAGAR'!K7)</f>
        <v/>
      </c>
      <c r="K7" s="74">
        <f>IF('REGISTRO NO PAGAR'!B7="","",'REGISTRO NO PAGAR'!M7)</f>
        <v/>
      </c>
      <c r="L7" s="75">
        <f>IF('REGISTRO NO PAGAR'!B7="","",'REGISTRO NO PAGAR'!N7)</f>
        <v/>
      </c>
      <c r="M7" s="74">
        <f>IF('REGISTRO NO PAGAR'!B7="","",'REGISTRO NO PAGAR'!T7)</f>
        <v/>
      </c>
    </row>
    <row r="8" ht="15" customHeight="1">
      <c r="A8" s="74">
        <f>IF('REGISTRO NO PAGAR'!B8="","",'REGISTRO NO PAGAR'!A8)</f>
        <v/>
      </c>
      <c r="B8" s="74">
        <f>IF('REGISTRO NO PAGAR'!B8="","",'REGISTRO NO PAGAR'!B8)</f>
        <v/>
      </c>
      <c r="C8" s="74">
        <f>IF('REGISTRO NO PAGAR'!B8="","",'REGISTRO NO PAGAR'!C8)</f>
        <v/>
      </c>
      <c r="D8" s="74">
        <f>IF('REGISTRO NO PAGAR'!B8="","",'REGISTRO NO PAGAR'!D8)</f>
        <v/>
      </c>
      <c r="E8" s="74">
        <f>IF('REGISTRO NO PAGAR'!B8="","",'REGISTRO NO PAGAR'!E8)</f>
        <v/>
      </c>
      <c r="F8" s="74">
        <f>IF('REGISTRO NO PAGAR'!B8="","",'REGISTRO NO PAGAR'!F8)</f>
        <v/>
      </c>
      <c r="G8" s="74">
        <f>IF('REGISTRO NO PAGAR'!B8="","",'REGISTRO NO PAGAR'!G8)</f>
        <v/>
      </c>
      <c r="H8" s="74">
        <f>IF('REGISTRO NO PAGAR'!B8="","",'REGISTRO NO PAGAR'!I8)</f>
        <v/>
      </c>
      <c r="I8" s="74">
        <f>IF('REGISTRO NO PAGAR'!B8="","",'REGISTRO NO PAGAR'!J8)</f>
        <v/>
      </c>
      <c r="J8" s="74">
        <f>IF('REGISTRO NO PAGAR'!B8="","",'REGISTRO NO PAGAR'!K8)</f>
        <v/>
      </c>
      <c r="K8" s="74">
        <f>IF('REGISTRO NO PAGAR'!B8="","",'REGISTRO NO PAGAR'!M8)</f>
        <v/>
      </c>
      <c r="L8" s="75">
        <f>IF('REGISTRO NO PAGAR'!B8="","",'REGISTRO NO PAGAR'!N8)</f>
        <v/>
      </c>
      <c r="M8" s="74">
        <f>IF('REGISTRO NO PAGAR'!B8="","",'REGISTRO NO PAGAR'!T8)</f>
        <v/>
      </c>
    </row>
    <row r="9" ht="15" customHeight="1">
      <c r="A9" s="74">
        <f>IF('REGISTRO NO PAGAR'!B9="","",'REGISTRO NO PAGAR'!A9)</f>
        <v/>
      </c>
      <c r="B9" s="74">
        <f>IF('REGISTRO NO PAGAR'!B9="","",'REGISTRO NO PAGAR'!B9)</f>
        <v/>
      </c>
      <c r="C9" s="74">
        <f>IF('REGISTRO NO PAGAR'!B9="","",'REGISTRO NO PAGAR'!C9)</f>
        <v/>
      </c>
      <c r="D9" s="74">
        <f>IF('REGISTRO NO PAGAR'!B9="","",'REGISTRO NO PAGAR'!D9)</f>
        <v/>
      </c>
      <c r="E9" s="74">
        <f>IF('REGISTRO NO PAGAR'!B9="","",'REGISTRO NO PAGAR'!E9)</f>
        <v/>
      </c>
      <c r="F9" s="74">
        <f>IF('REGISTRO NO PAGAR'!B9="","",'REGISTRO NO PAGAR'!F9)</f>
        <v/>
      </c>
      <c r="G9" s="74">
        <f>IF('REGISTRO NO PAGAR'!B9="","",'REGISTRO NO PAGAR'!G9)</f>
        <v/>
      </c>
      <c r="H9" s="74">
        <f>IF('REGISTRO NO PAGAR'!B9="","",'REGISTRO NO PAGAR'!I9)</f>
        <v/>
      </c>
      <c r="I9" s="74">
        <f>IF('REGISTRO NO PAGAR'!B9="","",'REGISTRO NO PAGAR'!J9)</f>
        <v/>
      </c>
      <c r="J9" s="74">
        <f>IF('REGISTRO NO PAGAR'!B9="","",'REGISTRO NO PAGAR'!K9)</f>
        <v/>
      </c>
      <c r="K9" s="74">
        <f>IF('REGISTRO NO PAGAR'!B9="","",'REGISTRO NO PAGAR'!M9)</f>
        <v/>
      </c>
      <c r="L9" s="75">
        <f>IF('REGISTRO NO PAGAR'!B9="","",'REGISTRO NO PAGAR'!N9)</f>
        <v/>
      </c>
      <c r="M9" s="74">
        <f>IF('REGISTRO NO PAGAR'!B9="","",'REGISTRO NO PAGAR'!T9)</f>
        <v/>
      </c>
    </row>
    <row r="10" ht="15" customHeight="1">
      <c r="A10" s="74">
        <f>IF('REGISTRO NO PAGAR'!B10="","",'REGISTRO NO PAGAR'!A10)</f>
        <v/>
      </c>
      <c r="B10" s="74">
        <f>IF('REGISTRO NO PAGAR'!B10="","",'REGISTRO NO PAGAR'!B10)</f>
        <v/>
      </c>
      <c r="C10" s="74">
        <f>IF('REGISTRO NO PAGAR'!B10="","",'REGISTRO NO PAGAR'!C10)</f>
        <v/>
      </c>
      <c r="D10" s="74">
        <f>IF('REGISTRO NO PAGAR'!B10="","",'REGISTRO NO PAGAR'!D10)</f>
        <v/>
      </c>
      <c r="E10" s="74">
        <f>IF('REGISTRO NO PAGAR'!B10="","",'REGISTRO NO PAGAR'!E10)</f>
        <v/>
      </c>
      <c r="F10" s="74">
        <f>IF('REGISTRO NO PAGAR'!B10="","",'REGISTRO NO PAGAR'!F10)</f>
        <v/>
      </c>
      <c r="G10" s="74">
        <f>IF('REGISTRO NO PAGAR'!B10="","",'REGISTRO NO PAGAR'!G10)</f>
        <v/>
      </c>
      <c r="H10" s="74">
        <f>IF('REGISTRO NO PAGAR'!B10="","",'REGISTRO NO PAGAR'!I10)</f>
        <v/>
      </c>
      <c r="I10" s="74">
        <f>IF('REGISTRO NO PAGAR'!B10="","",'REGISTRO NO PAGAR'!J10)</f>
        <v/>
      </c>
      <c r="J10" s="74">
        <f>IF('REGISTRO NO PAGAR'!B10="","",'REGISTRO NO PAGAR'!K10)</f>
        <v/>
      </c>
      <c r="K10" s="74">
        <f>IF('REGISTRO NO PAGAR'!B10="","",'REGISTRO NO PAGAR'!M10)</f>
        <v/>
      </c>
      <c r="L10" s="75">
        <f>IF('REGISTRO NO PAGAR'!B10="","",'REGISTRO NO PAGAR'!N10)</f>
        <v/>
      </c>
      <c r="M10" s="74">
        <f>IF('REGISTRO NO PAGAR'!B10="","",'REGISTRO NO PAGAR'!T10)</f>
        <v/>
      </c>
    </row>
    <row r="11" ht="15" customHeight="1">
      <c r="A11" s="74">
        <f>IF('REGISTRO NO PAGAR'!B11="","",'REGISTRO NO PAGAR'!A11)</f>
        <v/>
      </c>
      <c r="B11" s="74">
        <f>IF('REGISTRO NO PAGAR'!B11="","",'REGISTRO NO PAGAR'!B11)</f>
        <v/>
      </c>
      <c r="C11" s="74">
        <f>IF('REGISTRO NO PAGAR'!B11="","",'REGISTRO NO PAGAR'!C11)</f>
        <v/>
      </c>
      <c r="D11" s="74">
        <f>IF('REGISTRO NO PAGAR'!B11="","",'REGISTRO NO PAGAR'!D11)</f>
        <v/>
      </c>
      <c r="E11" s="74">
        <f>IF('REGISTRO NO PAGAR'!B11="","",'REGISTRO NO PAGAR'!E11)</f>
        <v/>
      </c>
      <c r="F11" s="74">
        <f>IF('REGISTRO NO PAGAR'!B11="","",'REGISTRO NO PAGAR'!F11)</f>
        <v/>
      </c>
      <c r="G11" s="74">
        <f>IF('REGISTRO NO PAGAR'!B11="","",'REGISTRO NO PAGAR'!G11)</f>
        <v/>
      </c>
      <c r="H11" s="74">
        <f>IF('REGISTRO NO PAGAR'!B11="","",'REGISTRO NO PAGAR'!I11)</f>
        <v/>
      </c>
      <c r="I11" s="74">
        <f>IF('REGISTRO NO PAGAR'!B11="","",'REGISTRO NO PAGAR'!J11)</f>
        <v/>
      </c>
      <c r="J11" s="74">
        <f>IF('REGISTRO NO PAGAR'!B11="","",'REGISTRO NO PAGAR'!K11)</f>
        <v/>
      </c>
      <c r="K11" s="74">
        <f>IF('REGISTRO NO PAGAR'!B11="","",'REGISTRO NO PAGAR'!M11)</f>
        <v/>
      </c>
      <c r="L11" s="75">
        <f>IF('REGISTRO NO PAGAR'!B11="","",'REGISTRO NO PAGAR'!N11)</f>
        <v/>
      </c>
      <c r="M11" s="74">
        <f>IF('REGISTRO NO PAGAR'!B11="","",'REGISTRO NO PAGAR'!T11)</f>
        <v/>
      </c>
    </row>
    <row r="12" ht="15" customHeight="1">
      <c r="A12" s="74">
        <f>IF('REGISTRO NO PAGAR'!B12="","",'REGISTRO NO PAGAR'!A12)</f>
        <v/>
      </c>
      <c r="B12" s="74">
        <f>IF('REGISTRO NO PAGAR'!B12="","",'REGISTRO NO PAGAR'!B12)</f>
        <v/>
      </c>
      <c r="C12" s="74">
        <f>IF('REGISTRO NO PAGAR'!B12="","",'REGISTRO NO PAGAR'!C12)</f>
        <v/>
      </c>
      <c r="D12" s="74">
        <f>IF('REGISTRO NO PAGAR'!B12="","",'REGISTRO NO PAGAR'!D12)</f>
        <v/>
      </c>
      <c r="E12" s="74">
        <f>IF('REGISTRO NO PAGAR'!B12="","",'REGISTRO NO PAGAR'!E12)</f>
        <v/>
      </c>
      <c r="F12" s="74">
        <f>IF('REGISTRO NO PAGAR'!B12="","",'REGISTRO NO PAGAR'!F12)</f>
        <v/>
      </c>
      <c r="G12" s="74">
        <f>IF('REGISTRO NO PAGAR'!B12="","",'REGISTRO NO PAGAR'!G12)</f>
        <v/>
      </c>
      <c r="H12" s="74">
        <f>IF('REGISTRO NO PAGAR'!B12="","",'REGISTRO NO PAGAR'!I12)</f>
        <v/>
      </c>
      <c r="I12" s="74">
        <f>IF('REGISTRO NO PAGAR'!B12="","",'REGISTRO NO PAGAR'!J12)</f>
        <v/>
      </c>
      <c r="J12" s="74">
        <f>IF('REGISTRO NO PAGAR'!B12="","",'REGISTRO NO PAGAR'!K12)</f>
        <v/>
      </c>
      <c r="K12" s="74">
        <f>IF('REGISTRO NO PAGAR'!B12="","",'REGISTRO NO PAGAR'!M12)</f>
        <v/>
      </c>
      <c r="L12" s="75">
        <f>IF('REGISTRO NO PAGAR'!B12="","",'REGISTRO NO PAGAR'!N12)</f>
        <v/>
      </c>
      <c r="M12" s="74">
        <f>IF('REGISTRO NO PAGAR'!B12="","",'REGISTRO NO PAGAR'!T12)</f>
        <v/>
      </c>
    </row>
    <row r="13" ht="15" customHeight="1">
      <c r="A13" s="74">
        <f>IF('REGISTRO NO PAGAR'!B13="","",'REGISTRO NO PAGAR'!A13)</f>
        <v/>
      </c>
      <c r="B13" s="74">
        <f>IF('REGISTRO NO PAGAR'!B13="","",'REGISTRO NO PAGAR'!B13)</f>
        <v/>
      </c>
      <c r="C13" s="74">
        <f>IF('REGISTRO NO PAGAR'!B13="","",'REGISTRO NO PAGAR'!C13)</f>
        <v/>
      </c>
      <c r="D13" s="74">
        <f>IF('REGISTRO NO PAGAR'!B13="","",'REGISTRO NO PAGAR'!D13)</f>
        <v/>
      </c>
      <c r="E13" s="74">
        <f>IF('REGISTRO NO PAGAR'!B13="","",'REGISTRO NO PAGAR'!E13)</f>
        <v/>
      </c>
      <c r="F13" s="74">
        <f>IF('REGISTRO NO PAGAR'!B13="","",'REGISTRO NO PAGAR'!F13)</f>
        <v/>
      </c>
      <c r="G13" s="74">
        <f>IF('REGISTRO NO PAGAR'!B13="","",'REGISTRO NO PAGAR'!G13)</f>
        <v/>
      </c>
      <c r="H13" s="74">
        <f>IF('REGISTRO NO PAGAR'!B13="","",'REGISTRO NO PAGAR'!I13)</f>
        <v/>
      </c>
      <c r="I13" s="74">
        <f>IF('REGISTRO NO PAGAR'!B13="","",'REGISTRO NO PAGAR'!J13)</f>
        <v/>
      </c>
      <c r="J13" s="74">
        <f>IF('REGISTRO NO PAGAR'!B13="","",'REGISTRO NO PAGAR'!K13)</f>
        <v/>
      </c>
      <c r="K13" s="74">
        <f>IF('REGISTRO NO PAGAR'!B13="","",'REGISTRO NO PAGAR'!M13)</f>
        <v/>
      </c>
      <c r="L13" s="75">
        <f>IF('REGISTRO NO PAGAR'!B13="","",'REGISTRO NO PAGAR'!N13)</f>
        <v/>
      </c>
      <c r="M13" s="74">
        <f>IF('REGISTRO NO PAGAR'!B13="","",'REGISTRO NO PAGAR'!T13)</f>
        <v/>
      </c>
    </row>
    <row r="14" ht="15" customHeight="1">
      <c r="A14" s="74">
        <f>IF('REGISTRO NO PAGAR'!B14="","",'REGISTRO NO PAGAR'!A14)</f>
        <v/>
      </c>
      <c r="B14" s="74">
        <f>IF('REGISTRO NO PAGAR'!B14="","",'REGISTRO NO PAGAR'!B14)</f>
        <v/>
      </c>
      <c r="C14" s="74">
        <f>IF('REGISTRO NO PAGAR'!B14="","",'REGISTRO NO PAGAR'!C14)</f>
        <v/>
      </c>
      <c r="D14" s="74">
        <f>IF('REGISTRO NO PAGAR'!B14="","",'REGISTRO NO PAGAR'!D14)</f>
        <v/>
      </c>
      <c r="E14" s="74">
        <f>IF('REGISTRO NO PAGAR'!B14="","",'REGISTRO NO PAGAR'!E14)</f>
        <v/>
      </c>
      <c r="F14" s="74">
        <f>IF('REGISTRO NO PAGAR'!B14="","",'REGISTRO NO PAGAR'!F14)</f>
        <v/>
      </c>
      <c r="G14" s="74">
        <f>IF('REGISTRO NO PAGAR'!B14="","",'REGISTRO NO PAGAR'!G14)</f>
        <v/>
      </c>
      <c r="H14" s="74">
        <f>IF('REGISTRO NO PAGAR'!B14="","",'REGISTRO NO PAGAR'!I14)</f>
        <v/>
      </c>
      <c r="I14" s="74">
        <f>IF('REGISTRO NO PAGAR'!B14="","",'REGISTRO NO PAGAR'!J14)</f>
        <v/>
      </c>
      <c r="J14" s="74">
        <f>IF('REGISTRO NO PAGAR'!B14="","",'REGISTRO NO PAGAR'!K14)</f>
        <v/>
      </c>
      <c r="K14" s="74">
        <f>IF('REGISTRO NO PAGAR'!B14="","",'REGISTRO NO PAGAR'!M14)</f>
        <v/>
      </c>
      <c r="L14" s="75">
        <f>IF('REGISTRO NO PAGAR'!B14="","",'REGISTRO NO PAGAR'!N14)</f>
        <v/>
      </c>
      <c r="M14" s="74">
        <f>IF('REGISTRO NO PAGAR'!B14="","",'REGISTRO NO PAGAR'!T14)</f>
        <v/>
      </c>
    </row>
    <row r="15" ht="15" customHeight="1">
      <c r="A15" s="74">
        <f>IF('REGISTRO NO PAGAR'!B15="","",'REGISTRO NO PAGAR'!A15)</f>
        <v/>
      </c>
      <c r="B15" s="74">
        <f>IF('REGISTRO NO PAGAR'!B15="","",'REGISTRO NO PAGAR'!B15)</f>
        <v/>
      </c>
      <c r="C15" s="74">
        <f>IF('REGISTRO NO PAGAR'!B15="","",'REGISTRO NO PAGAR'!C15)</f>
        <v/>
      </c>
      <c r="D15" s="74">
        <f>IF('REGISTRO NO PAGAR'!B15="","",'REGISTRO NO PAGAR'!D15)</f>
        <v/>
      </c>
      <c r="E15" s="74">
        <f>IF('REGISTRO NO PAGAR'!B15="","",'REGISTRO NO PAGAR'!E15)</f>
        <v/>
      </c>
      <c r="F15" s="74">
        <f>IF('REGISTRO NO PAGAR'!B15="","",'REGISTRO NO PAGAR'!F15)</f>
        <v/>
      </c>
      <c r="G15" s="74">
        <f>IF('REGISTRO NO PAGAR'!B15="","",'REGISTRO NO PAGAR'!G15)</f>
        <v/>
      </c>
      <c r="H15" s="74">
        <f>IF('REGISTRO NO PAGAR'!B15="","",'REGISTRO NO PAGAR'!I15)</f>
        <v/>
      </c>
      <c r="I15" s="74">
        <f>IF('REGISTRO NO PAGAR'!B15="","",'REGISTRO NO PAGAR'!J15)</f>
        <v/>
      </c>
      <c r="J15" s="74">
        <f>IF('REGISTRO NO PAGAR'!B15="","",'REGISTRO NO PAGAR'!K15)</f>
        <v/>
      </c>
      <c r="K15" s="74">
        <f>IF('REGISTRO NO PAGAR'!B15="","",'REGISTRO NO PAGAR'!M15)</f>
        <v/>
      </c>
      <c r="L15" s="75">
        <f>IF('REGISTRO NO PAGAR'!B15="","",'REGISTRO NO PAGAR'!N15)</f>
        <v/>
      </c>
      <c r="M15" s="74">
        <f>IF('REGISTRO NO PAGAR'!B15="","",'REGISTRO NO PAGAR'!T15)</f>
        <v/>
      </c>
    </row>
    <row r="16" ht="15" customHeight="1">
      <c r="A16" s="74">
        <f>IF('REGISTRO NO PAGAR'!B16="","",'REGISTRO NO PAGAR'!A16)</f>
        <v/>
      </c>
      <c r="B16" s="74">
        <f>IF('REGISTRO NO PAGAR'!B16="","",'REGISTRO NO PAGAR'!B16)</f>
        <v/>
      </c>
      <c r="C16" s="74">
        <f>IF('REGISTRO NO PAGAR'!B16="","",'REGISTRO NO PAGAR'!C16)</f>
        <v/>
      </c>
      <c r="D16" s="74">
        <f>IF('REGISTRO NO PAGAR'!B16="","",'REGISTRO NO PAGAR'!D16)</f>
        <v/>
      </c>
      <c r="E16" s="74">
        <f>IF('REGISTRO NO PAGAR'!B16="","",'REGISTRO NO PAGAR'!E16)</f>
        <v/>
      </c>
      <c r="F16" s="74">
        <f>IF('REGISTRO NO PAGAR'!B16="","",'REGISTRO NO PAGAR'!F16)</f>
        <v/>
      </c>
      <c r="G16" s="74">
        <f>IF('REGISTRO NO PAGAR'!B16="","",'REGISTRO NO PAGAR'!G16)</f>
        <v/>
      </c>
      <c r="H16" s="74">
        <f>IF('REGISTRO NO PAGAR'!B16="","",'REGISTRO NO PAGAR'!I16)</f>
        <v/>
      </c>
      <c r="I16" s="74">
        <f>IF('REGISTRO NO PAGAR'!B16="","",'REGISTRO NO PAGAR'!J16)</f>
        <v/>
      </c>
      <c r="J16" s="74">
        <f>IF('REGISTRO NO PAGAR'!B16="","",'REGISTRO NO PAGAR'!K16)</f>
        <v/>
      </c>
      <c r="K16" s="74">
        <f>IF('REGISTRO NO PAGAR'!B16="","",'REGISTRO NO PAGAR'!M16)</f>
        <v/>
      </c>
      <c r="L16" s="75">
        <f>IF('REGISTRO NO PAGAR'!B16="","",'REGISTRO NO PAGAR'!N16)</f>
        <v/>
      </c>
      <c r="M16" s="74">
        <f>IF('REGISTRO NO PAGAR'!B16="","",'REGISTRO NO PAGAR'!T16)</f>
        <v/>
      </c>
    </row>
    <row r="17" ht="15" customHeight="1">
      <c r="A17" s="74">
        <f>IF('REGISTRO NO PAGAR'!B17="","",'REGISTRO NO PAGAR'!A17)</f>
        <v/>
      </c>
      <c r="B17" s="74">
        <f>IF('REGISTRO NO PAGAR'!B17="","",'REGISTRO NO PAGAR'!B17)</f>
        <v/>
      </c>
      <c r="C17" s="74">
        <f>IF('REGISTRO NO PAGAR'!B17="","",'REGISTRO NO PAGAR'!C17)</f>
        <v/>
      </c>
      <c r="D17" s="74">
        <f>IF('REGISTRO NO PAGAR'!B17="","",'REGISTRO NO PAGAR'!D17)</f>
        <v/>
      </c>
      <c r="E17" s="74">
        <f>IF('REGISTRO NO PAGAR'!B17="","",'REGISTRO NO PAGAR'!E17)</f>
        <v/>
      </c>
      <c r="F17" s="74">
        <f>IF('REGISTRO NO PAGAR'!B17="","",'REGISTRO NO PAGAR'!F17)</f>
        <v/>
      </c>
      <c r="G17" s="74">
        <f>IF('REGISTRO NO PAGAR'!B17="","",'REGISTRO NO PAGAR'!G17)</f>
        <v/>
      </c>
      <c r="H17" s="74">
        <f>IF('REGISTRO NO PAGAR'!B17="","",'REGISTRO NO PAGAR'!I17)</f>
        <v/>
      </c>
      <c r="I17" s="74">
        <f>IF('REGISTRO NO PAGAR'!B17="","",'REGISTRO NO PAGAR'!J17)</f>
        <v/>
      </c>
      <c r="J17" s="74">
        <f>IF('REGISTRO NO PAGAR'!B17="","",'REGISTRO NO PAGAR'!K17)</f>
        <v/>
      </c>
      <c r="K17" s="74">
        <f>IF('REGISTRO NO PAGAR'!B17="","",'REGISTRO NO PAGAR'!M17)</f>
        <v/>
      </c>
      <c r="L17" s="75">
        <f>IF('REGISTRO NO PAGAR'!B17="","",'REGISTRO NO PAGAR'!N17)</f>
        <v/>
      </c>
      <c r="M17" s="74">
        <f>IF('REGISTRO NO PAGAR'!B17="","",'REGISTRO NO PAGAR'!T17)</f>
        <v/>
      </c>
    </row>
    <row r="18" ht="15" customHeight="1">
      <c r="A18" s="74">
        <f>IF('REGISTRO NO PAGAR'!B18="","",'REGISTRO NO PAGAR'!A18)</f>
        <v/>
      </c>
      <c r="B18" s="74">
        <f>IF('REGISTRO NO PAGAR'!B18="","",'REGISTRO NO PAGAR'!B18)</f>
        <v/>
      </c>
      <c r="C18" s="74">
        <f>IF('REGISTRO NO PAGAR'!B18="","",'REGISTRO NO PAGAR'!C18)</f>
        <v/>
      </c>
      <c r="D18" s="74">
        <f>IF('REGISTRO NO PAGAR'!B18="","",'REGISTRO NO PAGAR'!D18)</f>
        <v/>
      </c>
      <c r="E18" s="74">
        <f>IF('REGISTRO NO PAGAR'!B18="","",'REGISTRO NO PAGAR'!E18)</f>
        <v/>
      </c>
      <c r="F18" s="74">
        <f>IF('REGISTRO NO PAGAR'!B18="","",'REGISTRO NO PAGAR'!F18)</f>
        <v/>
      </c>
      <c r="G18" s="74">
        <f>IF('REGISTRO NO PAGAR'!B18="","",'REGISTRO NO PAGAR'!G18)</f>
        <v/>
      </c>
      <c r="H18" s="74">
        <f>IF('REGISTRO NO PAGAR'!B18="","",'REGISTRO NO PAGAR'!I18)</f>
        <v/>
      </c>
      <c r="I18" s="74">
        <f>IF('REGISTRO NO PAGAR'!B18="","",'REGISTRO NO PAGAR'!J18)</f>
        <v/>
      </c>
      <c r="J18" s="74">
        <f>IF('REGISTRO NO PAGAR'!B18="","",'REGISTRO NO PAGAR'!K18)</f>
        <v/>
      </c>
      <c r="K18" s="74">
        <f>IF('REGISTRO NO PAGAR'!B18="","",'REGISTRO NO PAGAR'!M18)</f>
        <v/>
      </c>
      <c r="L18" s="75">
        <f>IF('REGISTRO NO PAGAR'!B18="","",'REGISTRO NO PAGAR'!N18)</f>
        <v/>
      </c>
      <c r="M18" s="74">
        <f>IF('REGISTRO NO PAGAR'!B18="","",'REGISTRO NO PAGAR'!T18)</f>
        <v/>
      </c>
    </row>
    <row r="19" ht="15" customHeight="1">
      <c r="A19" s="74">
        <f>IF('REGISTRO NO PAGAR'!B19="","",'REGISTRO NO PAGAR'!A19)</f>
        <v/>
      </c>
      <c r="B19" s="74">
        <f>IF('REGISTRO NO PAGAR'!B19="","",'REGISTRO NO PAGAR'!B19)</f>
        <v/>
      </c>
      <c r="C19" s="74">
        <f>IF('REGISTRO NO PAGAR'!B19="","",'REGISTRO NO PAGAR'!C19)</f>
        <v/>
      </c>
      <c r="D19" s="74">
        <f>IF('REGISTRO NO PAGAR'!B19="","",'REGISTRO NO PAGAR'!D19)</f>
        <v/>
      </c>
      <c r="E19" s="74">
        <f>IF('REGISTRO NO PAGAR'!B19="","",'REGISTRO NO PAGAR'!E19)</f>
        <v/>
      </c>
      <c r="F19" s="74">
        <f>IF('REGISTRO NO PAGAR'!B19="","",'REGISTRO NO PAGAR'!F19)</f>
        <v/>
      </c>
      <c r="G19" s="74">
        <f>IF('REGISTRO NO PAGAR'!B19="","",'REGISTRO NO PAGAR'!G19)</f>
        <v/>
      </c>
      <c r="H19" s="74">
        <f>IF('REGISTRO NO PAGAR'!B19="","",'REGISTRO NO PAGAR'!I19)</f>
        <v/>
      </c>
      <c r="I19" s="74">
        <f>IF('REGISTRO NO PAGAR'!B19="","",'REGISTRO NO PAGAR'!J19)</f>
        <v/>
      </c>
      <c r="J19" s="74">
        <f>IF('REGISTRO NO PAGAR'!B19="","",'REGISTRO NO PAGAR'!K19)</f>
        <v/>
      </c>
      <c r="K19" s="74">
        <f>IF('REGISTRO NO PAGAR'!B19="","",'REGISTRO NO PAGAR'!M19)</f>
        <v/>
      </c>
      <c r="L19" s="75">
        <f>IF('REGISTRO NO PAGAR'!B19="","",'REGISTRO NO PAGAR'!N19)</f>
        <v/>
      </c>
      <c r="M19" s="74">
        <f>IF('REGISTRO NO PAGAR'!B19="","",'REGISTRO NO PAGAR'!T19)</f>
        <v/>
      </c>
    </row>
    <row r="20" ht="15" customHeight="1">
      <c r="A20" s="74">
        <f>IF('REGISTRO NO PAGAR'!B20="","",'REGISTRO NO PAGAR'!A20)</f>
        <v/>
      </c>
      <c r="B20" s="74">
        <f>IF('REGISTRO NO PAGAR'!B20="","",'REGISTRO NO PAGAR'!B20)</f>
        <v/>
      </c>
      <c r="C20" s="74">
        <f>IF('REGISTRO NO PAGAR'!B20="","",'REGISTRO NO PAGAR'!C20)</f>
        <v/>
      </c>
      <c r="D20" s="74">
        <f>IF('REGISTRO NO PAGAR'!B20="","",'REGISTRO NO PAGAR'!D20)</f>
        <v/>
      </c>
      <c r="E20" s="74">
        <f>IF('REGISTRO NO PAGAR'!B20="","",'REGISTRO NO PAGAR'!E20)</f>
        <v/>
      </c>
      <c r="F20" s="74">
        <f>IF('REGISTRO NO PAGAR'!B20="","",'REGISTRO NO PAGAR'!F20)</f>
        <v/>
      </c>
      <c r="G20" s="74">
        <f>IF('REGISTRO NO PAGAR'!B20="","",'REGISTRO NO PAGAR'!G20)</f>
        <v/>
      </c>
      <c r="H20" s="74">
        <f>IF('REGISTRO NO PAGAR'!B20="","",'REGISTRO NO PAGAR'!I20)</f>
        <v/>
      </c>
      <c r="I20" s="74">
        <f>IF('REGISTRO NO PAGAR'!B20="","",'REGISTRO NO PAGAR'!J20)</f>
        <v/>
      </c>
      <c r="J20" s="74">
        <f>IF('REGISTRO NO PAGAR'!B20="","",'REGISTRO NO PAGAR'!K20)</f>
        <v/>
      </c>
      <c r="K20" s="74">
        <f>IF('REGISTRO NO PAGAR'!B20="","",'REGISTRO NO PAGAR'!M20)</f>
        <v/>
      </c>
      <c r="L20" s="75">
        <f>IF('REGISTRO NO PAGAR'!B20="","",'REGISTRO NO PAGAR'!N20)</f>
        <v/>
      </c>
      <c r="M20" s="74">
        <f>IF('REGISTRO NO PAGAR'!B20="","",'REGISTRO NO PAGAR'!T20)</f>
        <v/>
      </c>
    </row>
    <row r="21" ht="15" customHeight="1">
      <c r="A21" s="74">
        <f>IF('REGISTRO NO PAGAR'!B21="","",'REGISTRO NO PAGAR'!A21)</f>
        <v/>
      </c>
      <c r="B21" s="74">
        <f>IF('REGISTRO NO PAGAR'!B21="","",'REGISTRO NO PAGAR'!B21)</f>
        <v/>
      </c>
      <c r="C21" s="74">
        <f>IF('REGISTRO NO PAGAR'!B21="","",'REGISTRO NO PAGAR'!C21)</f>
        <v/>
      </c>
      <c r="D21" s="74">
        <f>IF('REGISTRO NO PAGAR'!B21="","",'REGISTRO NO PAGAR'!D21)</f>
        <v/>
      </c>
      <c r="E21" s="74">
        <f>IF('REGISTRO NO PAGAR'!B21="","",'REGISTRO NO PAGAR'!E21)</f>
        <v/>
      </c>
      <c r="F21" s="74">
        <f>IF('REGISTRO NO PAGAR'!B21="","",'REGISTRO NO PAGAR'!F21)</f>
        <v/>
      </c>
      <c r="G21" s="74">
        <f>IF('REGISTRO NO PAGAR'!B21="","",'REGISTRO NO PAGAR'!G21)</f>
        <v/>
      </c>
      <c r="H21" s="74">
        <f>IF('REGISTRO NO PAGAR'!B21="","",'REGISTRO NO PAGAR'!I21)</f>
        <v/>
      </c>
      <c r="I21" s="74">
        <f>IF('REGISTRO NO PAGAR'!B21="","",'REGISTRO NO PAGAR'!J21)</f>
        <v/>
      </c>
      <c r="J21" s="74">
        <f>IF('REGISTRO NO PAGAR'!B21="","",'REGISTRO NO PAGAR'!K21)</f>
        <v/>
      </c>
      <c r="K21" s="74">
        <f>IF('REGISTRO NO PAGAR'!B21="","",'REGISTRO NO PAGAR'!M21)</f>
        <v/>
      </c>
      <c r="L21" s="75">
        <f>IF('REGISTRO NO PAGAR'!B21="","",'REGISTRO NO PAGAR'!N21)</f>
        <v/>
      </c>
      <c r="M21" s="74">
        <f>IF('REGISTRO NO PAGAR'!B21="","",'REGISTRO NO PAGAR'!T21)</f>
        <v/>
      </c>
    </row>
    <row r="22" ht="15" customHeight="1">
      <c r="A22" s="74">
        <f>IF('REGISTRO NO PAGAR'!B22="","",'REGISTRO NO PAGAR'!A22)</f>
        <v/>
      </c>
      <c r="B22" s="74">
        <f>IF('REGISTRO NO PAGAR'!B22="","",'REGISTRO NO PAGAR'!B22)</f>
        <v/>
      </c>
      <c r="C22" s="74">
        <f>IF('REGISTRO NO PAGAR'!B22="","",'REGISTRO NO PAGAR'!C22)</f>
        <v/>
      </c>
      <c r="D22" s="74">
        <f>IF('REGISTRO NO PAGAR'!B22="","",'REGISTRO NO PAGAR'!D22)</f>
        <v/>
      </c>
      <c r="E22" s="74">
        <f>IF('REGISTRO NO PAGAR'!B22="","",'REGISTRO NO PAGAR'!E22)</f>
        <v/>
      </c>
      <c r="F22" s="74">
        <f>IF('REGISTRO NO PAGAR'!B22="","",'REGISTRO NO PAGAR'!F22)</f>
        <v/>
      </c>
      <c r="G22" s="74">
        <f>IF('REGISTRO NO PAGAR'!B22="","",'REGISTRO NO PAGAR'!G22)</f>
        <v/>
      </c>
      <c r="H22" s="74">
        <f>IF('REGISTRO NO PAGAR'!B22="","",'REGISTRO NO PAGAR'!I22)</f>
        <v/>
      </c>
      <c r="I22" s="74">
        <f>IF('REGISTRO NO PAGAR'!B22="","",'REGISTRO NO PAGAR'!J22)</f>
        <v/>
      </c>
      <c r="J22" s="74">
        <f>IF('REGISTRO NO PAGAR'!B22="","",'REGISTRO NO PAGAR'!K22)</f>
        <v/>
      </c>
      <c r="K22" s="74">
        <f>IF('REGISTRO NO PAGAR'!B22="","",'REGISTRO NO PAGAR'!M22)</f>
        <v/>
      </c>
      <c r="L22" s="75">
        <f>IF('REGISTRO NO PAGAR'!B22="","",'REGISTRO NO PAGAR'!N22)</f>
        <v/>
      </c>
      <c r="M22" s="74">
        <f>IF('REGISTRO NO PAGAR'!B22="","",'REGISTRO NO PAGAR'!T22)</f>
        <v/>
      </c>
    </row>
    <row r="23" ht="15" customHeight="1">
      <c r="A23" s="74">
        <f>IF('REGISTRO NO PAGAR'!B23="","",'REGISTRO NO PAGAR'!A23)</f>
        <v/>
      </c>
      <c r="B23" s="74">
        <f>IF('REGISTRO NO PAGAR'!B23="","",'REGISTRO NO PAGAR'!B23)</f>
        <v/>
      </c>
      <c r="C23" s="74">
        <f>IF('REGISTRO NO PAGAR'!B23="","",'REGISTRO NO PAGAR'!C23)</f>
        <v/>
      </c>
      <c r="D23" s="74">
        <f>IF('REGISTRO NO PAGAR'!B23="","",'REGISTRO NO PAGAR'!D23)</f>
        <v/>
      </c>
      <c r="E23" s="74">
        <f>IF('REGISTRO NO PAGAR'!B23="","",'REGISTRO NO PAGAR'!E23)</f>
        <v/>
      </c>
      <c r="F23" s="74">
        <f>IF('REGISTRO NO PAGAR'!B23="","",'REGISTRO NO PAGAR'!F23)</f>
        <v/>
      </c>
      <c r="G23" s="74">
        <f>IF('REGISTRO NO PAGAR'!B23="","",'REGISTRO NO PAGAR'!G23)</f>
        <v/>
      </c>
      <c r="H23" s="74">
        <f>IF('REGISTRO NO PAGAR'!B23="","",'REGISTRO NO PAGAR'!I23)</f>
        <v/>
      </c>
      <c r="I23" s="74">
        <f>IF('REGISTRO NO PAGAR'!B23="","",'REGISTRO NO PAGAR'!J23)</f>
        <v/>
      </c>
      <c r="J23" s="74">
        <f>IF('REGISTRO NO PAGAR'!B23="","",'REGISTRO NO PAGAR'!K23)</f>
        <v/>
      </c>
      <c r="K23" s="74">
        <f>IF('REGISTRO NO PAGAR'!B23="","",'REGISTRO NO PAGAR'!M23)</f>
        <v/>
      </c>
      <c r="L23" s="75">
        <f>IF('REGISTRO NO PAGAR'!B23="","",'REGISTRO NO PAGAR'!N23)</f>
        <v/>
      </c>
      <c r="M23" s="74">
        <f>IF('REGISTRO NO PAGAR'!B23="","",'REGISTRO NO PAGAR'!T23)</f>
        <v/>
      </c>
    </row>
    <row r="24" ht="15" customHeight="1">
      <c r="A24" s="74">
        <f>IF('REGISTRO NO PAGAR'!B24="","",'REGISTRO NO PAGAR'!A24)</f>
        <v/>
      </c>
      <c r="B24" s="74">
        <f>IF('REGISTRO NO PAGAR'!B24="","",'REGISTRO NO PAGAR'!B24)</f>
        <v/>
      </c>
      <c r="C24" s="74">
        <f>IF('REGISTRO NO PAGAR'!B24="","",'REGISTRO NO PAGAR'!C24)</f>
        <v/>
      </c>
      <c r="D24" s="74">
        <f>IF('REGISTRO NO PAGAR'!B24="","",'REGISTRO NO PAGAR'!D24)</f>
        <v/>
      </c>
      <c r="E24" s="74">
        <f>IF('REGISTRO NO PAGAR'!B24="","",'REGISTRO NO PAGAR'!E24)</f>
        <v/>
      </c>
      <c r="F24" s="74">
        <f>IF('REGISTRO NO PAGAR'!B24="","",'REGISTRO NO PAGAR'!F24)</f>
        <v/>
      </c>
      <c r="G24" s="74">
        <f>IF('REGISTRO NO PAGAR'!B24="","",'REGISTRO NO PAGAR'!G24)</f>
        <v/>
      </c>
      <c r="H24" s="74">
        <f>IF('REGISTRO NO PAGAR'!B24="","",'REGISTRO NO PAGAR'!I24)</f>
        <v/>
      </c>
      <c r="I24" s="74">
        <f>IF('REGISTRO NO PAGAR'!B24="","",'REGISTRO NO PAGAR'!J24)</f>
        <v/>
      </c>
      <c r="J24" s="74">
        <f>IF('REGISTRO NO PAGAR'!B24="","",'REGISTRO NO PAGAR'!K24)</f>
        <v/>
      </c>
      <c r="K24" s="74">
        <f>IF('REGISTRO NO PAGAR'!B24="","",'REGISTRO NO PAGAR'!M24)</f>
        <v/>
      </c>
      <c r="L24" s="75">
        <f>IF('REGISTRO NO PAGAR'!B24="","",'REGISTRO NO PAGAR'!N24)</f>
        <v/>
      </c>
      <c r="M24" s="74">
        <f>IF('REGISTRO NO PAGAR'!B24="","",'REGISTRO NO PAGAR'!T24)</f>
        <v/>
      </c>
    </row>
    <row r="25" ht="15" customHeight="1">
      <c r="A25" s="74">
        <f>IF('REGISTRO NO PAGAR'!B25="","",'REGISTRO NO PAGAR'!A25)</f>
        <v/>
      </c>
      <c r="B25" s="74">
        <f>IF('REGISTRO NO PAGAR'!B25="","",'REGISTRO NO PAGAR'!B25)</f>
        <v/>
      </c>
      <c r="C25" s="74">
        <f>IF('REGISTRO NO PAGAR'!B25="","",'REGISTRO NO PAGAR'!C25)</f>
        <v/>
      </c>
      <c r="D25" s="74">
        <f>IF('REGISTRO NO PAGAR'!B25="","",'REGISTRO NO PAGAR'!D25)</f>
        <v/>
      </c>
      <c r="E25" s="74">
        <f>IF('REGISTRO NO PAGAR'!B25="","",'REGISTRO NO PAGAR'!E25)</f>
        <v/>
      </c>
      <c r="F25" s="74">
        <f>IF('REGISTRO NO PAGAR'!B25="","",'REGISTRO NO PAGAR'!F25)</f>
        <v/>
      </c>
      <c r="G25" s="74">
        <f>IF('REGISTRO NO PAGAR'!B25="","",'REGISTRO NO PAGAR'!G25)</f>
        <v/>
      </c>
      <c r="H25" s="74">
        <f>IF('REGISTRO NO PAGAR'!B25="","",'REGISTRO NO PAGAR'!I25)</f>
        <v/>
      </c>
      <c r="I25" s="74">
        <f>IF('REGISTRO NO PAGAR'!B25="","",'REGISTRO NO PAGAR'!J25)</f>
        <v/>
      </c>
      <c r="J25" s="74">
        <f>IF('REGISTRO NO PAGAR'!B25="","",'REGISTRO NO PAGAR'!K25)</f>
        <v/>
      </c>
      <c r="K25" s="74">
        <f>IF('REGISTRO NO PAGAR'!B25="","",'REGISTRO NO PAGAR'!M25)</f>
        <v/>
      </c>
      <c r="L25" s="75">
        <f>IF('REGISTRO NO PAGAR'!B25="","",'REGISTRO NO PAGAR'!N25)</f>
        <v/>
      </c>
      <c r="M25" s="74">
        <f>IF('REGISTRO NO PAGAR'!B25="","",'REGISTRO NO PAGAR'!T25)</f>
        <v/>
      </c>
    </row>
    <row r="26" ht="15" customHeight="1">
      <c r="A26" s="74">
        <f>IF('REGISTRO NO PAGAR'!B26="","",'REGISTRO NO PAGAR'!A26)</f>
        <v/>
      </c>
      <c r="B26" s="74">
        <f>IF('REGISTRO NO PAGAR'!B26="","",'REGISTRO NO PAGAR'!B26)</f>
        <v/>
      </c>
      <c r="C26" s="74">
        <f>IF('REGISTRO NO PAGAR'!B26="","",'REGISTRO NO PAGAR'!C26)</f>
        <v/>
      </c>
      <c r="D26" s="74">
        <f>IF('REGISTRO NO PAGAR'!B26="","",'REGISTRO NO PAGAR'!D26)</f>
        <v/>
      </c>
      <c r="E26" s="74">
        <f>IF('REGISTRO NO PAGAR'!B26="","",'REGISTRO NO PAGAR'!E26)</f>
        <v/>
      </c>
      <c r="F26" s="74">
        <f>IF('REGISTRO NO PAGAR'!B26="","",'REGISTRO NO PAGAR'!F26)</f>
        <v/>
      </c>
      <c r="G26" s="74">
        <f>IF('REGISTRO NO PAGAR'!B26="","",'REGISTRO NO PAGAR'!G26)</f>
        <v/>
      </c>
      <c r="H26" s="74">
        <f>IF('REGISTRO NO PAGAR'!B26="","",'REGISTRO NO PAGAR'!I26)</f>
        <v/>
      </c>
      <c r="I26" s="74">
        <f>IF('REGISTRO NO PAGAR'!B26="","",'REGISTRO NO PAGAR'!J26)</f>
        <v/>
      </c>
      <c r="J26" s="74">
        <f>IF('REGISTRO NO PAGAR'!B26="","",'REGISTRO NO PAGAR'!K26)</f>
        <v/>
      </c>
      <c r="K26" s="74">
        <f>IF('REGISTRO NO PAGAR'!B26="","",'REGISTRO NO PAGAR'!M26)</f>
        <v/>
      </c>
      <c r="L26" s="75">
        <f>IF('REGISTRO NO PAGAR'!B26="","",'REGISTRO NO PAGAR'!N26)</f>
        <v/>
      </c>
      <c r="M26" s="74">
        <f>IF('REGISTRO NO PAGAR'!B26="","",'REGISTRO NO PAGAR'!T26)</f>
        <v/>
      </c>
    </row>
    <row r="27" ht="15" customHeight="1">
      <c r="A27" s="74">
        <f>IF('REGISTRO NO PAGAR'!B27="","",'REGISTRO NO PAGAR'!A27)</f>
        <v/>
      </c>
      <c r="B27" s="74">
        <f>IF('REGISTRO NO PAGAR'!B27="","",'REGISTRO NO PAGAR'!B27)</f>
        <v/>
      </c>
      <c r="C27" s="74">
        <f>IF('REGISTRO NO PAGAR'!B27="","",'REGISTRO NO PAGAR'!C27)</f>
        <v/>
      </c>
      <c r="D27" s="74">
        <f>IF('REGISTRO NO PAGAR'!B27="","",'REGISTRO NO PAGAR'!D27)</f>
        <v/>
      </c>
      <c r="E27" s="74">
        <f>IF('REGISTRO NO PAGAR'!B27="","",'REGISTRO NO PAGAR'!E27)</f>
        <v/>
      </c>
      <c r="F27" s="74">
        <f>IF('REGISTRO NO PAGAR'!B27="","",'REGISTRO NO PAGAR'!F27)</f>
        <v/>
      </c>
      <c r="G27" s="74">
        <f>IF('REGISTRO NO PAGAR'!B27="","",'REGISTRO NO PAGAR'!G27)</f>
        <v/>
      </c>
      <c r="H27" s="74">
        <f>IF('REGISTRO NO PAGAR'!B27="","",'REGISTRO NO PAGAR'!I27)</f>
        <v/>
      </c>
      <c r="I27" s="74">
        <f>IF('REGISTRO NO PAGAR'!B27="","",'REGISTRO NO PAGAR'!J27)</f>
        <v/>
      </c>
      <c r="J27" s="74">
        <f>IF('REGISTRO NO PAGAR'!B27="","",'REGISTRO NO PAGAR'!K27)</f>
        <v/>
      </c>
      <c r="K27" s="74">
        <f>IF('REGISTRO NO PAGAR'!B27="","",'REGISTRO NO PAGAR'!M27)</f>
        <v/>
      </c>
      <c r="L27" s="75">
        <f>IF('REGISTRO NO PAGAR'!B27="","",'REGISTRO NO PAGAR'!N27)</f>
        <v/>
      </c>
      <c r="M27" s="74">
        <f>IF('REGISTRO NO PAGAR'!B27="","",'REGISTRO NO PAGAR'!T27)</f>
        <v/>
      </c>
    </row>
    <row r="28" ht="15" customHeight="1">
      <c r="A28" s="74">
        <f>IF('REGISTRO NO PAGAR'!B28="","",'REGISTRO NO PAGAR'!A28)</f>
        <v/>
      </c>
      <c r="B28" s="74">
        <f>IF('REGISTRO NO PAGAR'!B28="","",'REGISTRO NO PAGAR'!B28)</f>
        <v/>
      </c>
      <c r="C28" s="74">
        <f>IF('REGISTRO NO PAGAR'!B28="","",'REGISTRO NO PAGAR'!C28)</f>
        <v/>
      </c>
      <c r="D28" s="74">
        <f>IF('REGISTRO NO PAGAR'!B28="","",'REGISTRO NO PAGAR'!D28)</f>
        <v/>
      </c>
      <c r="E28" s="74">
        <f>IF('REGISTRO NO PAGAR'!B28="","",'REGISTRO NO PAGAR'!E28)</f>
        <v/>
      </c>
      <c r="F28" s="74">
        <f>IF('REGISTRO NO PAGAR'!B28="","",'REGISTRO NO PAGAR'!F28)</f>
        <v/>
      </c>
      <c r="G28" s="74">
        <f>IF('REGISTRO NO PAGAR'!B28="","",'REGISTRO NO PAGAR'!G28)</f>
        <v/>
      </c>
      <c r="H28" s="74">
        <f>IF('REGISTRO NO PAGAR'!B28="","",'REGISTRO NO PAGAR'!I28)</f>
        <v/>
      </c>
      <c r="I28" s="74">
        <f>IF('REGISTRO NO PAGAR'!B28="","",'REGISTRO NO PAGAR'!J28)</f>
        <v/>
      </c>
      <c r="J28" s="74">
        <f>IF('REGISTRO NO PAGAR'!B28="","",'REGISTRO NO PAGAR'!K28)</f>
        <v/>
      </c>
      <c r="K28" s="74">
        <f>IF('REGISTRO NO PAGAR'!B28="","",'REGISTRO NO PAGAR'!M28)</f>
        <v/>
      </c>
      <c r="L28" s="75">
        <f>IF('REGISTRO NO PAGAR'!B28="","",'REGISTRO NO PAGAR'!N28)</f>
        <v/>
      </c>
      <c r="M28" s="74">
        <f>IF('REGISTRO NO PAGAR'!B28="","",'REGISTRO NO PAGAR'!T28)</f>
        <v/>
      </c>
    </row>
    <row r="29" ht="15" customHeight="1">
      <c r="A29" s="74">
        <f>IF('REGISTRO NO PAGAR'!B29="","",'REGISTRO NO PAGAR'!A29)</f>
        <v/>
      </c>
      <c r="B29" s="74">
        <f>IF('REGISTRO NO PAGAR'!B29="","",'REGISTRO NO PAGAR'!B29)</f>
        <v/>
      </c>
      <c r="C29" s="74">
        <f>IF('REGISTRO NO PAGAR'!B29="","",'REGISTRO NO PAGAR'!C29)</f>
        <v/>
      </c>
      <c r="D29" s="74">
        <f>IF('REGISTRO NO PAGAR'!B29="","",'REGISTRO NO PAGAR'!D29)</f>
        <v/>
      </c>
      <c r="E29" s="74">
        <f>IF('REGISTRO NO PAGAR'!B29="","",'REGISTRO NO PAGAR'!E29)</f>
        <v/>
      </c>
      <c r="F29" s="74">
        <f>IF('REGISTRO NO PAGAR'!B29="","",'REGISTRO NO PAGAR'!F29)</f>
        <v/>
      </c>
      <c r="G29" s="74">
        <f>IF('REGISTRO NO PAGAR'!B29="","",'REGISTRO NO PAGAR'!G29)</f>
        <v/>
      </c>
      <c r="H29" s="74">
        <f>IF('REGISTRO NO PAGAR'!B29="","",'REGISTRO NO PAGAR'!I29)</f>
        <v/>
      </c>
      <c r="I29" s="74">
        <f>IF('REGISTRO NO PAGAR'!B29="","",'REGISTRO NO PAGAR'!J29)</f>
        <v/>
      </c>
      <c r="J29" s="74">
        <f>IF('REGISTRO NO PAGAR'!B29="","",'REGISTRO NO PAGAR'!K29)</f>
        <v/>
      </c>
      <c r="K29" s="74">
        <f>IF('REGISTRO NO PAGAR'!B29="","",'REGISTRO NO PAGAR'!M29)</f>
        <v/>
      </c>
      <c r="L29" s="75">
        <f>IF('REGISTRO NO PAGAR'!B29="","",'REGISTRO NO PAGAR'!N29)</f>
        <v/>
      </c>
      <c r="M29" s="74">
        <f>IF('REGISTRO NO PAGAR'!B29="","",'REGISTRO NO PAGAR'!T29)</f>
        <v/>
      </c>
    </row>
    <row r="30" ht="15" customHeight="1">
      <c r="A30" s="74">
        <f>IF('REGISTRO NO PAGAR'!B30="","",'REGISTRO NO PAGAR'!A30)</f>
        <v/>
      </c>
      <c r="B30" s="74">
        <f>IF('REGISTRO NO PAGAR'!B30="","",'REGISTRO NO PAGAR'!B30)</f>
        <v/>
      </c>
      <c r="C30" s="74">
        <f>IF('REGISTRO NO PAGAR'!B30="","",'REGISTRO NO PAGAR'!C30)</f>
        <v/>
      </c>
      <c r="D30" s="74">
        <f>IF('REGISTRO NO PAGAR'!B30="","",'REGISTRO NO PAGAR'!D30)</f>
        <v/>
      </c>
      <c r="E30" s="74">
        <f>IF('REGISTRO NO PAGAR'!B30="","",'REGISTRO NO PAGAR'!E30)</f>
        <v/>
      </c>
      <c r="F30" s="74">
        <f>IF('REGISTRO NO PAGAR'!B30="","",'REGISTRO NO PAGAR'!F30)</f>
        <v/>
      </c>
      <c r="G30" s="74">
        <f>IF('REGISTRO NO PAGAR'!B30="","",'REGISTRO NO PAGAR'!G30)</f>
        <v/>
      </c>
      <c r="H30" s="74">
        <f>IF('REGISTRO NO PAGAR'!B30="","",'REGISTRO NO PAGAR'!I30)</f>
        <v/>
      </c>
      <c r="I30" s="74">
        <f>IF('REGISTRO NO PAGAR'!B30="","",'REGISTRO NO PAGAR'!J30)</f>
        <v/>
      </c>
      <c r="J30" s="74">
        <f>IF('REGISTRO NO PAGAR'!B30="","",'REGISTRO NO PAGAR'!K30)</f>
        <v/>
      </c>
      <c r="K30" s="74">
        <f>IF('REGISTRO NO PAGAR'!B30="","",'REGISTRO NO PAGAR'!M30)</f>
        <v/>
      </c>
      <c r="L30" s="75">
        <f>IF('REGISTRO NO PAGAR'!B30="","",'REGISTRO NO PAGAR'!N30)</f>
        <v/>
      </c>
      <c r="M30" s="74">
        <f>IF('REGISTRO NO PAGAR'!B30="","",'REGISTRO NO PAGAR'!T30)</f>
        <v/>
      </c>
    </row>
    <row r="31" ht="15" customHeight="1">
      <c r="A31" s="74">
        <f>IF('REGISTRO NO PAGAR'!B31="","",'REGISTRO NO PAGAR'!A31)</f>
        <v/>
      </c>
      <c r="B31" s="74">
        <f>IF('REGISTRO NO PAGAR'!B31="","",'REGISTRO NO PAGAR'!B31)</f>
        <v/>
      </c>
      <c r="C31" s="74">
        <f>IF('REGISTRO NO PAGAR'!B31="","",'REGISTRO NO PAGAR'!C31)</f>
        <v/>
      </c>
      <c r="D31" s="74">
        <f>IF('REGISTRO NO PAGAR'!B31="","",'REGISTRO NO PAGAR'!D31)</f>
        <v/>
      </c>
      <c r="E31" s="74">
        <f>IF('REGISTRO NO PAGAR'!B31="","",'REGISTRO NO PAGAR'!E31)</f>
        <v/>
      </c>
      <c r="F31" s="74">
        <f>IF('REGISTRO NO PAGAR'!B31="","",'REGISTRO NO PAGAR'!F31)</f>
        <v/>
      </c>
      <c r="G31" s="74">
        <f>IF('REGISTRO NO PAGAR'!B31="","",'REGISTRO NO PAGAR'!G31)</f>
        <v/>
      </c>
      <c r="H31" s="74">
        <f>IF('REGISTRO NO PAGAR'!B31="","",'REGISTRO NO PAGAR'!I31)</f>
        <v/>
      </c>
      <c r="I31" s="74">
        <f>IF('REGISTRO NO PAGAR'!B31="","",'REGISTRO NO PAGAR'!J31)</f>
        <v/>
      </c>
      <c r="J31" s="74">
        <f>IF('REGISTRO NO PAGAR'!B31="","",'REGISTRO NO PAGAR'!K31)</f>
        <v/>
      </c>
      <c r="K31" s="74">
        <f>IF('REGISTRO NO PAGAR'!B31="","",'REGISTRO NO PAGAR'!M31)</f>
        <v/>
      </c>
      <c r="L31" s="75">
        <f>IF('REGISTRO NO PAGAR'!B31="","",'REGISTRO NO PAGAR'!N31)</f>
        <v/>
      </c>
      <c r="M31" s="74">
        <f>IF('REGISTRO NO PAGAR'!B31="","",'REGISTRO NO PAGAR'!T31)</f>
        <v/>
      </c>
    </row>
    <row r="32" ht="15" customHeight="1">
      <c r="A32" s="74">
        <f>IF('REGISTRO NO PAGAR'!B32="","",'REGISTRO NO PAGAR'!A32)</f>
        <v/>
      </c>
      <c r="B32" s="74">
        <f>IF('REGISTRO NO PAGAR'!B32="","",'REGISTRO NO PAGAR'!B32)</f>
        <v/>
      </c>
      <c r="C32" s="74">
        <f>IF('REGISTRO NO PAGAR'!B32="","",'REGISTRO NO PAGAR'!C32)</f>
        <v/>
      </c>
      <c r="D32" s="74">
        <f>IF('REGISTRO NO PAGAR'!B32="","",'REGISTRO NO PAGAR'!D32)</f>
        <v/>
      </c>
      <c r="E32" s="74">
        <f>IF('REGISTRO NO PAGAR'!B32="","",'REGISTRO NO PAGAR'!E32)</f>
        <v/>
      </c>
      <c r="F32" s="74">
        <f>IF('REGISTRO NO PAGAR'!B32="","",'REGISTRO NO PAGAR'!F32)</f>
        <v/>
      </c>
      <c r="G32" s="74">
        <f>IF('REGISTRO NO PAGAR'!B32="","",'REGISTRO NO PAGAR'!G32)</f>
        <v/>
      </c>
      <c r="H32" s="74">
        <f>IF('REGISTRO NO PAGAR'!B32="","",'REGISTRO NO PAGAR'!I32)</f>
        <v/>
      </c>
      <c r="I32" s="74">
        <f>IF('REGISTRO NO PAGAR'!B32="","",'REGISTRO NO PAGAR'!J32)</f>
        <v/>
      </c>
      <c r="J32" s="74">
        <f>IF('REGISTRO NO PAGAR'!B32="","",'REGISTRO NO PAGAR'!K32)</f>
        <v/>
      </c>
      <c r="K32" s="74">
        <f>IF('REGISTRO NO PAGAR'!B32="","",'REGISTRO NO PAGAR'!M32)</f>
        <v/>
      </c>
      <c r="L32" s="75">
        <f>IF('REGISTRO NO PAGAR'!B32="","",'REGISTRO NO PAGAR'!N32)</f>
        <v/>
      </c>
      <c r="M32" s="74">
        <f>IF('REGISTRO NO PAGAR'!B32="","",'REGISTRO NO PAGAR'!T32)</f>
        <v/>
      </c>
    </row>
    <row r="33" ht="15" customHeight="1">
      <c r="A33" s="74">
        <f>IF('REGISTRO NO PAGAR'!B33="","",'REGISTRO NO PAGAR'!A33)</f>
        <v/>
      </c>
      <c r="B33" s="74">
        <f>IF('REGISTRO NO PAGAR'!B33="","",'REGISTRO NO PAGAR'!B33)</f>
        <v/>
      </c>
      <c r="C33" s="74">
        <f>IF('REGISTRO NO PAGAR'!B33="","",'REGISTRO NO PAGAR'!C33)</f>
        <v/>
      </c>
      <c r="D33" s="74">
        <f>IF('REGISTRO NO PAGAR'!B33="","",'REGISTRO NO PAGAR'!D33)</f>
        <v/>
      </c>
      <c r="E33" s="74">
        <f>IF('REGISTRO NO PAGAR'!B33="","",'REGISTRO NO PAGAR'!E33)</f>
        <v/>
      </c>
      <c r="F33" s="74">
        <f>IF('REGISTRO NO PAGAR'!B33="","",'REGISTRO NO PAGAR'!F33)</f>
        <v/>
      </c>
      <c r="G33" s="74">
        <f>IF('REGISTRO NO PAGAR'!B33="","",'REGISTRO NO PAGAR'!G33)</f>
        <v/>
      </c>
      <c r="H33" s="74">
        <f>IF('REGISTRO NO PAGAR'!B33="","",'REGISTRO NO PAGAR'!I33)</f>
        <v/>
      </c>
      <c r="I33" s="74">
        <f>IF('REGISTRO NO PAGAR'!B33="","",'REGISTRO NO PAGAR'!J33)</f>
        <v/>
      </c>
      <c r="J33" s="74">
        <f>IF('REGISTRO NO PAGAR'!B33="","",'REGISTRO NO PAGAR'!K33)</f>
        <v/>
      </c>
      <c r="K33" s="74">
        <f>IF('REGISTRO NO PAGAR'!B33="","",'REGISTRO NO PAGAR'!M33)</f>
        <v/>
      </c>
      <c r="L33" s="75">
        <f>IF('REGISTRO NO PAGAR'!B33="","",'REGISTRO NO PAGAR'!N33)</f>
        <v/>
      </c>
      <c r="M33" s="74">
        <f>IF('REGISTRO NO PAGAR'!B33="","",'REGISTRO NO PAGAR'!T33)</f>
        <v/>
      </c>
    </row>
    <row r="34" ht="15" customHeight="1">
      <c r="A34" s="74">
        <f>IF('REGISTRO NO PAGAR'!B34="","",'REGISTRO NO PAGAR'!A34)</f>
        <v/>
      </c>
      <c r="B34" s="74">
        <f>IF('REGISTRO NO PAGAR'!B34="","",'REGISTRO NO PAGAR'!B34)</f>
        <v/>
      </c>
      <c r="C34" s="74">
        <f>IF('REGISTRO NO PAGAR'!B34="","",'REGISTRO NO PAGAR'!C34)</f>
        <v/>
      </c>
      <c r="D34" s="74">
        <f>IF('REGISTRO NO PAGAR'!B34="","",'REGISTRO NO PAGAR'!D34)</f>
        <v/>
      </c>
      <c r="E34" s="74">
        <f>IF('REGISTRO NO PAGAR'!B34="","",'REGISTRO NO PAGAR'!E34)</f>
        <v/>
      </c>
      <c r="F34" s="74">
        <f>IF('REGISTRO NO PAGAR'!B34="","",'REGISTRO NO PAGAR'!F34)</f>
        <v/>
      </c>
      <c r="G34" s="74">
        <f>IF('REGISTRO NO PAGAR'!B34="","",'REGISTRO NO PAGAR'!G34)</f>
        <v/>
      </c>
      <c r="H34" s="74">
        <f>IF('REGISTRO NO PAGAR'!B34="","",'REGISTRO NO PAGAR'!I34)</f>
        <v/>
      </c>
      <c r="I34" s="74">
        <f>IF('REGISTRO NO PAGAR'!B34="","",'REGISTRO NO PAGAR'!J34)</f>
        <v/>
      </c>
      <c r="J34" s="74">
        <f>IF('REGISTRO NO PAGAR'!B34="","",'REGISTRO NO PAGAR'!K34)</f>
        <v/>
      </c>
      <c r="K34" s="74">
        <f>IF('REGISTRO NO PAGAR'!B34="","",'REGISTRO NO PAGAR'!M34)</f>
        <v/>
      </c>
      <c r="L34" s="75">
        <f>IF('REGISTRO NO PAGAR'!B34="","",'REGISTRO NO PAGAR'!N34)</f>
        <v/>
      </c>
      <c r="M34" s="74">
        <f>IF('REGISTRO NO PAGAR'!B34="","",'REGISTRO NO PAGAR'!T34)</f>
        <v/>
      </c>
    </row>
    <row r="35" ht="15" customHeight="1">
      <c r="A35" s="74">
        <f>IF('REGISTRO NO PAGAR'!B35="","",'REGISTRO NO PAGAR'!A35)</f>
        <v/>
      </c>
      <c r="B35" s="74">
        <f>IF('REGISTRO NO PAGAR'!B35="","",'REGISTRO NO PAGAR'!B35)</f>
        <v/>
      </c>
      <c r="C35" s="74">
        <f>IF('REGISTRO NO PAGAR'!B35="","",'REGISTRO NO PAGAR'!C35)</f>
        <v/>
      </c>
      <c r="D35" s="74">
        <f>IF('REGISTRO NO PAGAR'!B35="","",'REGISTRO NO PAGAR'!D35)</f>
        <v/>
      </c>
      <c r="E35" s="74">
        <f>IF('REGISTRO NO PAGAR'!B35="","",'REGISTRO NO PAGAR'!E35)</f>
        <v/>
      </c>
      <c r="F35" s="74">
        <f>IF('REGISTRO NO PAGAR'!B35="","",'REGISTRO NO PAGAR'!F35)</f>
        <v/>
      </c>
      <c r="G35" s="74">
        <f>IF('REGISTRO NO PAGAR'!B35="","",'REGISTRO NO PAGAR'!G35)</f>
        <v/>
      </c>
      <c r="H35" s="74">
        <f>IF('REGISTRO NO PAGAR'!B35="","",'REGISTRO NO PAGAR'!I35)</f>
        <v/>
      </c>
      <c r="I35" s="74">
        <f>IF('REGISTRO NO PAGAR'!B35="","",'REGISTRO NO PAGAR'!J35)</f>
        <v/>
      </c>
      <c r="J35" s="74">
        <f>IF('REGISTRO NO PAGAR'!B35="","",'REGISTRO NO PAGAR'!K35)</f>
        <v/>
      </c>
      <c r="K35" s="74">
        <f>IF('REGISTRO NO PAGAR'!B35="","",'REGISTRO NO PAGAR'!M35)</f>
        <v/>
      </c>
      <c r="L35" s="75">
        <f>IF('REGISTRO NO PAGAR'!B35="","",'REGISTRO NO PAGAR'!N35)</f>
        <v/>
      </c>
      <c r="M35" s="74">
        <f>IF('REGISTRO NO PAGAR'!B35="","",'REGISTRO NO PAGAR'!T35)</f>
        <v/>
      </c>
    </row>
    <row r="36" ht="15" customHeight="1">
      <c r="A36" s="74">
        <f>IF('REGISTRO NO PAGAR'!B36="","",'REGISTRO NO PAGAR'!A36)</f>
        <v/>
      </c>
      <c r="B36" s="74">
        <f>IF('REGISTRO NO PAGAR'!B36="","",'REGISTRO NO PAGAR'!B36)</f>
        <v/>
      </c>
      <c r="C36" s="74">
        <f>IF('REGISTRO NO PAGAR'!B36="","",'REGISTRO NO PAGAR'!C36)</f>
        <v/>
      </c>
      <c r="D36" s="74">
        <f>IF('REGISTRO NO PAGAR'!B36="","",'REGISTRO NO PAGAR'!D36)</f>
        <v/>
      </c>
      <c r="E36" s="74">
        <f>IF('REGISTRO NO PAGAR'!B36="","",'REGISTRO NO PAGAR'!E36)</f>
        <v/>
      </c>
      <c r="F36" s="74">
        <f>IF('REGISTRO NO PAGAR'!B36="","",'REGISTRO NO PAGAR'!F36)</f>
        <v/>
      </c>
      <c r="G36" s="74">
        <f>IF('REGISTRO NO PAGAR'!B36="","",'REGISTRO NO PAGAR'!G36)</f>
        <v/>
      </c>
      <c r="H36" s="74">
        <f>IF('REGISTRO NO PAGAR'!B36="","",'REGISTRO NO PAGAR'!I36)</f>
        <v/>
      </c>
      <c r="I36" s="74">
        <f>IF('REGISTRO NO PAGAR'!B36="","",'REGISTRO NO PAGAR'!J36)</f>
        <v/>
      </c>
      <c r="J36" s="74">
        <f>IF('REGISTRO NO PAGAR'!B36="","",'REGISTRO NO PAGAR'!K36)</f>
        <v/>
      </c>
      <c r="K36" s="74">
        <f>IF('REGISTRO NO PAGAR'!B36="","",'REGISTRO NO PAGAR'!M36)</f>
        <v/>
      </c>
      <c r="L36" s="75">
        <f>IF('REGISTRO NO PAGAR'!B36="","",'REGISTRO NO PAGAR'!N36)</f>
        <v/>
      </c>
      <c r="M36" s="74">
        <f>IF('REGISTRO NO PAGAR'!B36="","",'REGISTRO NO PAGAR'!T36)</f>
        <v/>
      </c>
    </row>
    <row r="37" ht="15" customHeight="1">
      <c r="A37" s="74">
        <f>IF('REGISTRO NO PAGAR'!B37="","",'REGISTRO NO PAGAR'!A37)</f>
        <v/>
      </c>
      <c r="B37" s="74">
        <f>IF('REGISTRO NO PAGAR'!B37="","",'REGISTRO NO PAGAR'!B37)</f>
        <v/>
      </c>
      <c r="C37" s="74">
        <f>IF('REGISTRO NO PAGAR'!B37="","",'REGISTRO NO PAGAR'!C37)</f>
        <v/>
      </c>
      <c r="D37" s="74">
        <f>IF('REGISTRO NO PAGAR'!B37="","",'REGISTRO NO PAGAR'!D37)</f>
        <v/>
      </c>
      <c r="E37" s="74">
        <f>IF('REGISTRO NO PAGAR'!B37="","",'REGISTRO NO PAGAR'!E37)</f>
        <v/>
      </c>
      <c r="F37" s="74">
        <f>IF('REGISTRO NO PAGAR'!B37="","",'REGISTRO NO PAGAR'!F37)</f>
        <v/>
      </c>
      <c r="G37" s="74">
        <f>IF('REGISTRO NO PAGAR'!B37="","",'REGISTRO NO PAGAR'!G37)</f>
        <v/>
      </c>
      <c r="H37" s="74">
        <f>IF('REGISTRO NO PAGAR'!B37="","",'REGISTRO NO PAGAR'!I37)</f>
        <v/>
      </c>
      <c r="I37" s="74">
        <f>IF('REGISTRO NO PAGAR'!B37="","",'REGISTRO NO PAGAR'!J37)</f>
        <v/>
      </c>
      <c r="J37" s="74">
        <f>IF('REGISTRO NO PAGAR'!B37="","",'REGISTRO NO PAGAR'!K37)</f>
        <v/>
      </c>
      <c r="K37" s="74">
        <f>IF('REGISTRO NO PAGAR'!B37="","",'REGISTRO NO PAGAR'!M37)</f>
        <v/>
      </c>
      <c r="L37" s="75">
        <f>IF('REGISTRO NO PAGAR'!B37="","",'REGISTRO NO PAGAR'!N37)</f>
        <v/>
      </c>
      <c r="M37" s="74">
        <f>IF('REGISTRO NO PAGAR'!B37="","",'REGISTRO NO PAGAR'!T37)</f>
        <v/>
      </c>
    </row>
    <row r="38" ht="15" customHeight="1">
      <c r="A38" s="74">
        <f>IF('REGISTRO NO PAGAR'!B38="","",'REGISTRO NO PAGAR'!A38)</f>
        <v/>
      </c>
      <c r="B38" s="74">
        <f>IF('REGISTRO NO PAGAR'!B38="","",'REGISTRO NO PAGAR'!B38)</f>
        <v/>
      </c>
      <c r="C38" s="74">
        <f>IF('REGISTRO NO PAGAR'!B38="","",'REGISTRO NO PAGAR'!C38)</f>
        <v/>
      </c>
      <c r="D38" s="74">
        <f>IF('REGISTRO NO PAGAR'!B38="","",'REGISTRO NO PAGAR'!D38)</f>
        <v/>
      </c>
      <c r="E38" s="74">
        <f>IF('REGISTRO NO PAGAR'!B38="","",'REGISTRO NO PAGAR'!E38)</f>
        <v/>
      </c>
      <c r="F38" s="74">
        <f>IF('REGISTRO NO PAGAR'!B38="","",'REGISTRO NO PAGAR'!F38)</f>
        <v/>
      </c>
      <c r="G38" s="74">
        <f>IF('REGISTRO NO PAGAR'!B38="","",'REGISTRO NO PAGAR'!G38)</f>
        <v/>
      </c>
      <c r="H38" s="74">
        <f>IF('REGISTRO NO PAGAR'!B38="","",'REGISTRO NO PAGAR'!I38)</f>
        <v/>
      </c>
      <c r="I38" s="74">
        <f>IF('REGISTRO NO PAGAR'!B38="","",'REGISTRO NO PAGAR'!J38)</f>
        <v/>
      </c>
      <c r="J38" s="74">
        <f>IF('REGISTRO NO PAGAR'!B38="","",'REGISTRO NO PAGAR'!K38)</f>
        <v/>
      </c>
      <c r="K38" s="74">
        <f>IF('REGISTRO NO PAGAR'!B38="","",'REGISTRO NO PAGAR'!M38)</f>
        <v/>
      </c>
      <c r="L38" s="75">
        <f>IF('REGISTRO NO PAGAR'!B38="","",'REGISTRO NO PAGAR'!N38)</f>
        <v/>
      </c>
      <c r="M38" s="74">
        <f>IF('REGISTRO NO PAGAR'!B38="","",'REGISTRO NO PAGAR'!T38)</f>
        <v/>
      </c>
    </row>
    <row r="39" ht="15" customHeight="1">
      <c r="A39" s="74">
        <f>IF('REGISTRO NO PAGAR'!B39="","",'REGISTRO NO PAGAR'!A39)</f>
        <v/>
      </c>
      <c r="B39" s="74">
        <f>IF('REGISTRO NO PAGAR'!B39="","",'REGISTRO NO PAGAR'!B39)</f>
        <v/>
      </c>
      <c r="C39" s="74">
        <f>IF('REGISTRO NO PAGAR'!B39="","",'REGISTRO NO PAGAR'!C39)</f>
        <v/>
      </c>
      <c r="D39" s="74">
        <f>IF('REGISTRO NO PAGAR'!B39="","",'REGISTRO NO PAGAR'!D39)</f>
        <v/>
      </c>
      <c r="E39" s="74">
        <f>IF('REGISTRO NO PAGAR'!B39="","",'REGISTRO NO PAGAR'!E39)</f>
        <v/>
      </c>
      <c r="F39" s="74">
        <f>IF('REGISTRO NO PAGAR'!B39="","",'REGISTRO NO PAGAR'!F39)</f>
        <v/>
      </c>
      <c r="G39" s="74">
        <f>IF('REGISTRO NO PAGAR'!B39="","",'REGISTRO NO PAGAR'!G39)</f>
        <v/>
      </c>
      <c r="H39" s="74">
        <f>IF('REGISTRO NO PAGAR'!B39="","",'REGISTRO NO PAGAR'!I39)</f>
        <v/>
      </c>
      <c r="I39" s="74">
        <f>IF('REGISTRO NO PAGAR'!B39="","",'REGISTRO NO PAGAR'!J39)</f>
        <v/>
      </c>
      <c r="J39" s="74">
        <f>IF('REGISTRO NO PAGAR'!B39="","",'REGISTRO NO PAGAR'!K39)</f>
        <v/>
      </c>
      <c r="K39" s="74">
        <f>IF('REGISTRO NO PAGAR'!B39="","",'REGISTRO NO PAGAR'!M39)</f>
        <v/>
      </c>
      <c r="L39" s="75">
        <f>IF('REGISTRO NO PAGAR'!B39="","",'REGISTRO NO PAGAR'!N39)</f>
        <v/>
      </c>
      <c r="M39" s="74">
        <f>IF('REGISTRO NO PAGAR'!B39="","",'REGISTRO NO PAGAR'!T39)</f>
        <v/>
      </c>
    </row>
    <row r="40" ht="15" customHeight="1">
      <c r="A40" s="74">
        <f>IF('REGISTRO NO PAGAR'!B40="","",'REGISTRO NO PAGAR'!A40)</f>
        <v/>
      </c>
      <c r="B40" s="74">
        <f>IF('REGISTRO NO PAGAR'!B40="","",'REGISTRO NO PAGAR'!B40)</f>
        <v/>
      </c>
      <c r="C40" s="74">
        <f>IF('REGISTRO NO PAGAR'!B40="","",'REGISTRO NO PAGAR'!C40)</f>
        <v/>
      </c>
      <c r="D40" s="74">
        <f>IF('REGISTRO NO PAGAR'!B40="","",'REGISTRO NO PAGAR'!D40)</f>
        <v/>
      </c>
      <c r="E40" s="74">
        <f>IF('REGISTRO NO PAGAR'!B40="","",'REGISTRO NO PAGAR'!E40)</f>
        <v/>
      </c>
      <c r="F40" s="74">
        <f>IF('REGISTRO NO PAGAR'!B40="","",'REGISTRO NO PAGAR'!F40)</f>
        <v/>
      </c>
      <c r="G40" s="74">
        <f>IF('REGISTRO NO PAGAR'!B40="","",'REGISTRO NO PAGAR'!G40)</f>
        <v/>
      </c>
      <c r="H40" s="74">
        <f>IF('REGISTRO NO PAGAR'!B40="","",'REGISTRO NO PAGAR'!I40)</f>
        <v/>
      </c>
      <c r="I40" s="74">
        <f>IF('REGISTRO NO PAGAR'!B40="","",'REGISTRO NO PAGAR'!J40)</f>
        <v/>
      </c>
      <c r="J40" s="74">
        <f>IF('REGISTRO NO PAGAR'!B40="","",'REGISTRO NO PAGAR'!K40)</f>
        <v/>
      </c>
      <c r="K40" s="74">
        <f>IF('REGISTRO NO PAGAR'!B40="","",'REGISTRO NO PAGAR'!M40)</f>
        <v/>
      </c>
      <c r="L40" s="75">
        <f>IF('REGISTRO NO PAGAR'!B40="","",'REGISTRO NO PAGAR'!N40)</f>
        <v/>
      </c>
      <c r="M40" s="74">
        <f>IF('REGISTRO NO PAGAR'!B40="","",'REGISTRO NO PAGAR'!T40)</f>
        <v/>
      </c>
    </row>
    <row r="41" ht="15" customHeight="1">
      <c r="A41" s="74">
        <f>IF('REGISTRO NO PAGAR'!B41="","",'REGISTRO NO PAGAR'!A41)</f>
        <v/>
      </c>
      <c r="B41" s="74">
        <f>IF('REGISTRO NO PAGAR'!B41="","",'REGISTRO NO PAGAR'!B41)</f>
        <v/>
      </c>
      <c r="C41" s="74">
        <f>IF('REGISTRO NO PAGAR'!B41="","",'REGISTRO NO PAGAR'!C41)</f>
        <v/>
      </c>
      <c r="D41" s="74">
        <f>IF('REGISTRO NO PAGAR'!B41="","",'REGISTRO NO PAGAR'!D41)</f>
        <v/>
      </c>
      <c r="E41" s="74">
        <f>IF('REGISTRO NO PAGAR'!B41="","",'REGISTRO NO PAGAR'!E41)</f>
        <v/>
      </c>
      <c r="F41" s="74">
        <f>IF('REGISTRO NO PAGAR'!B41="","",'REGISTRO NO PAGAR'!F41)</f>
        <v/>
      </c>
      <c r="G41" s="74">
        <f>IF('REGISTRO NO PAGAR'!B41="","",'REGISTRO NO PAGAR'!G41)</f>
        <v/>
      </c>
      <c r="H41" s="74">
        <f>IF('REGISTRO NO PAGAR'!B41="","",'REGISTRO NO PAGAR'!I41)</f>
        <v/>
      </c>
      <c r="I41" s="74">
        <f>IF('REGISTRO NO PAGAR'!B41="","",'REGISTRO NO PAGAR'!J41)</f>
        <v/>
      </c>
      <c r="J41" s="74">
        <f>IF('REGISTRO NO PAGAR'!B41="","",'REGISTRO NO PAGAR'!K41)</f>
        <v/>
      </c>
      <c r="K41" s="74">
        <f>IF('REGISTRO NO PAGAR'!B41="","",'REGISTRO NO PAGAR'!M41)</f>
        <v/>
      </c>
      <c r="L41" s="75">
        <f>IF('REGISTRO NO PAGAR'!B41="","",'REGISTRO NO PAGAR'!N41)</f>
        <v/>
      </c>
      <c r="M41" s="74">
        <f>IF('REGISTRO NO PAGAR'!B41="","",'REGISTRO NO PAGAR'!T41)</f>
        <v/>
      </c>
    </row>
    <row r="42" ht="15" customHeight="1">
      <c r="A42" s="74">
        <f>IF('REGISTRO NO PAGAR'!B42="","",'REGISTRO NO PAGAR'!A42)</f>
        <v/>
      </c>
      <c r="B42" s="74">
        <f>IF('REGISTRO NO PAGAR'!B42="","",'REGISTRO NO PAGAR'!B42)</f>
        <v/>
      </c>
      <c r="C42" s="74">
        <f>IF('REGISTRO NO PAGAR'!B42="","",'REGISTRO NO PAGAR'!C42)</f>
        <v/>
      </c>
      <c r="D42" s="74">
        <f>IF('REGISTRO NO PAGAR'!B42="","",'REGISTRO NO PAGAR'!D42)</f>
        <v/>
      </c>
      <c r="E42" s="74">
        <f>IF('REGISTRO NO PAGAR'!B42="","",'REGISTRO NO PAGAR'!E42)</f>
        <v/>
      </c>
      <c r="F42" s="74">
        <f>IF('REGISTRO NO PAGAR'!B42="","",'REGISTRO NO PAGAR'!F42)</f>
        <v/>
      </c>
      <c r="G42" s="74">
        <f>IF('REGISTRO NO PAGAR'!B42="","",'REGISTRO NO PAGAR'!G42)</f>
        <v/>
      </c>
      <c r="H42" s="74">
        <f>IF('REGISTRO NO PAGAR'!B42="","",'REGISTRO NO PAGAR'!I42)</f>
        <v/>
      </c>
      <c r="I42" s="74">
        <f>IF('REGISTRO NO PAGAR'!B42="","",'REGISTRO NO PAGAR'!J42)</f>
        <v/>
      </c>
      <c r="J42" s="74">
        <f>IF('REGISTRO NO PAGAR'!B42="","",'REGISTRO NO PAGAR'!K42)</f>
        <v/>
      </c>
      <c r="K42" s="74">
        <f>IF('REGISTRO NO PAGAR'!B42="","",'REGISTRO NO PAGAR'!M42)</f>
        <v/>
      </c>
      <c r="L42" s="75">
        <f>IF('REGISTRO NO PAGAR'!B42="","",'REGISTRO NO PAGAR'!N42)</f>
        <v/>
      </c>
      <c r="M42" s="74">
        <f>IF('REGISTRO NO PAGAR'!B42="","",'REGISTRO NO PAGAR'!T42)</f>
        <v/>
      </c>
    </row>
    <row r="43" ht="15" customHeight="1">
      <c r="A43" s="74">
        <f>IF('REGISTRO NO PAGAR'!B43="","",'REGISTRO NO PAGAR'!A43)</f>
        <v/>
      </c>
      <c r="B43" s="74">
        <f>IF('REGISTRO NO PAGAR'!B43="","",'REGISTRO NO PAGAR'!B43)</f>
        <v/>
      </c>
      <c r="C43" s="74">
        <f>IF('REGISTRO NO PAGAR'!B43="","",'REGISTRO NO PAGAR'!C43)</f>
        <v/>
      </c>
      <c r="D43" s="74">
        <f>IF('REGISTRO NO PAGAR'!B43="","",'REGISTRO NO PAGAR'!D43)</f>
        <v/>
      </c>
      <c r="E43" s="74">
        <f>IF('REGISTRO NO PAGAR'!B43="","",'REGISTRO NO PAGAR'!E43)</f>
        <v/>
      </c>
      <c r="F43" s="74">
        <f>IF('REGISTRO NO PAGAR'!B43="","",'REGISTRO NO PAGAR'!F43)</f>
        <v/>
      </c>
      <c r="G43" s="74">
        <f>IF('REGISTRO NO PAGAR'!B43="","",'REGISTRO NO PAGAR'!G43)</f>
        <v/>
      </c>
      <c r="H43" s="74">
        <f>IF('REGISTRO NO PAGAR'!B43="","",'REGISTRO NO PAGAR'!I43)</f>
        <v/>
      </c>
      <c r="I43" s="74">
        <f>IF('REGISTRO NO PAGAR'!B43="","",'REGISTRO NO PAGAR'!J43)</f>
        <v/>
      </c>
      <c r="J43" s="74">
        <f>IF('REGISTRO NO PAGAR'!B43="","",'REGISTRO NO PAGAR'!K43)</f>
        <v/>
      </c>
      <c r="K43" s="74">
        <f>IF('REGISTRO NO PAGAR'!B43="","",'REGISTRO NO PAGAR'!M43)</f>
        <v/>
      </c>
      <c r="L43" s="75">
        <f>IF('REGISTRO NO PAGAR'!B43="","",'REGISTRO NO PAGAR'!N43)</f>
        <v/>
      </c>
      <c r="M43" s="74">
        <f>IF('REGISTRO NO PAGAR'!B43="","",'REGISTRO NO PAGAR'!T43)</f>
        <v/>
      </c>
    </row>
    <row r="44" ht="15" customHeight="1">
      <c r="A44" s="74">
        <f>IF('REGISTRO NO PAGAR'!B44="","",'REGISTRO NO PAGAR'!A44)</f>
        <v/>
      </c>
      <c r="B44" s="74">
        <f>IF('REGISTRO NO PAGAR'!B44="","",'REGISTRO NO PAGAR'!B44)</f>
        <v/>
      </c>
      <c r="C44" s="74">
        <f>IF('REGISTRO NO PAGAR'!B44="","",'REGISTRO NO PAGAR'!C44)</f>
        <v/>
      </c>
      <c r="D44" s="74">
        <f>IF('REGISTRO NO PAGAR'!B44="","",'REGISTRO NO PAGAR'!D44)</f>
        <v/>
      </c>
      <c r="E44" s="74">
        <f>IF('REGISTRO NO PAGAR'!B44="","",'REGISTRO NO PAGAR'!E44)</f>
        <v/>
      </c>
      <c r="F44" s="74">
        <f>IF('REGISTRO NO PAGAR'!B44="","",'REGISTRO NO PAGAR'!F44)</f>
        <v/>
      </c>
      <c r="G44" s="74">
        <f>IF('REGISTRO NO PAGAR'!B44="","",'REGISTRO NO PAGAR'!G44)</f>
        <v/>
      </c>
      <c r="H44" s="74">
        <f>IF('REGISTRO NO PAGAR'!B44="","",'REGISTRO NO PAGAR'!I44)</f>
        <v/>
      </c>
      <c r="I44" s="74">
        <f>IF('REGISTRO NO PAGAR'!B44="","",'REGISTRO NO PAGAR'!J44)</f>
        <v/>
      </c>
      <c r="J44" s="74">
        <f>IF('REGISTRO NO PAGAR'!B44="","",'REGISTRO NO PAGAR'!K44)</f>
        <v/>
      </c>
      <c r="K44" s="74">
        <f>IF('REGISTRO NO PAGAR'!B44="","",'REGISTRO NO PAGAR'!M44)</f>
        <v/>
      </c>
      <c r="L44" s="75">
        <f>IF('REGISTRO NO PAGAR'!B44="","",'REGISTRO NO PAGAR'!N44)</f>
        <v/>
      </c>
      <c r="M44" s="74">
        <f>IF('REGISTRO NO PAGAR'!B44="","",'REGISTRO NO PAGAR'!T44)</f>
        <v/>
      </c>
    </row>
    <row r="45" ht="15" customHeight="1">
      <c r="A45" s="74">
        <f>IF('REGISTRO NO PAGAR'!B45="","",'REGISTRO NO PAGAR'!A45)</f>
        <v/>
      </c>
      <c r="B45" s="74">
        <f>IF('REGISTRO NO PAGAR'!B45="","",'REGISTRO NO PAGAR'!B45)</f>
        <v/>
      </c>
      <c r="C45" s="74">
        <f>IF('REGISTRO NO PAGAR'!B45="","",'REGISTRO NO PAGAR'!C45)</f>
        <v/>
      </c>
      <c r="D45" s="74">
        <f>IF('REGISTRO NO PAGAR'!B45="","",'REGISTRO NO PAGAR'!D45)</f>
        <v/>
      </c>
      <c r="E45" s="74">
        <f>IF('REGISTRO NO PAGAR'!B45="","",'REGISTRO NO PAGAR'!E45)</f>
        <v/>
      </c>
      <c r="F45" s="74">
        <f>IF('REGISTRO NO PAGAR'!B45="","",'REGISTRO NO PAGAR'!F45)</f>
        <v/>
      </c>
      <c r="G45" s="74">
        <f>IF('REGISTRO NO PAGAR'!B45="","",'REGISTRO NO PAGAR'!G45)</f>
        <v/>
      </c>
      <c r="H45" s="74">
        <f>IF('REGISTRO NO PAGAR'!B45="","",'REGISTRO NO PAGAR'!I45)</f>
        <v/>
      </c>
      <c r="I45" s="74">
        <f>IF('REGISTRO NO PAGAR'!B45="","",'REGISTRO NO PAGAR'!J45)</f>
        <v/>
      </c>
      <c r="J45" s="74">
        <f>IF('REGISTRO NO PAGAR'!B45="","",'REGISTRO NO PAGAR'!K45)</f>
        <v/>
      </c>
      <c r="K45" s="74">
        <f>IF('REGISTRO NO PAGAR'!B45="","",'REGISTRO NO PAGAR'!M45)</f>
        <v/>
      </c>
      <c r="L45" s="75">
        <f>IF('REGISTRO NO PAGAR'!B45="","",'REGISTRO NO PAGAR'!N45)</f>
        <v/>
      </c>
      <c r="M45" s="74">
        <f>IF('REGISTRO NO PAGAR'!B45="","",'REGISTRO NO PAGAR'!T45)</f>
        <v/>
      </c>
    </row>
    <row r="46" ht="15" customHeight="1">
      <c r="A46" s="74">
        <f>IF('REGISTRO NO PAGAR'!B46="","",'REGISTRO NO PAGAR'!A46)</f>
        <v/>
      </c>
      <c r="B46" s="74">
        <f>IF('REGISTRO NO PAGAR'!B46="","",'REGISTRO NO PAGAR'!B46)</f>
        <v/>
      </c>
      <c r="C46" s="74">
        <f>IF('REGISTRO NO PAGAR'!B46="","",'REGISTRO NO PAGAR'!C46)</f>
        <v/>
      </c>
      <c r="D46" s="74">
        <f>IF('REGISTRO NO PAGAR'!B46="","",'REGISTRO NO PAGAR'!D46)</f>
        <v/>
      </c>
      <c r="E46" s="74">
        <f>IF('REGISTRO NO PAGAR'!B46="","",'REGISTRO NO PAGAR'!E46)</f>
        <v/>
      </c>
      <c r="F46" s="74">
        <f>IF('REGISTRO NO PAGAR'!B46="","",'REGISTRO NO PAGAR'!F46)</f>
        <v/>
      </c>
      <c r="G46" s="74">
        <f>IF('REGISTRO NO PAGAR'!B46="","",'REGISTRO NO PAGAR'!G46)</f>
        <v/>
      </c>
      <c r="H46" s="74">
        <f>IF('REGISTRO NO PAGAR'!B46="","",'REGISTRO NO PAGAR'!I46)</f>
        <v/>
      </c>
      <c r="I46" s="74">
        <f>IF('REGISTRO NO PAGAR'!B46="","",'REGISTRO NO PAGAR'!J46)</f>
        <v/>
      </c>
      <c r="J46" s="74">
        <f>IF('REGISTRO NO PAGAR'!B46="","",'REGISTRO NO PAGAR'!K46)</f>
        <v/>
      </c>
      <c r="K46" s="74">
        <f>IF('REGISTRO NO PAGAR'!B46="","",'REGISTRO NO PAGAR'!M46)</f>
        <v/>
      </c>
      <c r="L46" s="75">
        <f>IF('REGISTRO NO PAGAR'!B46="","",'REGISTRO NO PAGAR'!N46)</f>
        <v/>
      </c>
      <c r="M46" s="74">
        <f>IF('REGISTRO NO PAGAR'!B46="","",'REGISTRO NO PAGAR'!T46)</f>
        <v/>
      </c>
    </row>
    <row r="47" ht="15" customHeight="1">
      <c r="A47" s="74">
        <f>IF('REGISTRO NO PAGAR'!B47="","",'REGISTRO NO PAGAR'!A47)</f>
        <v/>
      </c>
      <c r="B47" s="74">
        <f>IF('REGISTRO NO PAGAR'!B47="","",'REGISTRO NO PAGAR'!B47)</f>
        <v/>
      </c>
      <c r="C47" s="74">
        <f>IF('REGISTRO NO PAGAR'!B47="","",'REGISTRO NO PAGAR'!C47)</f>
        <v/>
      </c>
      <c r="D47" s="74">
        <f>IF('REGISTRO NO PAGAR'!B47="","",'REGISTRO NO PAGAR'!D47)</f>
        <v/>
      </c>
      <c r="E47" s="74">
        <f>IF('REGISTRO NO PAGAR'!B47="","",'REGISTRO NO PAGAR'!E47)</f>
        <v/>
      </c>
      <c r="F47" s="74">
        <f>IF('REGISTRO NO PAGAR'!B47="","",'REGISTRO NO PAGAR'!F47)</f>
        <v/>
      </c>
      <c r="G47" s="74">
        <f>IF('REGISTRO NO PAGAR'!B47="","",'REGISTRO NO PAGAR'!G47)</f>
        <v/>
      </c>
      <c r="H47" s="74">
        <f>IF('REGISTRO NO PAGAR'!B47="","",'REGISTRO NO PAGAR'!I47)</f>
        <v/>
      </c>
      <c r="I47" s="74">
        <f>IF('REGISTRO NO PAGAR'!B47="","",'REGISTRO NO PAGAR'!J47)</f>
        <v/>
      </c>
      <c r="J47" s="74">
        <f>IF('REGISTRO NO PAGAR'!B47="","",'REGISTRO NO PAGAR'!K47)</f>
        <v/>
      </c>
      <c r="K47" s="74">
        <f>IF('REGISTRO NO PAGAR'!B47="","",'REGISTRO NO PAGAR'!M47)</f>
        <v/>
      </c>
      <c r="L47" s="75">
        <f>IF('REGISTRO NO PAGAR'!B47="","",'REGISTRO NO PAGAR'!N47)</f>
        <v/>
      </c>
      <c r="M47" s="74">
        <f>IF('REGISTRO NO PAGAR'!B47="","",'REGISTRO NO PAGAR'!T47)</f>
        <v/>
      </c>
    </row>
    <row r="48" ht="15" customHeight="1">
      <c r="A48" s="74">
        <f>IF('REGISTRO NO PAGAR'!B48="","",'REGISTRO NO PAGAR'!A48)</f>
        <v/>
      </c>
      <c r="B48" s="74">
        <f>IF('REGISTRO NO PAGAR'!B48="","",'REGISTRO NO PAGAR'!B48)</f>
        <v/>
      </c>
      <c r="C48" s="74">
        <f>IF('REGISTRO NO PAGAR'!B48="","",'REGISTRO NO PAGAR'!C48)</f>
        <v/>
      </c>
      <c r="D48" s="74">
        <f>IF('REGISTRO NO PAGAR'!B48="","",'REGISTRO NO PAGAR'!D48)</f>
        <v/>
      </c>
      <c r="E48" s="74">
        <f>IF('REGISTRO NO PAGAR'!B48="","",'REGISTRO NO PAGAR'!E48)</f>
        <v/>
      </c>
      <c r="F48" s="74">
        <f>IF('REGISTRO NO PAGAR'!B48="","",'REGISTRO NO PAGAR'!F48)</f>
        <v/>
      </c>
      <c r="G48" s="74">
        <f>IF('REGISTRO NO PAGAR'!B48="","",'REGISTRO NO PAGAR'!G48)</f>
        <v/>
      </c>
      <c r="H48" s="74">
        <f>IF('REGISTRO NO PAGAR'!B48="","",'REGISTRO NO PAGAR'!I48)</f>
        <v/>
      </c>
      <c r="I48" s="74">
        <f>IF('REGISTRO NO PAGAR'!B48="","",'REGISTRO NO PAGAR'!J48)</f>
        <v/>
      </c>
      <c r="J48" s="74">
        <f>IF('REGISTRO NO PAGAR'!B48="","",'REGISTRO NO PAGAR'!K48)</f>
        <v/>
      </c>
      <c r="K48" s="74">
        <f>IF('REGISTRO NO PAGAR'!B48="","",'REGISTRO NO PAGAR'!M48)</f>
        <v/>
      </c>
      <c r="L48" s="75">
        <f>IF('REGISTRO NO PAGAR'!B48="","",'REGISTRO NO PAGAR'!N48)</f>
        <v/>
      </c>
      <c r="M48" s="74">
        <f>IF('REGISTRO NO PAGAR'!B48="","",'REGISTRO NO PAGAR'!T48)</f>
        <v/>
      </c>
    </row>
    <row r="49" ht="15" customHeight="1">
      <c r="A49" s="74">
        <f>IF('REGISTRO NO PAGAR'!B49="","",'REGISTRO NO PAGAR'!A49)</f>
        <v/>
      </c>
      <c r="B49" s="74">
        <f>IF('REGISTRO NO PAGAR'!B49="","",'REGISTRO NO PAGAR'!B49)</f>
        <v/>
      </c>
      <c r="C49" s="74">
        <f>IF('REGISTRO NO PAGAR'!B49="","",'REGISTRO NO PAGAR'!C49)</f>
        <v/>
      </c>
      <c r="D49" s="74">
        <f>IF('REGISTRO NO PAGAR'!B49="","",'REGISTRO NO PAGAR'!D49)</f>
        <v/>
      </c>
      <c r="E49" s="74">
        <f>IF('REGISTRO NO PAGAR'!B49="","",'REGISTRO NO PAGAR'!E49)</f>
        <v/>
      </c>
      <c r="F49" s="74">
        <f>IF('REGISTRO NO PAGAR'!B49="","",'REGISTRO NO PAGAR'!F49)</f>
        <v/>
      </c>
      <c r="G49" s="74">
        <f>IF('REGISTRO NO PAGAR'!B49="","",'REGISTRO NO PAGAR'!G49)</f>
        <v/>
      </c>
      <c r="H49" s="74">
        <f>IF('REGISTRO NO PAGAR'!B49="","",'REGISTRO NO PAGAR'!I49)</f>
        <v/>
      </c>
      <c r="I49" s="74">
        <f>IF('REGISTRO NO PAGAR'!B49="","",'REGISTRO NO PAGAR'!J49)</f>
        <v/>
      </c>
      <c r="J49" s="74">
        <f>IF('REGISTRO NO PAGAR'!B49="","",'REGISTRO NO PAGAR'!K49)</f>
        <v/>
      </c>
      <c r="K49" s="74">
        <f>IF('REGISTRO NO PAGAR'!B49="","",'REGISTRO NO PAGAR'!M49)</f>
        <v/>
      </c>
      <c r="L49" s="75">
        <f>IF('REGISTRO NO PAGAR'!B49="","",'REGISTRO NO PAGAR'!N49)</f>
        <v/>
      </c>
      <c r="M49" s="74">
        <f>IF('REGISTRO NO PAGAR'!B49="","",'REGISTRO NO PAGAR'!T49)</f>
        <v/>
      </c>
    </row>
    <row r="50" ht="15" customHeight="1">
      <c r="A50" s="74">
        <f>IF('REGISTRO NO PAGAR'!B50="","",'REGISTRO NO PAGAR'!A50)</f>
        <v/>
      </c>
      <c r="B50" s="74">
        <f>IF('REGISTRO NO PAGAR'!B50="","",'REGISTRO NO PAGAR'!B50)</f>
        <v/>
      </c>
      <c r="C50" s="74">
        <f>IF('REGISTRO NO PAGAR'!B50="","",'REGISTRO NO PAGAR'!C50)</f>
        <v/>
      </c>
      <c r="D50" s="74">
        <f>IF('REGISTRO NO PAGAR'!B50="","",'REGISTRO NO PAGAR'!D50)</f>
        <v/>
      </c>
      <c r="E50" s="74">
        <f>IF('REGISTRO NO PAGAR'!B50="","",'REGISTRO NO PAGAR'!E50)</f>
        <v/>
      </c>
      <c r="F50" s="74">
        <f>IF('REGISTRO NO PAGAR'!B50="","",'REGISTRO NO PAGAR'!F50)</f>
        <v/>
      </c>
      <c r="G50" s="74">
        <f>IF('REGISTRO NO PAGAR'!B50="","",'REGISTRO NO PAGAR'!G50)</f>
        <v/>
      </c>
      <c r="H50" s="74">
        <f>IF('REGISTRO NO PAGAR'!B50="","",'REGISTRO NO PAGAR'!I50)</f>
        <v/>
      </c>
      <c r="I50" s="74">
        <f>IF('REGISTRO NO PAGAR'!B50="","",'REGISTRO NO PAGAR'!J50)</f>
        <v/>
      </c>
      <c r="J50" s="74">
        <f>IF('REGISTRO NO PAGAR'!B50="","",'REGISTRO NO PAGAR'!K50)</f>
        <v/>
      </c>
      <c r="K50" s="74">
        <f>IF('REGISTRO NO PAGAR'!B50="","",'REGISTRO NO PAGAR'!M50)</f>
        <v/>
      </c>
      <c r="L50" s="75">
        <f>IF('REGISTRO NO PAGAR'!B50="","",'REGISTRO NO PAGAR'!N50)</f>
        <v/>
      </c>
      <c r="M50" s="74">
        <f>IF('REGISTRO NO PAGAR'!B50="","",'REGISTRO NO PAGAR'!T50)</f>
        <v/>
      </c>
    </row>
    <row r="51" ht="15" customHeight="1">
      <c r="A51" s="74">
        <f>IF('REGISTRO NO PAGAR'!B51="","",'REGISTRO NO PAGAR'!A51)</f>
        <v/>
      </c>
      <c r="B51" s="74">
        <f>IF('REGISTRO NO PAGAR'!B51="","",'REGISTRO NO PAGAR'!B51)</f>
        <v/>
      </c>
      <c r="C51" s="74">
        <f>IF('REGISTRO NO PAGAR'!B51="","",'REGISTRO NO PAGAR'!C51)</f>
        <v/>
      </c>
      <c r="D51" s="74">
        <f>IF('REGISTRO NO PAGAR'!B51="","",'REGISTRO NO PAGAR'!D51)</f>
        <v/>
      </c>
      <c r="E51" s="74">
        <f>IF('REGISTRO NO PAGAR'!B51="","",'REGISTRO NO PAGAR'!E51)</f>
        <v/>
      </c>
      <c r="F51" s="74">
        <f>IF('REGISTRO NO PAGAR'!B51="","",'REGISTRO NO PAGAR'!F51)</f>
        <v/>
      </c>
      <c r="G51" s="74">
        <f>IF('REGISTRO NO PAGAR'!B51="","",'REGISTRO NO PAGAR'!G51)</f>
        <v/>
      </c>
      <c r="H51" s="74">
        <f>IF('REGISTRO NO PAGAR'!B51="","",'REGISTRO NO PAGAR'!I51)</f>
        <v/>
      </c>
      <c r="I51" s="74">
        <f>IF('REGISTRO NO PAGAR'!B51="","",'REGISTRO NO PAGAR'!J51)</f>
        <v/>
      </c>
      <c r="J51" s="74">
        <f>IF('REGISTRO NO PAGAR'!B51="","",'REGISTRO NO PAGAR'!K51)</f>
        <v/>
      </c>
      <c r="K51" s="74">
        <f>IF('REGISTRO NO PAGAR'!B51="","",'REGISTRO NO PAGAR'!M51)</f>
        <v/>
      </c>
      <c r="L51" s="75">
        <f>IF('REGISTRO NO PAGAR'!B51="","",'REGISTRO NO PAGAR'!N51)</f>
        <v/>
      </c>
      <c r="M51" s="74">
        <f>IF('REGISTRO NO PAGAR'!B51="","",'REGISTRO NO PAGAR'!T51)</f>
        <v/>
      </c>
    </row>
    <row r="52" ht="15" customHeight="1">
      <c r="A52" s="74">
        <f>IF('REGISTRO NO PAGAR'!B52="","",'REGISTRO NO PAGAR'!A52)</f>
        <v/>
      </c>
      <c r="B52" s="74">
        <f>IF('REGISTRO NO PAGAR'!B52="","",'REGISTRO NO PAGAR'!B52)</f>
        <v/>
      </c>
      <c r="C52" s="74">
        <f>IF('REGISTRO NO PAGAR'!B52="","",'REGISTRO NO PAGAR'!C52)</f>
        <v/>
      </c>
      <c r="D52" s="74">
        <f>IF('REGISTRO NO PAGAR'!B52="","",'REGISTRO NO PAGAR'!D52)</f>
        <v/>
      </c>
      <c r="E52" s="74">
        <f>IF('REGISTRO NO PAGAR'!B52="","",'REGISTRO NO PAGAR'!E52)</f>
        <v/>
      </c>
      <c r="F52" s="74">
        <f>IF('REGISTRO NO PAGAR'!B52="","",'REGISTRO NO PAGAR'!F52)</f>
        <v/>
      </c>
      <c r="G52" s="74">
        <f>IF('REGISTRO NO PAGAR'!B52="","",'REGISTRO NO PAGAR'!G52)</f>
        <v/>
      </c>
      <c r="H52" s="74">
        <f>IF('REGISTRO NO PAGAR'!B52="","",'REGISTRO NO PAGAR'!I52)</f>
        <v/>
      </c>
      <c r="I52" s="74">
        <f>IF('REGISTRO NO PAGAR'!B52="","",'REGISTRO NO PAGAR'!J52)</f>
        <v/>
      </c>
      <c r="J52" s="74">
        <f>IF('REGISTRO NO PAGAR'!B52="","",'REGISTRO NO PAGAR'!K52)</f>
        <v/>
      </c>
      <c r="K52" s="74">
        <f>IF('REGISTRO NO PAGAR'!B52="","",'REGISTRO NO PAGAR'!M52)</f>
        <v/>
      </c>
      <c r="L52" s="75">
        <f>IF('REGISTRO NO PAGAR'!B52="","",'REGISTRO NO PAGAR'!N52)</f>
        <v/>
      </c>
      <c r="M52" s="74">
        <f>IF('REGISTRO NO PAGAR'!B52="","",'REGISTRO NO PAGAR'!T52)</f>
        <v/>
      </c>
    </row>
    <row r="53" ht="15" customHeight="1">
      <c r="A53" s="74">
        <f>IF('REGISTRO NO PAGAR'!B53="","",'REGISTRO NO PAGAR'!A53)</f>
        <v/>
      </c>
      <c r="B53" s="74">
        <f>IF('REGISTRO NO PAGAR'!B53="","",'REGISTRO NO PAGAR'!B53)</f>
        <v/>
      </c>
      <c r="C53" s="74">
        <f>IF('REGISTRO NO PAGAR'!B53="","",'REGISTRO NO PAGAR'!C53)</f>
        <v/>
      </c>
      <c r="D53" s="74">
        <f>IF('REGISTRO NO PAGAR'!B53="","",'REGISTRO NO PAGAR'!D53)</f>
        <v/>
      </c>
      <c r="E53" s="74">
        <f>IF('REGISTRO NO PAGAR'!B53="","",'REGISTRO NO PAGAR'!E53)</f>
        <v/>
      </c>
      <c r="F53" s="74">
        <f>IF('REGISTRO NO PAGAR'!B53="","",'REGISTRO NO PAGAR'!F53)</f>
        <v/>
      </c>
      <c r="G53" s="74">
        <f>IF('REGISTRO NO PAGAR'!B53="","",'REGISTRO NO PAGAR'!G53)</f>
        <v/>
      </c>
      <c r="H53" s="74">
        <f>IF('REGISTRO NO PAGAR'!B53="","",'REGISTRO NO PAGAR'!I53)</f>
        <v/>
      </c>
      <c r="I53" s="74">
        <f>IF('REGISTRO NO PAGAR'!B53="","",'REGISTRO NO PAGAR'!J53)</f>
        <v/>
      </c>
      <c r="J53" s="74">
        <f>IF('REGISTRO NO PAGAR'!B53="","",'REGISTRO NO PAGAR'!K53)</f>
        <v/>
      </c>
      <c r="K53" s="74">
        <f>IF('REGISTRO NO PAGAR'!B53="","",'REGISTRO NO PAGAR'!M53)</f>
        <v/>
      </c>
      <c r="L53" s="75">
        <f>IF('REGISTRO NO PAGAR'!B53="","",'REGISTRO NO PAGAR'!N53)</f>
        <v/>
      </c>
      <c r="M53" s="74">
        <f>IF('REGISTRO NO PAGAR'!B53="","",'REGISTRO NO PAGAR'!T53)</f>
        <v/>
      </c>
    </row>
    <row r="54">
      <c r="A54" s="74">
        <f>IF('REGISTRO NO PAGAR'!B54="","",'REGISTRO NO PAGAR'!A54)</f>
        <v/>
      </c>
      <c r="B54" s="74">
        <f>IF('REGISTRO NO PAGAR'!B54="","",'REGISTRO NO PAGAR'!B54)</f>
        <v/>
      </c>
      <c r="C54" s="74">
        <f>IF('REGISTRO NO PAGAR'!B54="","",'REGISTRO NO PAGAR'!C54)</f>
        <v/>
      </c>
      <c r="D54" s="74">
        <f>IF('REGISTRO NO PAGAR'!B54="","",'REGISTRO NO PAGAR'!D54)</f>
        <v/>
      </c>
      <c r="E54" s="74">
        <f>IF('REGISTRO NO PAGAR'!B54="","",'REGISTRO NO PAGAR'!E54)</f>
        <v/>
      </c>
      <c r="F54" s="74">
        <f>IF('REGISTRO NO PAGAR'!B54="","",'REGISTRO NO PAGAR'!F54)</f>
        <v/>
      </c>
      <c r="G54" s="74">
        <f>IF('REGISTRO NO PAGAR'!B54="","",'REGISTRO NO PAGAR'!G54)</f>
        <v/>
      </c>
      <c r="H54" s="74">
        <f>IF('REGISTRO NO PAGAR'!B54="","",'REGISTRO NO PAGAR'!I54)</f>
        <v/>
      </c>
      <c r="I54" s="74">
        <f>IF('REGISTRO NO PAGAR'!B54="","",'REGISTRO NO PAGAR'!J54)</f>
        <v/>
      </c>
      <c r="J54" s="74">
        <f>IF('REGISTRO NO PAGAR'!B54="","",'REGISTRO NO PAGAR'!K54)</f>
        <v/>
      </c>
      <c r="K54" s="74">
        <f>IF('REGISTRO NO PAGAR'!B54="","",'REGISTRO NO PAGAR'!M54)</f>
        <v/>
      </c>
      <c r="L54" s="75">
        <f>IF('REGISTRO NO PAGAR'!B54="","",'REGISTRO NO PAGAR'!N54)</f>
        <v/>
      </c>
      <c r="M54" s="74">
        <f>IF('REGISTRO NO PAGAR'!B54="","",'REGISTRO NO PAGAR'!T54)</f>
        <v/>
      </c>
    </row>
    <row r="55">
      <c r="A55" s="74">
        <f>IF('REGISTRO NO PAGAR'!B55="","",'REGISTRO NO PAGAR'!A55)</f>
        <v/>
      </c>
      <c r="B55" s="74">
        <f>IF('REGISTRO NO PAGAR'!B55="","",'REGISTRO NO PAGAR'!B55)</f>
        <v/>
      </c>
      <c r="C55" s="74">
        <f>IF('REGISTRO NO PAGAR'!B55="","",'REGISTRO NO PAGAR'!C55)</f>
        <v/>
      </c>
      <c r="D55" s="74">
        <f>IF('REGISTRO NO PAGAR'!B55="","",'REGISTRO NO PAGAR'!D55)</f>
        <v/>
      </c>
      <c r="E55" s="74">
        <f>IF('REGISTRO NO PAGAR'!B55="","",'REGISTRO NO PAGAR'!E55)</f>
        <v/>
      </c>
      <c r="F55" s="74">
        <f>IF('REGISTRO NO PAGAR'!B55="","",'REGISTRO NO PAGAR'!F55)</f>
        <v/>
      </c>
      <c r="G55" s="74">
        <f>IF('REGISTRO NO PAGAR'!B55="","",'REGISTRO NO PAGAR'!G55)</f>
        <v/>
      </c>
      <c r="H55" s="74">
        <f>IF('REGISTRO NO PAGAR'!B55="","",'REGISTRO NO PAGAR'!I55)</f>
        <v/>
      </c>
      <c r="I55" s="74">
        <f>IF('REGISTRO NO PAGAR'!B55="","",'REGISTRO NO PAGAR'!J55)</f>
        <v/>
      </c>
      <c r="J55" s="74">
        <f>IF('REGISTRO NO PAGAR'!B55="","",'REGISTRO NO PAGAR'!K55)</f>
        <v/>
      </c>
      <c r="K55" s="74">
        <f>IF('REGISTRO NO PAGAR'!B55="","",'REGISTRO NO PAGAR'!M55)</f>
        <v/>
      </c>
      <c r="L55" s="75">
        <f>IF('REGISTRO NO PAGAR'!B55="","",'REGISTRO NO PAGAR'!N55)</f>
        <v/>
      </c>
      <c r="M55" s="74">
        <f>IF('REGISTRO NO PAGAR'!B55="","",'REGISTRO NO PAGAR'!T55)</f>
        <v/>
      </c>
    </row>
    <row r="56">
      <c r="A56" s="74">
        <f>IF('REGISTRO NO PAGAR'!B56="","",'REGISTRO NO PAGAR'!A56)</f>
        <v/>
      </c>
      <c r="B56" s="74">
        <f>IF('REGISTRO NO PAGAR'!B56="","",'REGISTRO NO PAGAR'!B56)</f>
        <v/>
      </c>
      <c r="C56" s="74">
        <f>IF('REGISTRO NO PAGAR'!B56="","",'REGISTRO NO PAGAR'!C56)</f>
        <v/>
      </c>
      <c r="D56" s="74">
        <f>IF('REGISTRO NO PAGAR'!B56="","",'REGISTRO NO PAGAR'!D56)</f>
        <v/>
      </c>
      <c r="E56" s="74">
        <f>IF('REGISTRO NO PAGAR'!B56="","",'REGISTRO NO PAGAR'!E56)</f>
        <v/>
      </c>
      <c r="F56" s="74">
        <f>IF('REGISTRO NO PAGAR'!B56="","",'REGISTRO NO PAGAR'!F56)</f>
        <v/>
      </c>
      <c r="G56" s="74">
        <f>IF('REGISTRO NO PAGAR'!B56="","",'REGISTRO NO PAGAR'!G56)</f>
        <v/>
      </c>
      <c r="H56" s="74">
        <f>IF('REGISTRO NO PAGAR'!B56="","",'REGISTRO NO PAGAR'!I56)</f>
        <v/>
      </c>
      <c r="I56" s="74">
        <f>IF('REGISTRO NO PAGAR'!B56="","",'REGISTRO NO PAGAR'!J56)</f>
        <v/>
      </c>
      <c r="J56" s="74">
        <f>IF('REGISTRO NO PAGAR'!B56="","",'REGISTRO NO PAGAR'!K56)</f>
        <v/>
      </c>
      <c r="K56" s="74">
        <f>IF('REGISTRO NO PAGAR'!B56="","",'REGISTRO NO PAGAR'!M56)</f>
        <v/>
      </c>
      <c r="L56" s="75">
        <f>IF('REGISTRO NO PAGAR'!B56="","",'REGISTRO NO PAGAR'!N56)</f>
        <v/>
      </c>
      <c r="M56" s="74">
        <f>IF('REGISTRO NO PAGAR'!B56="","",'REGISTRO NO PAGAR'!T56)</f>
        <v/>
      </c>
    </row>
    <row r="57">
      <c r="A57" s="74">
        <f>IF('REGISTRO NO PAGAR'!B57="","",'REGISTRO NO PAGAR'!A57)</f>
        <v/>
      </c>
      <c r="B57" s="74">
        <f>IF('REGISTRO NO PAGAR'!B57="","",'REGISTRO NO PAGAR'!B57)</f>
        <v/>
      </c>
      <c r="C57" s="74">
        <f>IF('REGISTRO NO PAGAR'!B57="","",'REGISTRO NO PAGAR'!C57)</f>
        <v/>
      </c>
      <c r="D57" s="74">
        <f>IF('REGISTRO NO PAGAR'!B57="","",'REGISTRO NO PAGAR'!D57)</f>
        <v/>
      </c>
      <c r="E57" s="74">
        <f>IF('REGISTRO NO PAGAR'!B57="","",'REGISTRO NO PAGAR'!E57)</f>
        <v/>
      </c>
      <c r="F57" s="74">
        <f>IF('REGISTRO NO PAGAR'!B57="","",'REGISTRO NO PAGAR'!F57)</f>
        <v/>
      </c>
      <c r="G57" s="74">
        <f>IF('REGISTRO NO PAGAR'!B57="","",'REGISTRO NO PAGAR'!G57)</f>
        <v/>
      </c>
      <c r="H57" s="74">
        <f>IF('REGISTRO NO PAGAR'!B57="","",'REGISTRO NO PAGAR'!I57)</f>
        <v/>
      </c>
      <c r="I57" s="74">
        <f>IF('REGISTRO NO PAGAR'!B57="","",'REGISTRO NO PAGAR'!J57)</f>
        <v/>
      </c>
      <c r="J57" s="74">
        <f>IF('REGISTRO NO PAGAR'!B57="","",'REGISTRO NO PAGAR'!K57)</f>
        <v/>
      </c>
      <c r="K57" s="74">
        <f>IF('REGISTRO NO PAGAR'!B57="","",'REGISTRO NO PAGAR'!M57)</f>
        <v/>
      </c>
      <c r="L57" s="75">
        <f>IF('REGISTRO NO PAGAR'!B57="","",'REGISTRO NO PAGAR'!N57)</f>
        <v/>
      </c>
      <c r="M57" s="74">
        <f>IF('REGISTRO NO PAGAR'!B57="","",'REGISTRO NO PAGAR'!T57)</f>
        <v/>
      </c>
    </row>
    <row r="58">
      <c r="A58" s="74">
        <f>IF('REGISTRO NO PAGAR'!B58="","",'REGISTRO NO PAGAR'!A58)</f>
        <v/>
      </c>
      <c r="B58" s="74">
        <f>IF('REGISTRO NO PAGAR'!B58="","",'REGISTRO NO PAGAR'!B58)</f>
        <v/>
      </c>
      <c r="C58" s="74">
        <f>IF('REGISTRO NO PAGAR'!B58="","",'REGISTRO NO PAGAR'!C58)</f>
        <v/>
      </c>
      <c r="D58" s="74">
        <f>IF('REGISTRO NO PAGAR'!B58="","",'REGISTRO NO PAGAR'!D58)</f>
        <v/>
      </c>
      <c r="E58" s="74">
        <f>IF('REGISTRO NO PAGAR'!B58="","",'REGISTRO NO PAGAR'!E58)</f>
        <v/>
      </c>
      <c r="F58" s="74">
        <f>IF('REGISTRO NO PAGAR'!B58="","",'REGISTRO NO PAGAR'!F58)</f>
        <v/>
      </c>
      <c r="G58" s="74">
        <f>IF('REGISTRO NO PAGAR'!B58="","",'REGISTRO NO PAGAR'!G58)</f>
        <v/>
      </c>
      <c r="H58" s="74">
        <f>IF('REGISTRO NO PAGAR'!B58="","",'REGISTRO NO PAGAR'!I58)</f>
        <v/>
      </c>
      <c r="I58" s="74">
        <f>IF('REGISTRO NO PAGAR'!B58="","",'REGISTRO NO PAGAR'!J58)</f>
        <v/>
      </c>
      <c r="J58" s="74">
        <f>IF('REGISTRO NO PAGAR'!B58="","",'REGISTRO NO PAGAR'!K58)</f>
        <v/>
      </c>
      <c r="K58" s="74">
        <f>IF('REGISTRO NO PAGAR'!B58="","",'REGISTRO NO PAGAR'!M58)</f>
        <v/>
      </c>
      <c r="L58" s="75">
        <f>IF('REGISTRO NO PAGAR'!B58="","",'REGISTRO NO PAGAR'!N58)</f>
        <v/>
      </c>
      <c r="M58" s="74">
        <f>IF('REGISTRO NO PAGAR'!B58="","",'REGISTRO NO PAGAR'!T58)</f>
        <v/>
      </c>
    </row>
    <row r="59">
      <c r="A59" s="74">
        <f>IF('REGISTRO NO PAGAR'!B59="","",'REGISTRO NO PAGAR'!A59)</f>
        <v/>
      </c>
      <c r="B59" s="74">
        <f>IF('REGISTRO NO PAGAR'!B59="","",'REGISTRO NO PAGAR'!B59)</f>
        <v/>
      </c>
      <c r="C59" s="74">
        <f>IF('REGISTRO NO PAGAR'!B59="","",'REGISTRO NO PAGAR'!C59)</f>
        <v/>
      </c>
      <c r="D59" s="74">
        <f>IF('REGISTRO NO PAGAR'!B59="","",'REGISTRO NO PAGAR'!D59)</f>
        <v/>
      </c>
      <c r="E59" s="74">
        <f>IF('REGISTRO NO PAGAR'!B59="","",'REGISTRO NO PAGAR'!E59)</f>
        <v/>
      </c>
      <c r="F59" s="74">
        <f>IF('REGISTRO NO PAGAR'!B59="","",'REGISTRO NO PAGAR'!F59)</f>
        <v/>
      </c>
      <c r="G59" s="74">
        <f>IF('REGISTRO NO PAGAR'!B59="","",'REGISTRO NO PAGAR'!G59)</f>
        <v/>
      </c>
      <c r="H59" s="74">
        <f>IF('REGISTRO NO PAGAR'!B59="","",'REGISTRO NO PAGAR'!I59)</f>
        <v/>
      </c>
      <c r="I59" s="74">
        <f>IF('REGISTRO NO PAGAR'!B59="","",'REGISTRO NO PAGAR'!J59)</f>
        <v/>
      </c>
      <c r="J59" s="74">
        <f>IF('REGISTRO NO PAGAR'!B59="","",'REGISTRO NO PAGAR'!K59)</f>
        <v/>
      </c>
      <c r="K59" s="74">
        <f>IF('REGISTRO NO PAGAR'!B59="","",'REGISTRO NO PAGAR'!M59)</f>
        <v/>
      </c>
      <c r="L59" s="75">
        <f>IF('REGISTRO NO PAGAR'!B59="","",'REGISTRO NO PAGAR'!N59)</f>
        <v/>
      </c>
      <c r="M59" s="74">
        <f>IF('REGISTRO NO PAGAR'!B59="","",'REGISTRO NO PAGAR'!T59)</f>
        <v/>
      </c>
    </row>
    <row r="60">
      <c r="A60" s="74">
        <f>IF('REGISTRO NO PAGAR'!B60="","",'REGISTRO NO PAGAR'!A60)</f>
        <v/>
      </c>
      <c r="B60" s="74">
        <f>IF('REGISTRO NO PAGAR'!B60="","",'REGISTRO NO PAGAR'!B60)</f>
        <v/>
      </c>
      <c r="C60" s="74">
        <f>IF('REGISTRO NO PAGAR'!B60="","",'REGISTRO NO PAGAR'!C60)</f>
        <v/>
      </c>
      <c r="D60" s="74">
        <f>IF('REGISTRO NO PAGAR'!B60="","",'REGISTRO NO PAGAR'!D60)</f>
        <v/>
      </c>
      <c r="E60" s="74">
        <f>IF('REGISTRO NO PAGAR'!B60="","",'REGISTRO NO PAGAR'!E60)</f>
        <v/>
      </c>
      <c r="F60" s="74">
        <f>IF('REGISTRO NO PAGAR'!B60="","",'REGISTRO NO PAGAR'!F60)</f>
        <v/>
      </c>
      <c r="G60" s="74">
        <f>IF('REGISTRO NO PAGAR'!B60="","",'REGISTRO NO PAGAR'!G60)</f>
        <v/>
      </c>
      <c r="H60" s="74">
        <f>IF('REGISTRO NO PAGAR'!B60="","",'REGISTRO NO PAGAR'!I60)</f>
        <v/>
      </c>
      <c r="I60" s="74">
        <f>IF('REGISTRO NO PAGAR'!B60="","",'REGISTRO NO PAGAR'!J60)</f>
        <v/>
      </c>
      <c r="J60" s="74">
        <f>IF('REGISTRO NO PAGAR'!B60="","",'REGISTRO NO PAGAR'!K60)</f>
        <v/>
      </c>
      <c r="K60" s="74">
        <f>IF('REGISTRO NO PAGAR'!B60="","",'REGISTRO NO PAGAR'!M60)</f>
        <v/>
      </c>
      <c r="L60" s="75">
        <f>IF('REGISTRO NO PAGAR'!B60="","",'REGISTRO NO PAGAR'!N60)</f>
        <v/>
      </c>
      <c r="M60" s="74">
        <f>IF('REGISTRO NO PAGAR'!B60="","",'REGISTRO NO PAGAR'!T60)</f>
        <v/>
      </c>
    </row>
    <row r="61">
      <c r="A61" s="74">
        <f>IF('REGISTRO NO PAGAR'!B61="","",'REGISTRO NO PAGAR'!A61)</f>
        <v/>
      </c>
      <c r="B61" s="74">
        <f>IF('REGISTRO NO PAGAR'!B61="","",'REGISTRO NO PAGAR'!B61)</f>
        <v/>
      </c>
      <c r="C61" s="74">
        <f>IF('REGISTRO NO PAGAR'!B61="","",'REGISTRO NO PAGAR'!C61)</f>
        <v/>
      </c>
      <c r="D61" s="74">
        <f>IF('REGISTRO NO PAGAR'!B61="","",'REGISTRO NO PAGAR'!D61)</f>
        <v/>
      </c>
      <c r="E61" s="74">
        <f>IF('REGISTRO NO PAGAR'!B61="","",'REGISTRO NO PAGAR'!E61)</f>
        <v/>
      </c>
      <c r="F61" s="74">
        <f>IF('REGISTRO NO PAGAR'!B61="","",'REGISTRO NO PAGAR'!F61)</f>
        <v/>
      </c>
      <c r="G61" s="74">
        <f>IF('REGISTRO NO PAGAR'!B61="","",'REGISTRO NO PAGAR'!G61)</f>
        <v/>
      </c>
      <c r="H61" s="74">
        <f>IF('REGISTRO NO PAGAR'!B61="","",'REGISTRO NO PAGAR'!I61)</f>
        <v/>
      </c>
      <c r="I61" s="74">
        <f>IF('REGISTRO NO PAGAR'!B61="","",'REGISTRO NO PAGAR'!J61)</f>
        <v/>
      </c>
      <c r="J61" s="74">
        <f>IF('REGISTRO NO PAGAR'!B61="","",'REGISTRO NO PAGAR'!K61)</f>
        <v/>
      </c>
      <c r="K61" s="74">
        <f>IF('REGISTRO NO PAGAR'!B61="","",'REGISTRO NO PAGAR'!M61)</f>
        <v/>
      </c>
      <c r="L61" s="75">
        <f>IF('REGISTRO NO PAGAR'!B61="","",'REGISTRO NO PAGAR'!N61)</f>
        <v/>
      </c>
      <c r="M61" s="74">
        <f>IF('REGISTRO NO PAGAR'!B61="","",'REGISTRO NO PAGAR'!T61)</f>
        <v/>
      </c>
    </row>
    <row r="62">
      <c r="A62" s="74">
        <f>IF('REGISTRO NO PAGAR'!B62="","",'REGISTRO NO PAGAR'!A62)</f>
        <v/>
      </c>
      <c r="B62" s="74">
        <f>IF('REGISTRO NO PAGAR'!B62="","",'REGISTRO NO PAGAR'!B62)</f>
        <v/>
      </c>
      <c r="C62" s="74">
        <f>IF('REGISTRO NO PAGAR'!B62="","",'REGISTRO NO PAGAR'!C62)</f>
        <v/>
      </c>
      <c r="D62" s="74">
        <f>IF('REGISTRO NO PAGAR'!B62="","",'REGISTRO NO PAGAR'!D62)</f>
        <v/>
      </c>
      <c r="E62" s="74">
        <f>IF('REGISTRO NO PAGAR'!B62="","",'REGISTRO NO PAGAR'!E62)</f>
        <v/>
      </c>
      <c r="F62" s="74">
        <f>IF('REGISTRO NO PAGAR'!B62="","",'REGISTRO NO PAGAR'!F62)</f>
        <v/>
      </c>
      <c r="G62" s="74">
        <f>IF('REGISTRO NO PAGAR'!B62="","",'REGISTRO NO PAGAR'!G62)</f>
        <v/>
      </c>
      <c r="H62" s="74">
        <f>IF('REGISTRO NO PAGAR'!B62="","",'REGISTRO NO PAGAR'!I62)</f>
        <v/>
      </c>
      <c r="I62" s="74">
        <f>IF('REGISTRO NO PAGAR'!B62="","",'REGISTRO NO PAGAR'!J62)</f>
        <v/>
      </c>
      <c r="J62" s="74">
        <f>IF('REGISTRO NO PAGAR'!B62="","",'REGISTRO NO PAGAR'!K62)</f>
        <v/>
      </c>
      <c r="K62" s="74">
        <f>IF('REGISTRO NO PAGAR'!B62="","",'REGISTRO NO PAGAR'!M62)</f>
        <v/>
      </c>
      <c r="L62" s="75">
        <f>IF('REGISTRO NO PAGAR'!B62="","",'REGISTRO NO PAGAR'!N62)</f>
        <v/>
      </c>
      <c r="M62" s="74">
        <f>IF('REGISTRO NO PAGAR'!B62="","",'REGISTRO NO PAGAR'!T62)</f>
        <v/>
      </c>
    </row>
    <row r="63">
      <c r="A63" s="74">
        <f>IF('REGISTRO NO PAGAR'!B63="","",'REGISTRO NO PAGAR'!A63)</f>
        <v/>
      </c>
      <c r="B63" s="74">
        <f>IF('REGISTRO NO PAGAR'!B63="","",'REGISTRO NO PAGAR'!B63)</f>
        <v/>
      </c>
      <c r="C63" s="74">
        <f>IF('REGISTRO NO PAGAR'!B63="","",'REGISTRO NO PAGAR'!C63)</f>
        <v/>
      </c>
      <c r="D63" s="74">
        <f>IF('REGISTRO NO PAGAR'!B63="","",'REGISTRO NO PAGAR'!D63)</f>
        <v/>
      </c>
      <c r="E63" s="74">
        <f>IF('REGISTRO NO PAGAR'!B63="","",'REGISTRO NO PAGAR'!E63)</f>
        <v/>
      </c>
      <c r="F63" s="74">
        <f>IF('REGISTRO NO PAGAR'!B63="","",'REGISTRO NO PAGAR'!F63)</f>
        <v/>
      </c>
      <c r="G63" s="74">
        <f>IF('REGISTRO NO PAGAR'!B63="","",'REGISTRO NO PAGAR'!G63)</f>
        <v/>
      </c>
      <c r="H63" s="74">
        <f>IF('REGISTRO NO PAGAR'!B63="","",'REGISTRO NO PAGAR'!I63)</f>
        <v/>
      </c>
      <c r="I63" s="74">
        <f>IF('REGISTRO NO PAGAR'!B63="","",'REGISTRO NO PAGAR'!J63)</f>
        <v/>
      </c>
      <c r="J63" s="74">
        <f>IF('REGISTRO NO PAGAR'!B63="","",'REGISTRO NO PAGAR'!K63)</f>
        <v/>
      </c>
      <c r="K63" s="74">
        <f>IF('REGISTRO NO PAGAR'!B63="","",'REGISTRO NO PAGAR'!M63)</f>
        <v/>
      </c>
      <c r="L63" s="75">
        <f>IF('REGISTRO NO PAGAR'!B63="","",'REGISTRO NO PAGAR'!N63)</f>
        <v/>
      </c>
      <c r="M63" s="74">
        <f>IF('REGISTRO NO PAGAR'!B63="","",'REGISTRO NO PAGAR'!T63)</f>
        <v/>
      </c>
    </row>
    <row r="64">
      <c r="A64" s="74">
        <f>IF('REGISTRO NO PAGAR'!B64="","",'REGISTRO NO PAGAR'!A64)</f>
        <v/>
      </c>
      <c r="B64" s="74">
        <f>IF('REGISTRO NO PAGAR'!B64="","",'REGISTRO NO PAGAR'!B64)</f>
        <v/>
      </c>
      <c r="C64" s="74">
        <f>IF('REGISTRO NO PAGAR'!B64="","",'REGISTRO NO PAGAR'!C64)</f>
        <v/>
      </c>
      <c r="D64" s="74">
        <f>IF('REGISTRO NO PAGAR'!B64="","",'REGISTRO NO PAGAR'!D64)</f>
        <v/>
      </c>
      <c r="E64" s="74">
        <f>IF('REGISTRO NO PAGAR'!B64="","",'REGISTRO NO PAGAR'!E64)</f>
        <v/>
      </c>
      <c r="F64" s="74">
        <f>IF('REGISTRO NO PAGAR'!B64="","",'REGISTRO NO PAGAR'!F64)</f>
        <v/>
      </c>
      <c r="G64" s="74">
        <f>IF('REGISTRO NO PAGAR'!B64="","",'REGISTRO NO PAGAR'!G64)</f>
        <v/>
      </c>
      <c r="H64" s="74">
        <f>IF('REGISTRO NO PAGAR'!B64="","",'REGISTRO NO PAGAR'!I64)</f>
        <v/>
      </c>
      <c r="I64" s="74">
        <f>IF('REGISTRO NO PAGAR'!B64="","",'REGISTRO NO PAGAR'!J64)</f>
        <v/>
      </c>
      <c r="J64" s="74">
        <f>IF('REGISTRO NO PAGAR'!B64="","",'REGISTRO NO PAGAR'!K64)</f>
        <v/>
      </c>
      <c r="K64" s="74">
        <f>IF('REGISTRO NO PAGAR'!B64="","",'REGISTRO NO PAGAR'!M64)</f>
        <v/>
      </c>
      <c r="L64" s="75">
        <f>IF('REGISTRO NO PAGAR'!B64="","",'REGISTRO NO PAGAR'!N64)</f>
        <v/>
      </c>
      <c r="M64" s="74">
        <f>IF('REGISTRO NO PAGAR'!B64="","",'REGISTRO NO PAGAR'!T64)</f>
        <v/>
      </c>
    </row>
    <row r="65">
      <c r="A65" s="74">
        <f>IF('REGISTRO NO PAGAR'!B65="","",'REGISTRO NO PAGAR'!A65)</f>
        <v/>
      </c>
      <c r="B65" s="74">
        <f>IF('REGISTRO NO PAGAR'!B65="","",'REGISTRO NO PAGAR'!B65)</f>
        <v/>
      </c>
      <c r="C65" s="74">
        <f>IF('REGISTRO NO PAGAR'!B65="","",'REGISTRO NO PAGAR'!C65)</f>
        <v/>
      </c>
      <c r="D65" s="74">
        <f>IF('REGISTRO NO PAGAR'!B65="","",'REGISTRO NO PAGAR'!D65)</f>
        <v/>
      </c>
      <c r="E65" s="74">
        <f>IF('REGISTRO NO PAGAR'!B65="","",'REGISTRO NO PAGAR'!E65)</f>
        <v/>
      </c>
      <c r="F65" s="74">
        <f>IF('REGISTRO NO PAGAR'!B65="","",'REGISTRO NO PAGAR'!F65)</f>
        <v/>
      </c>
      <c r="G65" s="74">
        <f>IF('REGISTRO NO PAGAR'!B65="","",'REGISTRO NO PAGAR'!G65)</f>
        <v/>
      </c>
      <c r="H65" s="74">
        <f>IF('REGISTRO NO PAGAR'!B65="","",'REGISTRO NO PAGAR'!I65)</f>
        <v/>
      </c>
      <c r="I65" s="74">
        <f>IF('REGISTRO NO PAGAR'!B65="","",'REGISTRO NO PAGAR'!J65)</f>
        <v/>
      </c>
      <c r="J65" s="74">
        <f>IF('REGISTRO NO PAGAR'!B65="","",'REGISTRO NO PAGAR'!K65)</f>
        <v/>
      </c>
      <c r="K65" s="74">
        <f>IF('REGISTRO NO PAGAR'!B65="","",'REGISTRO NO PAGAR'!M65)</f>
        <v/>
      </c>
      <c r="L65" s="75">
        <f>IF('REGISTRO NO PAGAR'!B65="","",'REGISTRO NO PAGAR'!N65)</f>
        <v/>
      </c>
      <c r="M65" s="74">
        <f>IF('REGISTRO NO PAGAR'!B65="","",'REGISTRO NO PAGAR'!T65)</f>
        <v/>
      </c>
    </row>
    <row r="66">
      <c r="A66" s="74">
        <f>IF('REGISTRO NO PAGAR'!B66="","",'REGISTRO NO PAGAR'!A66)</f>
        <v/>
      </c>
      <c r="B66" s="74">
        <f>IF('REGISTRO NO PAGAR'!B66="","",'REGISTRO NO PAGAR'!B66)</f>
        <v/>
      </c>
      <c r="C66" s="74">
        <f>IF('REGISTRO NO PAGAR'!B66="","",'REGISTRO NO PAGAR'!C66)</f>
        <v/>
      </c>
      <c r="D66" s="74">
        <f>IF('REGISTRO NO PAGAR'!B66="","",'REGISTRO NO PAGAR'!D66)</f>
        <v/>
      </c>
      <c r="E66" s="74">
        <f>IF('REGISTRO NO PAGAR'!B66="","",'REGISTRO NO PAGAR'!E66)</f>
        <v/>
      </c>
      <c r="F66" s="74">
        <f>IF('REGISTRO NO PAGAR'!B66="","",'REGISTRO NO PAGAR'!F66)</f>
        <v/>
      </c>
      <c r="G66" s="74">
        <f>IF('REGISTRO NO PAGAR'!B66="","",'REGISTRO NO PAGAR'!G66)</f>
        <v/>
      </c>
      <c r="H66" s="74">
        <f>IF('REGISTRO NO PAGAR'!B66="","",'REGISTRO NO PAGAR'!I66)</f>
        <v/>
      </c>
      <c r="I66" s="74">
        <f>IF('REGISTRO NO PAGAR'!B66="","",'REGISTRO NO PAGAR'!J66)</f>
        <v/>
      </c>
      <c r="J66" s="74">
        <f>IF('REGISTRO NO PAGAR'!B66="","",'REGISTRO NO PAGAR'!K66)</f>
        <v/>
      </c>
      <c r="K66" s="74">
        <f>IF('REGISTRO NO PAGAR'!B66="","",'REGISTRO NO PAGAR'!M66)</f>
        <v/>
      </c>
      <c r="L66" s="75">
        <f>IF('REGISTRO NO PAGAR'!B66="","",'REGISTRO NO PAGAR'!N66)</f>
        <v/>
      </c>
      <c r="M66" s="74">
        <f>IF('REGISTRO NO PAGAR'!B66="","",'REGISTRO NO PAGAR'!T66)</f>
        <v/>
      </c>
    </row>
    <row r="67">
      <c r="A67" s="74">
        <f>IF('REGISTRO NO PAGAR'!B67="","",'REGISTRO NO PAGAR'!A67)</f>
        <v/>
      </c>
      <c r="B67" s="74">
        <f>IF('REGISTRO NO PAGAR'!B67="","",'REGISTRO NO PAGAR'!B67)</f>
        <v/>
      </c>
      <c r="C67" s="74">
        <f>IF('REGISTRO NO PAGAR'!B67="","",'REGISTRO NO PAGAR'!C67)</f>
        <v/>
      </c>
      <c r="D67" s="74">
        <f>IF('REGISTRO NO PAGAR'!B67="","",'REGISTRO NO PAGAR'!D67)</f>
        <v/>
      </c>
      <c r="E67" s="74">
        <f>IF('REGISTRO NO PAGAR'!B67="","",'REGISTRO NO PAGAR'!E67)</f>
        <v/>
      </c>
      <c r="F67" s="74">
        <f>IF('REGISTRO NO PAGAR'!B67="","",'REGISTRO NO PAGAR'!F67)</f>
        <v/>
      </c>
      <c r="G67" s="74">
        <f>IF('REGISTRO NO PAGAR'!B67="","",'REGISTRO NO PAGAR'!G67)</f>
        <v/>
      </c>
      <c r="H67" s="74">
        <f>IF('REGISTRO NO PAGAR'!B67="","",'REGISTRO NO PAGAR'!I67)</f>
        <v/>
      </c>
      <c r="I67" s="74">
        <f>IF('REGISTRO NO PAGAR'!B67="","",'REGISTRO NO PAGAR'!J67)</f>
        <v/>
      </c>
      <c r="J67" s="74">
        <f>IF('REGISTRO NO PAGAR'!B67="","",'REGISTRO NO PAGAR'!K67)</f>
        <v/>
      </c>
      <c r="K67" s="74">
        <f>IF('REGISTRO NO PAGAR'!B67="","",'REGISTRO NO PAGAR'!M67)</f>
        <v/>
      </c>
      <c r="L67" s="75">
        <f>IF('REGISTRO NO PAGAR'!B67="","",'REGISTRO NO PAGAR'!N67)</f>
        <v/>
      </c>
      <c r="M67" s="74">
        <f>IF('REGISTRO NO PAGAR'!B67="","",'REGISTRO NO PAGAR'!T67)</f>
        <v/>
      </c>
    </row>
    <row r="68">
      <c r="A68" s="74">
        <f>IF('REGISTRO NO PAGAR'!B68="","",'REGISTRO NO PAGAR'!A68)</f>
        <v/>
      </c>
      <c r="B68" s="74">
        <f>IF('REGISTRO NO PAGAR'!B68="","",'REGISTRO NO PAGAR'!B68)</f>
        <v/>
      </c>
      <c r="C68" s="74">
        <f>IF('REGISTRO NO PAGAR'!B68="","",'REGISTRO NO PAGAR'!C68)</f>
        <v/>
      </c>
      <c r="D68" s="74">
        <f>IF('REGISTRO NO PAGAR'!B68="","",'REGISTRO NO PAGAR'!D68)</f>
        <v/>
      </c>
      <c r="E68" s="74">
        <f>IF('REGISTRO NO PAGAR'!B68="","",'REGISTRO NO PAGAR'!E68)</f>
        <v/>
      </c>
      <c r="F68" s="74">
        <f>IF('REGISTRO NO PAGAR'!B68="","",'REGISTRO NO PAGAR'!F68)</f>
        <v/>
      </c>
      <c r="G68" s="74">
        <f>IF('REGISTRO NO PAGAR'!B68="","",'REGISTRO NO PAGAR'!G68)</f>
        <v/>
      </c>
      <c r="H68" s="74">
        <f>IF('REGISTRO NO PAGAR'!B68="","",'REGISTRO NO PAGAR'!I68)</f>
        <v/>
      </c>
      <c r="I68" s="74">
        <f>IF('REGISTRO NO PAGAR'!B68="","",'REGISTRO NO PAGAR'!J68)</f>
        <v/>
      </c>
      <c r="J68" s="74">
        <f>IF('REGISTRO NO PAGAR'!B68="","",'REGISTRO NO PAGAR'!K68)</f>
        <v/>
      </c>
      <c r="K68" s="74">
        <f>IF('REGISTRO NO PAGAR'!B68="","",'REGISTRO NO PAGAR'!M68)</f>
        <v/>
      </c>
      <c r="L68" s="75">
        <f>IF('REGISTRO NO PAGAR'!B68="","",'REGISTRO NO PAGAR'!N68)</f>
        <v/>
      </c>
      <c r="M68" s="74">
        <f>IF('REGISTRO NO PAGAR'!B68="","",'REGISTRO NO PAGAR'!T68)</f>
        <v/>
      </c>
    </row>
    <row r="69">
      <c r="A69" s="74">
        <f>IF('REGISTRO NO PAGAR'!B69="","",'REGISTRO NO PAGAR'!A69)</f>
        <v/>
      </c>
      <c r="B69" s="74">
        <f>IF('REGISTRO NO PAGAR'!B69="","",'REGISTRO NO PAGAR'!B69)</f>
        <v/>
      </c>
      <c r="C69" s="74">
        <f>IF('REGISTRO NO PAGAR'!B69="","",'REGISTRO NO PAGAR'!C69)</f>
        <v/>
      </c>
      <c r="D69" s="74">
        <f>IF('REGISTRO NO PAGAR'!B69="","",'REGISTRO NO PAGAR'!D69)</f>
        <v/>
      </c>
      <c r="E69" s="74">
        <f>IF('REGISTRO NO PAGAR'!B69="","",'REGISTRO NO PAGAR'!E69)</f>
        <v/>
      </c>
      <c r="F69" s="74">
        <f>IF('REGISTRO NO PAGAR'!B69="","",'REGISTRO NO PAGAR'!F69)</f>
        <v/>
      </c>
      <c r="G69" s="74">
        <f>IF('REGISTRO NO PAGAR'!B69="","",'REGISTRO NO PAGAR'!G69)</f>
        <v/>
      </c>
      <c r="H69" s="74">
        <f>IF('REGISTRO NO PAGAR'!B69="","",'REGISTRO NO PAGAR'!I69)</f>
        <v/>
      </c>
      <c r="I69" s="74">
        <f>IF('REGISTRO NO PAGAR'!B69="","",'REGISTRO NO PAGAR'!J69)</f>
        <v/>
      </c>
      <c r="J69" s="74">
        <f>IF('REGISTRO NO PAGAR'!B69="","",'REGISTRO NO PAGAR'!K69)</f>
        <v/>
      </c>
      <c r="K69" s="74">
        <f>IF('REGISTRO NO PAGAR'!B69="","",'REGISTRO NO PAGAR'!M69)</f>
        <v/>
      </c>
      <c r="L69" s="75">
        <f>IF('REGISTRO NO PAGAR'!B69="","",'REGISTRO NO PAGAR'!N69)</f>
        <v/>
      </c>
      <c r="M69" s="74">
        <f>IF('REGISTRO NO PAGAR'!B69="","",'REGISTRO NO PAGAR'!T69)</f>
        <v/>
      </c>
    </row>
    <row r="70">
      <c r="A70" s="74">
        <f>IF('REGISTRO NO PAGAR'!B70="","",'REGISTRO NO PAGAR'!A70)</f>
        <v/>
      </c>
      <c r="B70" s="74">
        <f>IF('REGISTRO NO PAGAR'!B70="","",'REGISTRO NO PAGAR'!B70)</f>
        <v/>
      </c>
      <c r="C70" s="74">
        <f>IF('REGISTRO NO PAGAR'!B70="","",'REGISTRO NO PAGAR'!C70)</f>
        <v/>
      </c>
      <c r="D70" s="74">
        <f>IF('REGISTRO NO PAGAR'!B70="","",'REGISTRO NO PAGAR'!D70)</f>
        <v/>
      </c>
      <c r="E70" s="74">
        <f>IF('REGISTRO NO PAGAR'!B70="","",'REGISTRO NO PAGAR'!E70)</f>
        <v/>
      </c>
      <c r="F70" s="74">
        <f>IF('REGISTRO NO PAGAR'!B70="","",'REGISTRO NO PAGAR'!F70)</f>
        <v/>
      </c>
      <c r="G70" s="74">
        <f>IF('REGISTRO NO PAGAR'!B70="","",'REGISTRO NO PAGAR'!G70)</f>
        <v/>
      </c>
      <c r="H70" s="74">
        <f>IF('REGISTRO NO PAGAR'!B70="","",'REGISTRO NO PAGAR'!I70)</f>
        <v/>
      </c>
      <c r="I70" s="74">
        <f>IF('REGISTRO NO PAGAR'!B70="","",'REGISTRO NO PAGAR'!J70)</f>
        <v/>
      </c>
      <c r="J70" s="74">
        <f>IF('REGISTRO NO PAGAR'!B70="","",'REGISTRO NO PAGAR'!K70)</f>
        <v/>
      </c>
      <c r="K70" s="74">
        <f>IF('REGISTRO NO PAGAR'!B70="","",'REGISTRO NO PAGAR'!M70)</f>
        <v/>
      </c>
      <c r="L70" s="75">
        <f>IF('REGISTRO NO PAGAR'!B70="","",'REGISTRO NO PAGAR'!N70)</f>
        <v/>
      </c>
      <c r="M70" s="74">
        <f>IF('REGISTRO NO PAGAR'!B70="","",'REGISTRO NO PAGAR'!T70)</f>
        <v/>
      </c>
    </row>
    <row r="71">
      <c r="A71" s="74">
        <f>IF('REGISTRO NO PAGAR'!B71="","",'REGISTRO NO PAGAR'!A71)</f>
        <v/>
      </c>
      <c r="B71" s="74">
        <f>IF('REGISTRO NO PAGAR'!B71="","",'REGISTRO NO PAGAR'!B71)</f>
        <v/>
      </c>
      <c r="C71" s="74">
        <f>IF('REGISTRO NO PAGAR'!B71="","",'REGISTRO NO PAGAR'!C71)</f>
        <v/>
      </c>
      <c r="D71" s="74">
        <f>IF('REGISTRO NO PAGAR'!B71="","",'REGISTRO NO PAGAR'!D71)</f>
        <v/>
      </c>
      <c r="E71" s="74">
        <f>IF('REGISTRO NO PAGAR'!B71="","",'REGISTRO NO PAGAR'!E71)</f>
        <v/>
      </c>
      <c r="F71" s="74">
        <f>IF('REGISTRO NO PAGAR'!B71="","",'REGISTRO NO PAGAR'!F71)</f>
        <v/>
      </c>
      <c r="G71" s="74">
        <f>IF('REGISTRO NO PAGAR'!B71="","",'REGISTRO NO PAGAR'!G71)</f>
        <v/>
      </c>
      <c r="H71" s="74">
        <f>IF('REGISTRO NO PAGAR'!B71="","",'REGISTRO NO PAGAR'!I71)</f>
        <v/>
      </c>
      <c r="I71" s="74">
        <f>IF('REGISTRO NO PAGAR'!B71="","",'REGISTRO NO PAGAR'!J71)</f>
        <v/>
      </c>
      <c r="J71" s="74">
        <f>IF('REGISTRO NO PAGAR'!B71="","",'REGISTRO NO PAGAR'!K71)</f>
        <v/>
      </c>
      <c r="K71" s="74">
        <f>IF('REGISTRO NO PAGAR'!B71="","",'REGISTRO NO PAGAR'!M71)</f>
        <v/>
      </c>
      <c r="L71" s="75">
        <f>IF('REGISTRO NO PAGAR'!B71="","",'REGISTRO NO PAGAR'!N71)</f>
        <v/>
      </c>
      <c r="M71" s="74">
        <f>IF('REGISTRO NO PAGAR'!B71="","",'REGISTRO NO PAGAR'!T71)</f>
        <v/>
      </c>
    </row>
    <row r="72">
      <c r="A72" s="74">
        <f>IF('REGISTRO NO PAGAR'!B72="","",'REGISTRO NO PAGAR'!A72)</f>
        <v/>
      </c>
      <c r="B72" s="74">
        <f>IF('REGISTRO NO PAGAR'!B72="","",'REGISTRO NO PAGAR'!B72)</f>
        <v/>
      </c>
      <c r="C72" s="74">
        <f>IF('REGISTRO NO PAGAR'!B72="","",'REGISTRO NO PAGAR'!C72)</f>
        <v/>
      </c>
      <c r="D72" s="74">
        <f>IF('REGISTRO NO PAGAR'!B72="","",'REGISTRO NO PAGAR'!D72)</f>
        <v/>
      </c>
      <c r="E72" s="74">
        <f>IF('REGISTRO NO PAGAR'!B72="","",'REGISTRO NO PAGAR'!E72)</f>
        <v/>
      </c>
      <c r="F72" s="74">
        <f>IF('REGISTRO NO PAGAR'!B72="","",'REGISTRO NO PAGAR'!F72)</f>
        <v/>
      </c>
      <c r="G72" s="74">
        <f>IF('REGISTRO NO PAGAR'!B72="","",'REGISTRO NO PAGAR'!G72)</f>
        <v/>
      </c>
      <c r="H72" s="74">
        <f>IF('REGISTRO NO PAGAR'!B72="","",'REGISTRO NO PAGAR'!I72)</f>
        <v/>
      </c>
      <c r="I72" s="74">
        <f>IF('REGISTRO NO PAGAR'!B72="","",'REGISTRO NO PAGAR'!J72)</f>
        <v/>
      </c>
      <c r="J72" s="74">
        <f>IF('REGISTRO NO PAGAR'!B72="","",'REGISTRO NO PAGAR'!K72)</f>
        <v/>
      </c>
      <c r="K72" s="74">
        <f>IF('REGISTRO NO PAGAR'!B72="","",'REGISTRO NO PAGAR'!M72)</f>
        <v/>
      </c>
      <c r="L72" s="75">
        <f>IF('REGISTRO NO PAGAR'!B72="","",'REGISTRO NO PAGAR'!N72)</f>
        <v/>
      </c>
      <c r="M72" s="74">
        <f>IF('REGISTRO NO PAGAR'!B72="","",'REGISTRO NO PAGAR'!T72)</f>
        <v/>
      </c>
    </row>
    <row r="73">
      <c r="A73" s="74">
        <f>IF('REGISTRO NO PAGAR'!B73="","",'REGISTRO NO PAGAR'!A73)</f>
        <v/>
      </c>
      <c r="B73" s="74">
        <f>IF('REGISTRO NO PAGAR'!B73="","",'REGISTRO NO PAGAR'!B73)</f>
        <v/>
      </c>
      <c r="C73" s="74">
        <f>IF('REGISTRO NO PAGAR'!B73="","",'REGISTRO NO PAGAR'!C73)</f>
        <v/>
      </c>
      <c r="D73" s="74">
        <f>IF('REGISTRO NO PAGAR'!B73="","",'REGISTRO NO PAGAR'!D73)</f>
        <v/>
      </c>
      <c r="E73" s="74">
        <f>IF('REGISTRO NO PAGAR'!B73="","",'REGISTRO NO PAGAR'!E73)</f>
        <v/>
      </c>
      <c r="F73" s="74">
        <f>IF('REGISTRO NO PAGAR'!B73="","",'REGISTRO NO PAGAR'!F73)</f>
        <v/>
      </c>
      <c r="G73" s="74">
        <f>IF('REGISTRO NO PAGAR'!B73="","",'REGISTRO NO PAGAR'!G73)</f>
        <v/>
      </c>
      <c r="H73" s="74">
        <f>IF('REGISTRO NO PAGAR'!B73="","",'REGISTRO NO PAGAR'!I73)</f>
        <v/>
      </c>
      <c r="I73" s="74">
        <f>IF('REGISTRO NO PAGAR'!B73="","",'REGISTRO NO PAGAR'!J73)</f>
        <v/>
      </c>
      <c r="J73" s="74">
        <f>IF('REGISTRO NO PAGAR'!B73="","",'REGISTRO NO PAGAR'!K73)</f>
        <v/>
      </c>
      <c r="K73" s="74">
        <f>IF('REGISTRO NO PAGAR'!B73="","",'REGISTRO NO PAGAR'!M73)</f>
        <v/>
      </c>
      <c r="L73" s="75">
        <f>IF('REGISTRO NO PAGAR'!B73="","",'REGISTRO NO PAGAR'!N73)</f>
        <v/>
      </c>
      <c r="M73" s="74">
        <f>IF('REGISTRO NO PAGAR'!B73="","",'REGISTRO NO PAGAR'!T73)</f>
        <v/>
      </c>
    </row>
    <row r="74">
      <c r="A74" s="74">
        <f>IF('REGISTRO NO PAGAR'!B74="","",'REGISTRO NO PAGAR'!A74)</f>
        <v/>
      </c>
      <c r="B74" s="74">
        <f>IF('REGISTRO NO PAGAR'!B74="","",'REGISTRO NO PAGAR'!B74)</f>
        <v/>
      </c>
      <c r="C74" s="74">
        <f>IF('REGISTRO NO PAGAR'!B74="","",'REGISTRO NO PAGAR'!C74)</f>
        <v/>
      </c>
      <c r="D74" s="74">
        <f>IF('REGISTRO NO PAGAR'!B74="","",'REGISTRO NO PAGAR'!D74)</f>
        <v/>
      </c>
      <c r="E74" s="74">
        <f>IF('REGISTRO NO PAGAR'!B74="","",'REGISTRO NO PAGAR'!E74)</f>
        <v/>
      </c>
      <c r="F74" s="74">
        <f>IF('REGISTRO NO PAGAR'!B74="","",'REGISTRO NO PAGAR'!F74)</f>
        <v/>
      </c>
      <c r="G74" s="74">
        <f>IF('REGISTRO NO PAGAR'!B74="","",'REGISTRO NO PAGAR'!G74)</f>
        <v/>
      </c>
      <c r="H74" s="74">
        <f>IF('REGISTRO NO PAGAR'!B74="","",'REGISTRO NO PAGAR'!I74)</f>
        <v/>
      </c>
      <c r="I74" s="74">
        <f>IF('REGISTRO NO PAGAR'!B74="","",'REGISTRO NO PAGAR'!J74)</f>
        <v/>
      </c>
      <c r="J74" s="74">
        <f>IF('REGISTRO NO PAGAR'!B74="","",'REGISTRO NO PAGAR'!K74)</f>
        <v/>
      </c>
      <c r="K74" s="74">
        <f>IF('REGISTRO NO PAGAR'!B74="","",'REGISTRO NO PAGAR'!M74)</f>
        <v/>
      </c>
      <c r="L74" s="75">
        <f>IF('REGISTRO NO PAGAR'!B74="","",'REGISTRO NO PAGAR'!N74)</f>
        <v/>
      </c>
      <c r="M74" s="74">
        <f>IF('REGISTRO NO PAGAR'!B74="","",'REGISTRO NO PAGAR'!T74)</f>
        <v/>
      </c>
    </row>
    <row r="75">
      <c r="A75" s="74">
        <f>IF('REGISTRO NO PAGAR'!B75="","",'REGISTRO NO PAGAR'!A75)</f>
        <v/>
      </c>
      <c r="B75" s="74">
        <f>IF('REGISTRO NO PAGAR'!B75="","",'REGISTRO NO PAGAR'!B75)</f>
        <v/>
      </c>
      <c r="C75" s="74">
        <f>IF('REGISTRO NO PAGAR'!B75="","",'REGISTRO NO PAGAR'!C75)</f>
        <v/>
      </c>
      <c r="D75" s="74">
        <f>IF('REGISTRO NO PAGAR'!B75="","",'REGISTRO NO PAGAR'!D75)</f>
        <v/>
      </c>
      <c r="E75" s="74">
        <f>IF('REGISTRO NO PAGAR'!B75="","",'REGISTRO NO PAGAR'!E75)</f>
        <v/>
      </c>
      <c r="F75" s="74">
        <f>IF('REGISTRO NO PAGAR'!B75="","",'REGISTRO NO PAGAR'!F75)</f>
        <v/>
      </c>
      <c r="G75" s="74">
        <f>IF('REGISTRO NO PAGAR'!B75="","",'REGISTRO NO PAGAR'!G75)</f>
        <v/>
      </c>
      <c r="H75" s="74">
        <f>IF('REGISTRO NO PAGAR'!B75="","",'REGISTRO NO PAGAR'!I75)</f>
        <v/>
      </c>
      <c r="I75" s="74">
        <f>IF('REGISTRO NO PAGAR'!B75="","",'REGISTRO NO PAGAR'!J75)</f>
        <v/>
      </c>
      <c r="J75" s="74">
        <f>IF('REGISTRO NO PAGAR'!B75="","",'REGISTRO NO PAGAR'!K75)</f>
        <v/>
      </c>
      <c r="K75" s="74">
        <f>IF('REGISTRO NO PAGAR'!B75="","",'REGISTRO NO PAGAR'!M75)</f>
        <v/>
      </c>
      <c r="L75" s="75">
        <f>IF('REGISTRO NO PAGAR'!B75="","",'REGISTRO NO PAGAR'!N75)</f>
        <v/>
      </c>
      <c r="M75" s="74">
        <f>IF('REGISTRO NO PAGAR'!B75="","",'REGISTRO NO PAGAR'!T75)</f>
        <v/>
      </c>
    </row>
    <row r="76">
      <c r="A76" s="74">
        <f>IF('REGISTRO NO PAGAR'!B76="","",'REGISTRO NO PAGAR'!A76)</f>
        <v/>
      </c>
      <c r="B76" s="74">
        <f>IF('REGISTRO NO PAGAR'!B76="","",'REGISTRO NO PAGAR'!B76)</f>
        <v/>
      </c>
      <c r="C76" s="74">
        <f>IF('REGISTRO NO PAGAR'!B76="","",'REGISTRO NO PAGAR'!C76)</f>
        <v/>
      </c>
      <c r="D76" s="74">
        <f>IF('REGISTRO NO PAGAR'!B76="","",'REGISTRO NO PAGAR'!D76)</f>
        <v/>
      </c>
      <c r="E76" s="74">
        <f>IF('REGISTRO NO PAGAR'!B76="","",'REGISTRO NO PAGAR'!E76)</f>
        <v/>
      </c>
      <c r="F76" s="74">
        <f>IF('REGISTRO NO PAGAR'!B76="","",'REGISTRO NO PAGAR'!F76)</f>
        <v/>
      </c>
      <c r="G76" s="74">
        <f>IF('REGISTRO NO PAGAR'!B76="","",'REGISTRO NO PAGAR'!G76)</f>
        <v/>
      </c>
      <c r="H76" s="74">
        <f>IF('REGISTRO NO PAGAR'!B76="","",'REGISTRO NO PAGAR'!I76)</f>
        <v/>
      </c>
      <c r="I76" s="74">
        <f>IF('REGISTRO NO PAGAR'!B76="","",'REGISTRO NO PAGAR'!J76)</f>
        <v/>
      </c>
      <c r="J76" s="74">
        <f>IF('REGISTRO NO PAGAR'!B76="","",'REGISTRO NO PAGAR'!K76)</f>
        <v/>
      </c>
      <c r="K76" s="74">
        <f>IF('REGISTRO NO PAGAR'!B76="","",'REGISTRO NO PAGAR'!M76)</f>
        <v/>
      </c>
      <c r="L76" s="75">
        <f>IF('REGISTRO NO PAGAR'!B76="","",'REGISTRO NO PAGAR'!N76)</f>
        <v/>
      </c>
      <c r="M76" s="74">
        <f>IF('REGISTRO NO PAGAR'!B76="","",'REGISTRO NO PAGAR'!T76)</f>
        <v/>
      </c>
    </row>
    <row r="77">
      <c r="A77" s="74">
        <f>IF('REGISTRO NO PAGAR'!B77="","",'REGISTRO NO PAGAR'!A77)</f>
        <v/>
      </c>
      <c r="B77" s="74">
        <f>IF('REGISTRO NO PAGAR'!B77="","",'REGISTRO NO PAGAR'!B77)</f>
        <v/>
      </c>
      <c r="C77" s="74">
        <f>IF('REGISTRO NO PAGAR'!B77="","",'REGISTRO NO PAGAR'!C77)</f>
        <v/>
      </c>
      <c r="D77" s="74">
        <f>IF('REGISTRO NO PAGAR'!B77="","",'REGISTRO NO PAGAR'!D77)</f>
        <v/>
      </c>
      <c r="E77" s="74">
        <f>IF('REGISTRO NO PAGAR'!B77="","",'REGISTRO NO PAGAR'!E77)</f>
        <v/>
      </c>
      <c r="F77" s="74">
        <f>IF('REGISTRO NO PAGAR'!B77="","",'REGISTRO NO PAGAR'!F77)</f>
        <v/>
      </c>
      <c r="G77" s="74">
        <f>IF('REGISTRO NO PAGAR'!B77="","",'REGISTRO NO PAGAR'!G77)</f>
        <v/>
      </c>
      <c r="H77" s="74">
        <f>IF('REGISTRO NO PAGAR'!B77="","",'REGISTRO NO PAGAR'!I77)</f>
        <v/>
      </c>
      <c r="I77" s="74">
        <f>IF('REGISTRO NO PAGAR'!B77="","",'REGISTRO NO PAGAR'!J77)</f>
        <v/>
      </c>
      <c r="J77" s="74">
        <f>IF('REGISTRO NO PAGAR'!B77="","",'REGISTRO NO PAGAR'!K77)</f>
        <v/>
      </c>
      <c r="K77" s="74">
        <f>IF('REGISTRO NO PAGAR'!B77="","",'REGISTRO NO PAGAR'!M77)</f>
        <v/>
      </c>
      <c r="L77" s="75">
        <f>IF('REGISTRO NO PAGAR'!B77="","",'REGISTRO NO PAGAR'!N77)</f>
        <v/>
      </c>
      <c r="M77" s="74">
        <f>IF('REGISTRO NO PAGAR'!B77="","",'REGISTRO NO PAGAR'!T77)</f>
        <v/>
      </c>
    </row>
    <row r="78">
      <c r="A78" s="74">
        <f>IF('REGISTRO NO PAGAR'!B78="","",'REGISTRO NO PAGAR'!A78)</f>
        <v/>
      </c>
      <c r="B78" s="74">
        <f>IF('REGISTRO NO PAGAR'!B78="","",'REGISTRO NO PAGAR'!B78)</f>
        <v/>
      </c>
      <c r="C78" s="74">
        <f>IF('REGISTRO NO PAGAR'!B78="","",'REGISTRO NO PAGAR'!C78)</f>
        <v/>
      </c>
      <c r="D78" s="74">
        <f>IF('REGISTRO NO PAGAR'!B78="","",'REGISTRO NO PAGAR'!D78)</f>
        <v/>
      </c>
      <c r="E78" s="74">
        <f>IF('REGISTRO NO PAGAR'!B78="","",'REGISTRO NO PAGAR'!E78)</f>
        <v/>
      </c>
      <c r="F78" s="74">
        <f>IF('REGISTRO NO PAGAR'!B78="","",'REGISTRO NO PAGAR'!F78)</f>
        <v/>
      </c>
      <c r="G78" s="74">
        <f>IF('REGISTRO NO PAGAR'!B78="","",'REGISTRO NO PAGAR'!G78)</f>
        <v/>
      </c>
      <c r="H78" s="74">
        <f>IF('REGISTRO NO PAGAR'!B78="","",'REGISTRO NO PAGAR'!I78)</f>
        <v/>
      </c>
      <c r="I78" s="74">
        <f>IF('REGISTRO NO PAGAR'!B78="","",'REGISTRO NO PAGAR'!J78)</f>
        <v/>
      </c>
      <c r="J78" s="74">
        <f>IF('REGISTRO NO PAGAR'!B78="","",'REGISTRO NO PAGAR'!K78)</f>
        <v/>
      </c>
      <c r="K78" s="74">
        <f>IF('REGISTRO NO PAGAR'!B78="","",'REGISTRO NO PAGAR'!M78)</f>
        <v/>
      </c>
      <c r="L78" s="75">
        <f>IF('REGISTRO NO PAGAR'!B78="","",'REGISTRO NO PAGAR'!N78)</f>
        <v/>
      </c>
      <c r="M78" s="74">
        <f>IF('REGISTRO NO PAGAR'!B78="","",'REGISTRO NO PAGAR'!T78)</f>
        <v/>
      </c>
    </row>
    <row r="79">
      <c r="A79" s="74">
        <f>IF('REGISTRO NO PAGAR'!B79="","",'REGISTRO NO PAGAR'!A79)</f>
        <v/>
      </c>
      <c r="B79" s="74">
        <f>IF('REGISTRO NO PAGAR'!B79="","",'REGISTRO NO PAGAR'!B79)</f>
        <v/>
      </c>
      <c r="C79" s="74">
        <f>IF('REGISTRO NO PAGAR'!B79="","",'REGISTRO NO PAGAR'!C79)</f>
        <v/>
      </c>
      <c r="D79" s="74">
        <f>IF('REGISTRO NO PAGAR'!B79="","",'REGISTRO NO PAGAR'!D79)</f>
        <v/>
      </c>
      <c r="E79" s="74">
        <f>IF('REGISTRO NO PAGAR'!B79="","",'REGISTRO NO PAGAR'!E79)</f>
        <v/>
      </c>
      <c r="F79" s="74">
        <f>IF('REGISTRO NO PAGAR'!B79="","",'REGISTRO NO PAGAR'!F79)</f>
        <v/>
      </c>
      <c r="G79" s="74">
        <f>IF('REGISTRO NO PAGAR'!B79="","",'REGISTRO NO PAGAR'!G79)</f>
        <v/>
      </c>
      <c r="H79" s="74">
        <f>IF('REGISTRO NO PAGAR'!B79="","",'REGISTRO NO PAGAR'!I79)</f>
        <v/>
      </c>
      <c r="I79" s="74">
        <f>IF('REGISTRO NO PAGAR'!B79="","",'REGISTRO NO PAGAR'!J79)</f>
        <v/>
      </c>
      <c r="J79" s="74">
        <f>IF('REGISTRO NO PAGAR'!B79="","",'REGISTRO NO PAGAR'!K79)</f>
        <v/>
      </c>
      <c r="K79" s="74">
        <f>IF('REGISTRO NO PAGAR'!B79="","",'REGISTRO NO PAGAR'!M79)</f>
        <v/>
      </c>
      <c r="L79" s="75">
        <f>IF('REGISTRO NO PAGAR'!B79="","",'REGISTRO NO PAGAR'!N79)</f>
        <v/>
      </c>
      <c r="M79" s="74">
        <f>IF('REGISTRO NO PAGAR'!B79="","",'REGISTRO NO PAGAR'!T79)</f>
        <v/>
      </c>
    </row>
    <row r="80">
      <c r="A80" s="74">
        <f>IF('REGISTRO NO PAGAR'!B80="","",'REGISTRO NO PAGAR'!A80)</f>
        <v/>
      </c>
      <c r="B80" s="74">
        <f>IF('REGISTRO NO PAGAR'!B80="","",'REGISTRO NO PAGAR'!B80)</f>
        <v/>
      </c>
      <c r="C80" s="74">
        <f>IF('REGISTRO NO PAGAR'!B80="","",'REGISTRO NO PAGAR'!C80)</f>
        <v/>
      </c>
      <c r="D80" s="74">
        <f>IF('REGISTRO NO PAGAR'!B80="","",'REGISTRO NO PAGAR'!D80)</f>
        <v/>
      </c>
      <c r="E80" s="74">
        <f>IF('REGISTRO NO PAGAR'!B80="","",'REGISTRO NO PAGAR'!E80)</f>
        <v/>
      </c>
      <c r="F80" s="74">
        <f>IF('REGISTRO NO PAGAR'!B80="","",'REGISTRO NO PAGAR'!F80)</f>
        <v/>
      </c>
      <c r="G80" s="74">
        <f>IF('REGISTRO NO PAGAR'!B80="","",'REGISTRO NO PAGAR'!G80)</f>
        <v/>
      </c>
      <c r="H80" s="74">
        <f>IF('REGISTRO NO PAGAR'!B80="","",'REGISTRO NO PAGAR'!I80)</f>
        <v/>
      </c>
      <c r="I80" s="74">
        <f>IF('REGISTRO NO PAGAR'!B80="","",'REGISTRO NO PAGAR'!J80)</f>
        <v/>
      </c>
      <c r="J80" s="74">
        <f>IF('REGISTRO NO PAGAR'!B80="","",'REGISTRO NO PAGAR'!K80)</f>
        <v/>
      </c>
      <c r="K80" s="74">
        <f>IF('REGISTRO NO PAGAR'!B80="","",'REGISTRO NO PAGAR'!M80)</f>
        <v/>
      </c>
      <c r="L80" s="75">
        <f>IF('REGISTRO NO PAGAR'!B80="","",'REGISTRO NO PAGAR'!N80)</f>
        <v/>
      </c>
      <c r="M80" s="74">
        <f>IF('REGISTRO NO PAGAR'!B80="","",'REGISTRO NO PAGAR'!T80)</f>
        <v/>
      </c>
    </row>
    <row r="81">
      <c r="A81" s="74">
        <f>IF('REGISTRO NO PAGAR'!B81="","",'REGISTRO NO PAGAR'!A81)</f>
        <v/>
      </c>
      <c r="B81" s="74">
        <f>IF('REGISTRO NO PAGAR'!B81="","",'REGISTRO NO PAGAR'!B81)</f>
        <v/>
      </c>
      <c r="C81" s="74">
        <f>IF('REGISTRO NO PAGAR'!B81="","",'REGISTRO NO PAGAR'!C81)</f>
        <v/>
      </c>
      <c r="D81" s="74">
        <f>IF('REGISTRO NO PAGAR'!B81="","",'REGISTRO NO PAGAR'!D81)</f>
        <v/>
      </c>
      <c r="E81" s="74">
        <f>IF('REGISTRO NO PAGAR'!B81="","",'REGISTRO NO PAGAR'!E81)</f>
        <v/>
      </c>
      <c r="F81" s="74">
        <f>IF('REGISTRO NO PAGAR'!B81="","",'REGISTRO NO PAGAR'!F81)</f>
        <v/>
      </c>
      <c r="G81" s="74">
        <f>IF('REGISTRO NO PAGAR'!B81="","",'REGISTRO NO PAGAR'!G81)</f>
        <v/>
      </c>
      <c r="H81" s="74">
        <f>IF('REGISTRO NO PAGAR'!B81="","",'REGISTRO NO PAGAR'!I81)</f>
        <v/>
      </c>
      <c r="I81" s="74">
        <f>IF('REGISTRO NO PAGAR'!B81="","",'REGISTRO NO PAGAR'!J81)</f>
        <v/>
      </c>
      <c r="J81" s="74">
        <f>IF('REGISTRO NO PAGAR'!B81="","",'REGISTRO NO PAGAR'!K81)</f>
        <v/>
      </c>
      <c r="K81" s="74">
        <f>IF('REGISTRO NO PAGAR'!B81="","",'REGISTRO NO PAGAR'!M81)</f>
        <v/>
      </c>
      <c r="L81" s="75">
        <f>IF('REGISTRO NO PAGAR'!B81="","",'REGISTRO NO PAGAR'!N81)</f>
        <v/>
      </c>
      <c r="M81" s="74">
        <f>IF('REGISTRO NO PAGAR'!B81="","",'REGISTRO NO PAGAR'!T81)</f>
        <v/>
      </c>
    </row>
    <row r="82">
      <c r="A82" s="74">
        <f>IF('REGISTRO NO PAGAR'!B82="","",'REGISTRO NO PAGAR'!A82)</f>
        <v/>
      </c>
      <c r="B82" s="74">
        <f>IF('REGISTRO NO PAGAR'!B82="","",'REGISTRO NO PAGAR'!B82)</f>
        <v/>
      </c>
      <c r="C82" s="74">
        <f>IF('REGISTRO NO PAGAR'!B82="","",'REGISTRO NO PAGAR'!C82)</f>
        <v/>
      </c>
      <c r="D82" s="74">
        <f>IF('REGISTRO NO PAGAR'!B82="","",'REGISTRO NO PAGAR'!D82)</f>
        <v/>
      </c>
      <c r="E82" s="74">
        <f>IF('REGISTRO NO PAGAR'!B82="","",'REGISTRO NO PAGAR'!E82)</f>
        <v/>
      </c>
      <c r="F82" s="74">
        <f>IF('REGISTRO NO PAGAR'!B82="","",'REGISTRO NO PAGAR'!F82)</f>
        <v/>
      </c>
      <c r="G82" s="74">
        <f>IF('REGISTRO NO PAGAR'!B82="","",'REGISTRO NO PAGAR'!G82)</f>
        <v/>
      </c>
      <c r="H82" s="74">
        <f>IF('REGISTRO NO PAGAR'!B82="","",'REGISTRO NO PAGAR'!I82)</f>
        <v/>
      </c>
      <c r="I82" s="74">
        <f>IF('REGISTRO NO PAGAR'!B82="","",'REGISTRO NO PAGAR'!J82)</f>
        <v/>
      </c>
      <c r="J82" s="74">
        <f>IF('REGISTRO NO PAGAR'!B82="","",'REGISTRO NO PAGAR'!K82)</f>
        <v/>
      </c>
      <c r="K82" s="74">
        <f>IF('REGISTRO NO PAGAR'!B82="","",'REGISTRO NO PAGAR'!M82)</f>
        <v/>
      </c>
      <c r="L82" s="75">
        <f>IF('REGISTRO NO PAGAR'!B82="","",'REGISTRO NO PAGAR'!N82)</f>
        <v/>
      </c>
      <c r="M82" s="74">
        <f>IF('REGISTRO NO PAGAR'!B82="","",'REGISTRO NO PAGAR'!T82)</f>
        <v/>
      </c>
    </row>
    <row r="83">
      <c r="A83" s="74">
        <f>IF('REGISTRO NO PAGAR'!B83="","",'REGISTRO NO PAGAR'!A83)</f>
        <v/>
      </c>
      <c r="B83" s="74">
        <f>IF('REGISTRO NO PAGAR'!B83="","",'REGISTRO NO PAGAR'!B83)</f>
        <v/>
      </c>
      <c r="C83" s="74">
        <f>IF('REGISTRO NO PAGAR'!B83="","",'REGISTRO NO PAGAR'!C83)</f>
        <v/>
      </c>
      <c r="D83" s="74">
        <f>IF('REGISTRO NO PAGAR'!B83="","",'REGISTRO NO PAGAR'!D83)</f>
        <v/>
      </c>
      <c r="E83" s="74">
        <f>IF('REGISTRO NO PAGAR'!B83="","",'REGISTRO NO PAGAR'!E83)</f>
        <v/>
      </c>
      <c r="F83" s="74">
        <f>IF('REGISTRO NO PAGAR'!B83="","",'REGISTRO NO PAGAR'!F83)</f>
        <v/>
      </c>
      <c r="G83" s="74">
        <f>IF('REGISTRO NO PAGAR'!B83="","",'REGISTRO NO PAGAR'!G83)</f>
        <v/>
      </c>
      <c r="H83" s="74">
        <f>IF('REGISTRO NO PAGAR'!B83="","",'REGISTRO NO PAGAR'!I83)</f>
        <v/>
      </c>
      <c r="I83" s="74">
        <f>IF('REGISTRO NO PAGAR'!B83="","",'REGISTRO NO PAGAR'!J83)</f>
        <v/>
      </c>
      <c r="J83" s="74">
        <f>IF('REGISTRO NO PAGAR'!B83="","",'REGISTRO NO PAGAR'!K83)</f>
        <v/>
      </c>
      <c r="K83" s="74">
        <f>IF('REGISTRO NO PAGAR'!B83="","",'REGISTRO NO PAGAR'!M83)</f>
        <v/>
      </c>
      <c r="L83" s="75">
        <f>IF('REGISTRO NO PAGAR'!B83="","",'REGISTRO NO PAGAR'!N83)</f>
        <v/>
      </c>
      <c r="M83" s="74">
        <f>IF('REGISTRO NO PAGAR'!B83="","",'REGISTRO NO PAGAR'!T83)</f>
        <v/>
      </c>
    </row>
    <row r="84">
      <c r="A84" s="74">
        <f>IF('REGISTRO NO PAGAR'!B84="","",'REGISTRO NO PAGAR'!A84)</f>
        <v/>
      </c>
      <c r="B84" s="74">
        <f>IF('REGISTRO NO PAGAR'!B84="","",'REGISTRO NO PAGAR'!B84)</f>
        <v/>
      </c>
      <c r="C84" s="74">
        <f>IF('REGISTRO NO PAGAR'!B84="","",'REGISTRO NO PAGAR'!C84)</f>
        <v/>
      </c>
      <c r="D84" s="74">
        <f>IF('REGISTRO NO PAGAR'!B84="","",'REGISTRO NO PAGAR'!D84)</f>
        <v/>
      </c>
      <c r="E84" s="74">
        <f>IF('REGISTRO NO PAGAR'!B84="","",'REGISTRO NO PAGAR'!E84)</f>
        <v/>
      </c>
      <c r="F84" s="74">
        <f>IF('REGISTRO NO PAGAR'!B84="","",'REGISTRO NO PAGAR'!F84)</f>
        <v/>
      </c>
      <c r="G84" s="74">
        <f>IF('REGISTRO NO PAGAR'!B84="","",'REGISTRO NO PAGAR'!G84)</f>
        <v/>
      </c>
      <c r="H84" s="74">
        <f>IF('REGISTRO NO PAGAR'!B84="","",'REGISTRO NO PAGAR'!I84)</f>
        <v/>
      </c>
      <c r="I84" s="74">
        <f>IF('REGISTRO NO PAGAR'!B84="","",'REGISTRO NO PAGAR'!J84)</f>
        <v/>
      </c>
      <c r="J84" s="74">
        <f>IF('REGISTRO NO PAGAR'!B84="","",'REGISTRO NO PAGAR'!K84)</f>
        <v/>
      </c>
      <c r="K84" s="74">
        <f>IF('REGISTRO NO PAGAR'!B84="","",'REGISTRO NO PAGAR'!M84)</f>
        <v/>
      </c>
      <c r="L84" s="75">
        <f>IF('REGISTRO NO PAGAR'!B84="","",'REGISTRO NO PAGAR'!N84)</f>
        <v/>
      </c>
      <c r="M84" s="74">
        <f>IF('REGISTRO NO PAGAR'!B84="","",'REGISTRO NO PAGAR'!T84)</f>
        <v/>
      </c>
    </row>
    <row r="85">
      <c r="A85" s="74">
        <f>IF('REGISTRO NO PAGAR'!B85="","",'REGISTRO NO PAGAR'!A85)</f>
        <v/>
      </c>
      <c r="B85" s="74">
        <f>IF('REGISTRO NO PAGAR'!B85="","",'REGISTRO NO PAGAR'!B85)</f>
        <v/>
      </c>
      <c r="C85" s="74">
        <f>IF('REGISTRO NO PAGAR'!B85="","",'REGISTRO NO PAGAR'!C85)</f>
        <v/>
      </c>
      <c r="D85" s="74">
        <f>IF('REGISTRO NO PAGAR'!B85="","",'REGISTRO NO PAGAR'!D85)</f>
        <v/>
      </c>
      <c r="E85" s="74">
        <f>IF('REGISTRO NO PAGAR'!B85="","",'REGISTRO NO PAGAR'!E85)</f>
        <v/>
      </c>
      <c r="F85" s="74">
        <f>IF('REGISTRO NO PAGAR'!B85="","",'REGISTRO NO PAGAR'!F85)</f>
        <v/>
      </c>
      <c r="G85" s="74">
        <f>IF('REGISTRO NO PAGAR'!B85="","",'REGISTRO NO PAGAR'!G85)</f>
        <v/>
      </c>
      <c r="H85" s="74">
        <f>IF('REGISTRO NO PAGAR'!B85="","",'REGISTRO NO PAGAR'!I85)</f>
        <v/>
      </c>
      <c r="I85" s="74">
        <f>IF('REGISTRO NO PAGAR'!B85="","",'REGISTRO NO PAGAR'!J85)</f>
        <v/>
      </c>
      <c r="J85" s="74">
        <f>IF('REGISTRO NO PAGAR'!B85="","",'REGISTRO NO PAGAR'!K85)</f>
        <v/>
      </c>
      <c r="K85" s="74">
        <f>IF('REGISTRO NO PAGAR'!B85="","",'REGISTRO NO PAGAR'!M85)</f>
        <v/>
      </c>
      <c r="L85" s="75">
        <f>IF('REGISTRO NO PAGAR'!B85="","",'REGISTRO NO PAGAR'!N85)</f>
        <v/>
      </c>
      <c r="M85" s="74">
        <f>IF('REGISTRO NO PAGAR'!B85="","",'REGISTRO NO PAGAR'!T85)</f>
        <v/>
      </c>
    </row>
    <row r="86">
      <c r="A86" s="74">
        <f>IF('REGISTRO NO PAGAR'!B86="","",'REGISTRO NO PAGAR'!A86)</f>
        <v/>
      </c>
      <c r="B86" s="74">
        <f>IF('REGISTRO NO PAGAR'!B86="","",'REGISTRO NO PAGAR'!B86)</f>
        <v/>
      </c>
      <c r="C86" s="74">
        <f>IF('REGISTRO NO PAGAR'!B86="","",'REGISTRO NO PAGAR'!C86)</f>
        <v/>
      </c>
      <c r="D86" s="74">
        <f>IF('REGISTRO NO PAGAR'!B86="","",'REGISTRO NO PAGAR'!D86)</f>
        <v/>
      </c>
      <c r="E86" s="74">
        <f>IF('REGISTRO NO PAGAR'!B86="","",'REGISTRO NO PAGAR'!E86)</f>
        <v/>
      </c>
      <c r="F86" s="74">
        <f>IF('REGISTRO NO PAGAR'!B86="","",'REGISTRO NO PAGAR'!F86)</f>
        <v/>
      </c>
      <c r="G86" s="74">
        <f>IF('REGISTRO NO PAGAR'!B86="","",'REGISTRO NO PAGAR'!G86)</f>
        <v/>
      </c>
      <c r="H86" s="74">
        <f>IF('REGISTRO NO PAGAR'!B86="","",'REGISTRO NO PAGAR'!I86)</f>
        <v/>
      </c>
      <c r="I86" s="74">
        <f>IF('REGISTRO NO PAGAR'!B86="","",'REGISTRO NO PAGAR'!J86)</f>
        <v/>
      </c>
      <c r="J86" s="74">
        <f>IF('REGISTRO NO PAGAR'!B86="","",'REGISTRO NO PAGAR'!K86)</f>
        <v/>
      </c>
      <c r="K86" s="74">
        <f>IF('REGISTRO NO PAGAR'!B86="","",'REGISTRO NO PAGAR'!M86)</f>
        <v/>
      </c>
      <c r="L86" s="75">
        <f>IF('REGISTRO NO PAGAR'!B86="","",'REGISTRO NO PAGAR'!N86)</f>
        <v/>
      </c>
      <c r="M86" s="74">
        <f>IF('REGISTRO NO PAGAR'!B86="","",'REGISTRO NO PAGAR'!T86)</f>
        <v/>
      </c>
    </row>
    <row r="87">
      <c r="A87" s="74">
        <f>IF('REGISTRO NO PAGAR'!B87="","",'REGISTRO NO PAGAR'!A87)</f>
        <v/>
      </c>
      <c r="B87" s="74">
        <f>IF('REGISTRO NO PAGAR'!B87="","",'REGISTRO NO PAGAR'!B87)</f>
        <v/>
      </c>
      <c r="C87" s="74">
        <f>IF('REGISTRO NO PAGAR'!B87="","",'REGISTRO NO PAGAR'!C87)</f>
        <v/>
      </c>
      <c r="D87" s="74">
        <f>IF('REGISTRO NO PAGAR'!B87="","",'REGISTRO NO PAGAR'!D87)</f>
        <v/>
      </c>
      <c r="E87" s="74">
        <f>IF('REGISTRO NO PAGAR'!B87="","",'REGISTRO NO PAGAR'!E87)</f>
        <v/>
      </c>
      <c r="F87" s="74">
        <f>IF('REGISTRO NO PAGAR'!B87="","",'REGISTRO NO PAGAR'!F87)</f>
        <v/>
      </c>
      <c r="G87" s="74">
        <f>IF('REGISTRO NO PAGAR'!B87="","",'REGISTRO NO PAGAR'!G87)</f>
        <v/>
      </c>
      <c r="H87" s="74">
        <f>IF('REGISTRO NO PAGAR'!B87="","",'REGISTRO NO PAGAR'!I87)</f>
        <v/>
      </c>
      <c r="I87" s="74">
        <f>IF('REGISTRO NO PAGAR'!B87="","",'REGISTRO NO PAGAR'!J87)</f>
        <v/>
      </c>
      <c r="J87" s="74">
        <f>IF('REGISTRO NO PAGAR'!B87="","",'REGISTRO NO PAGAR'!K87)</f>
        <v/>
      </c>
      <c r="K87" s="74">
        <f>IF('REGISTRO NO PAGAR'!B87="","",'REGISTRO NO PAGAR'!M87)</f>
        <v/>
      </c>
      <c r="L87" s="75">
        <f>IF('REGISTRO NO PAGAR'!B87="","",'REGISTRO NO PAGAR'!N87)</f>
        <v/>
      </c>
      <c r="M87" s="74">
        <f>IF('REGISTRO NO PAGAR'!B87="","",'REGISTRO NO PAGAR'!T87)</f>
        <v/>
      </c>
    </row>
    <row r="88">
      <c r="A88" s="74">
        <f>IF('REGISTRO NO PAGAR'!B88="","",'REGISTRO NO PAGAR'!A88)</f>
        <v/>
      </c>
      <c r="B88" s="74">
        <f>IF('REGISTRO NO PAGAR'!B88="","",'REGISTRO NO PAGAR'!B88)</f>
        <v/>
      </c>
      <c r="C88" s="74">
        <f>IF('REGISTRO NO PAGAR'!B88="","",'REGISTRO NO PAGAR'!C88)</f>
        <v/>
      </c>
      <c r="D88" s="74">
        <f>IF('REGISTRO NO PAGAR'!B88="","",'REGISTRO NO PAGAR'!D88)</f>
        <v/>
      </c>
      <c r="E88" s="74">
        <f>IF('REGISTRO NO PAGAR'!B88="","",'REGISTRO NO PAGAR'!E88)</f>
        <v/>
      </c>
      <c r="F88" s="74">
        <f>IF('REGISTRO NO PAGAR'!B88="","",'REGISTRO NO PAGAR'!F88)</f>
        <v/>
      </c>
      <c r="G88" s="74">
        <f>IF('REGISTRO NO PAGAR'!B88="","",'REGISTRO NO PAGAR'!G88)</f>
        <v/>
      </c>
      <c r="H88" s="74">
        <f>IF('REGISTRO NO PAGAR'!B88="","",'REGISTRO NO PAGAR'!I88)</f>
        <v/>
      </c>
      <c r="I88" s="74">
        <f>IF('REGISTRO NO PAGAR'!B88="","",'REGISTRO NO PAGAR'!J88)</f>
        <v/>
      </c>
      <c r="J88" s="74">
        <f>IF('REGISTRO NO PAGAR'!B88="","",'REGISTRO NO PAGAR'!K88)</f>
        <v/>
      </c>
      <c r="K88" s="74">
        <f>IF('REGISTRO NO PAGAR'!B88="","",'REGISTRO NO PAGAR'!M88)</f>
        <v/>
      </c>
      <c r="L88" s="75">
        <f>IF('REGISTRO NO PAGAR'!B88="","",'REGISTRO NO PAGAR'!N88)</f>
        <v/>
      </c>
      <c r="M88" s="74">
        <f>IF('REGISTRO NO PAGAR'!B88="","",'REGISTRO NO PAGAR'!T88)</f>
        <v/>
      </c>
    </row>
    <row r="89">
      <c r="A89" s="74">
        <f>IF('REGISTRO NO PAGAR'!B89="","",'REGISTRO NO PAGAR'!A89)</f>
        <v/>
      </c>
      <c r="B89" s="74">
        <f>IF('REGISTRO NO PAGAR'!B89="","",'REGISTRO NO PAGAR'!B89)</f>
        <v/>
      </c>
      <c r="C89" s="74">
        <f>IF('REGISTRO NO PAGAR'!B89="","",'REGISTRO NO PAGAR'!C89)</f>
        <v/>
      </c>
      <c r="D89" s="74">
        <f>IF('REGISTRO NO PAGAR'!B89="","",'REGISTRO NO PAGAR'!D89)</f>
        <v/>
      </c>
      <c r="E89" s="74">
        <f>IF('REGISTRO NO PAGAR'!B89="","",'REGISTRO NO PAGAR'!E89)</f>
        <v/>
      </c>
      <c r="F89" s="74">
        <f>IF('REGISTRO NO PAGAR'!B89="","",'REGISTRO NO PAGAR'!F89)</f>
        <v/>
      </c>
      <c r="G89" s="74">
        <f>IF('REGISTRO NO PAGAR'!B89="","",'REGISTRO NO PAGAR'!G89)</f>
        <v/>
      </c>
      <c r="H89" s="74">
        <f>IF('REGISTRO NO PAGAR'!B89="","",'REGISTRO NO PAGAR'!I89)</f>
        <v/>
      </c>
      <c r="I89" s="74">
        <f>IF('REGISTRO NO PAGAR'!B89="","",'REGISTRO NO PAGAR'!J89)</f>
        <v/>
      </c>
      <c r="J89" s="74">
        <f>IF('REGISTRO NO PAGAR'!B89="","",'REGISTRO NO PAGAR'!K89)</f>
        <v/>
      </c>
      <c r="K89" s="74">
        <f>IF('REGISTRO NO PAGAR'!B89="","",'REGISTRO NO PAGAR'!M89)</f>
        <v/>
      </c>
      <c r="L89" s="75">
        <f>IF('REGISTRO NO PAGAR'!B89="","",'REGISTRO NO PAGAR'!N89)</f>
        <v/>
      </c>
      <c r="M89" s="74">
        <f>IF('REGISTRO NO PAGAR'!B89="","",'REGISTRO NO PAGAR'!T89)</f>
        <v/>
      </c>
    </row>
    <row r="90">
      <c r="A90" s="74">
        <f>IF('REGISTRO NO PAGAR'!B90="","",'REGISTRO NO PAGAR'!A90)</f>
        <v/>
      </c>
      <c r="B90" s="74">
        <f>IF('REGISTRO NO PAGAR'!B90="","",'REGISTRO NO PAGAR'!B90)</f>
        <v/>
      </c>
      <c r="C90" s="74">
        <f>IF('REGISTRO NO PAGAR'!B90="","",'REGISTRO NO PAGAR'!C90)</f>
        <v/>
      </c>
      <c r="D90" s="74">
        <f>IF('REGISTRO NO PAGAR'!B90="","",'REGISTRO NO PAGAR'!D90)</f>
        <v/>
      </c>
      <c r="E90" s="74">
        <f>IF('REGISTRO NO PAGAR'!B90="","",'REGISTRO NO PAGAR'!E90)</f>
        <v/>
      </c>
      <c r="F90" s="74">
        <f>IF('REGISTRO NO PAGAR'!B90="","",'REGISTRO NO PAGAR'!F90)</f>
        <v/>
      </c>
      <c r="G90" s="74">
        <f>IF('REGISTRO NO PAGAR'!B90="","",'REGISTRO NO PAGAR'!G90)</f>
        <v/>
      </c>
      <c r="H90" s="74">
        <f>IF('REGISTRO NO PAGAR'!B90="","",'REGISTRO NO PAGAR'!I90)</f>
        <v/>
      </c>
      <c r="I90" s="74">
        <f>IF('REGISTRO NO PAGAR'!B90="","",'REGISTRO NO PAGAR'!J90)</f>
        <v/>
      </c>
      <c r="J90" s="74">
        <f>IF('REGISTRO NO PAGAR'!B90="","",'REGISTRO NO PAGAR'!K90)</f>
        <v/>
      </c>
      <c r="K90" s="74">
        <f>IF('REGISTRO NO PAGAR'!B90="","",'REGISTRO NO PAGAR'!M90)</f>
        <v/>
      </c>
      <c r="L90" s="75">
        <f>IF('REGISTRO NO PAGAR'!B90="","",'REGISTRO NO PAGAR'!N90)</f>
        <v/>
      </c>
      <c r="M90" s="74">
        <f>IF('REGISTRO NO PAGAR'!B90="","",'REGISTRO NO PAGAR'!T90)</f>
        <v/>
      </c>
    </row>
    <row r="91">
      <c r="A91" s="74">
        <f>IF('REGISTRO NO PAGAR'!B91="","",'REGISTRO NO PAGAR'!A91)</f>
        <v/>
      </c>
      <c r="B91" s="74">
        <f>IF('REGISTRO NO PAGAR'!B91="","",'REGISTRO NO PAGAR'!B91)</f>
        <v/>
      </c>
      <c r="C91" s="74">
        <f>IF('REGISTRO NO PAGAR'!B91="","",'REGISTRO NO PAGAR'!C91)</f>
        <v/>
      </c>
      <c r="D91" s="74">
        <f>IF('REGISTRO NO PAGAR'!B91="","",'REGISTRO NO PAGAR'!D91)</f>
        <v/>
      </c>
      <c r="E91" s="74">
        <f>IF('REGISTRO NO PAGAR'!B91="","",'REGISTRO NO PAGAR'!E91)</f>
        <v/>
      </c>
      <c r="F91" s="74">
        <f>IF('REGISTRO NO PAGAR'!B91="","",'REGISTRO NO PAGAR'!F91)</f>
        <v/>
      </c>
      <c r="G91" s="74">
        <f>IF('REGISTRO NO PAGAR'!B91="","",'REGISTRO NO PAGAR'!G91)</f>
        <v/>
      </c>
      <c r="H91" s="74">
        <f>IF('REGISTRO NO PAGAR'!B91="","",'REGISTRO NO PAGAR'!I91)</f>
        <v/>
      </c>
      <c r="I91" s="74">
        <f>IF('REGISTRO NO PAGAR'!B91="","",'REGISTRO NO PAGAR'!J91)</f>
        <v/>
      </c>
      <c r="J91" s="74">
        <f>IF('REGISTRO NO PAGAR'!B91="","",'REGISTRO NO PAGAR'!K91)</f>
        <v/>
      </c>
      <c r="K91" s="74">
        <f>IF('REGISTRO NO PAGAR'!B91="","",'REGISTRO NO PAGAR'!M91)</f>
        <v/>
      </c>
      <c r="L91" s="75">
        <f>IF('REGISTRO NO PAGAR'!B91="","",'REGISTRO NO PAGAR'!N91)</f>
        <v/>
      </c>
      <c r="M91" s="74">
        <f>IF('REGISTRO NO PAGAR'!B91="","",'REGISTRO NO PAGAR'!T91)</f>
        <v/>
      </c>
    </row>
    <row r="92">
      <c r="A92" s="74">
        <f>IF('REGISTRO NO PAGAR'!B92="","",'REGISTRO NO PAGAR'!A92)</f>
        <v/>
      </c>
      <c r="B92" s="74">
        <f>IF('REGISTRO NO PAGAR'!B92="","",'REGISTRO NO PAGAR'!B92)</f>
        <v/>
      </c>
      <c r="C92" s="74">
        <f>IF('REGISTRO NO PAGAR'!B92="","",'REGISTRO NO PAGAR'!C92)</f>
        <v/>
      </c>
      <c r="D92" s="74">
        <f>IF('REGISTRO NO PAGAR'!B92="","",'REGISTRO NO PAGAR'!D92)</f>
        <v/>
      </c>
      <c r="E92" s="74">
        <f>IF('REGISTRO NO PAGAR'!B92="","",'REGISTRO NO PAGAR'!E92)</f>
        <v/>
      </c>
      <c r="F92" s="74">
        <f>IF('REGISTRO NO PAGAR'!B92="","",'REGISTRO NO PAGAR'!F92)</f>
        <v/>
      </c>
      <c r="G92" s="74">
        <f>IF('REGISTRO NO PAGAR'!B92="","",'REGISTRO NO PAGAR'!G92)</f>
        <v/>
      </c>
      <c r="H92" s="74">
        <f>IF('REGISTRO NO PAGAR'!B92="","",'REGISTRO NO PAGAR'!I92)</f>
        <v/>
      </c>
      <c r="I92" s="74">
        <f>IF('REGISTRO NO PAGAR'!B92="","",'REGISTRO NO PAGAR'!J92)</f>
        <v/>
      </c>
      <c r="J92" s="74">
        <f>IF('REGISTRO NO PAGAR'!B92="","",'REGISTRO NO PAGAR'!K92)</f>
        <v/>
      </c>
      <c r="K92" s="74">
        <f>IF('REGISTRO NO PAGAR'!B92="","",'REGISTRO NO PAGAR'!M92)</f>
        <v/>
      </c>
      <c r="L92" s="75">
        <f>IF('REGISTRO NO PAGAR'!B92="","",'REGISTRO NO PAGAR'!N92)</f>
        <v/>
      </c>
      <c r="M92" s="74">
        <f>IF('REGISTRO NO PAGAR'!B92="","",'REGISTRO NO PAGAR'!T92)</f>
        <v/>
      </c>
    </row>
    <row r="93">
      <c r="A93" s="74">
        <f>IF('REGISTRO NO PAGAR'!B93="","",'REGISTRO NO PAGAR'!A93)</f>
        <v/>
      </c>
      <c r="B93" s="74">
        <f>IF('REGISTRO NO PAGAR'!B93="","",'REGISTRO NO PAGAR'!B93)</f>
        <v/>
      </c>
      <c r="C93" s="74">
        <f>IF('REGISTRO NO PAGAR'!B93="","",'REGISTRO NO PAGAR'!C93)</f>
        <v/>
      </c>
      <c r="D93" s="74">
        <f>IF('REGISTRO NO PAGAR'!B93="","",'REGISTRO NO PAGAR'!D93)</f>
        <v/>
      </c>
      <c r="E93" s="74">
        <f>IF('REGISTRO NO PAGAR'!B93="","",'REGISTRO NO PAGAR'!E93)</f>
        <v/>
      </c>
      <c r="F93" s="74">
        <f>IF('REGISTRO NO PAGAR'!B93="","",'REGISTRO NO PAGAR'!F93)</f>
        <v/>
      </c>
      <c r="G93" s="74">
        <f>IF('REGISTRO NO PAGAR'!B93="","",'REGISTRO NO PAGAR'!G93)</f>
        <v/>
      </c>
      <c r="H93" s="74">
        <f>IF('REGISTRO NO PAGAR'!B93="","",'REGISTRO NO PAGAR'!I93)</f>
        <v/>
      </c>
      <c r="I93" s="74">
        <f>IF('REGISTRO NO PAGAR'!B93="","",'REGISTRO NO PAGAR'!J93)</f>
        <v/>
      </c>
      <c r="J93" s="74">
        <f>IF('REGISTRO NO PAGAR'!B93="","",'REGISTRO NO PAGAR'!K93)</f>
        <v/>
      </c>
      <c r="K93" s="74">
        <f>IF('REGISTRO NO PAGAR'!B93="","",'REGISTRO NO PAGAR'!M93)</f>
        <v/>
      </c>
      <c r="L93" s="75">
        <f>IF('REGISTRO NO PAGAR'!B93="","",'REGISTRO NO PAGAR'!N93)</f>
        <v/>
      </c>
      <c r="M93" s="74">
        <f>IF('REGISTRO NO PAGAR'!B93="","",'REGISTRO NO PAGAR'!T93)</f>
        <v/>
      </c>
    </row>
    <row r="94">
      <c r="A94" s="74">
        <f>IF('REGISTRO NO PAGAR'!B94="","",'REGISTRO NO PAGAR'!A94)</f>
        <v/>
      </c>
      <c r="B94" s="74">
        <f>IF('REGISTRO NO PAGAR'!B94="","",'REGISTRO NO PAGAR'!B94)</f>
        <v/>
      </c>
      <c r="C94" s="74">
        <f>IF('REGISTRO NO PAGAR'!B94="","",'REGISTRO NO PAGAR'!C94)</f>
        <v/>
      </c>
      <c r="D94" s="74">
        <f>IF('REGISTRO NO PAGAR'!B94="","",'REGISTRO NO PAGAR'!D94)</f>
        <v/>
      </c>
      <c r="E94" s="74">
        <f>IF('REGISTRO NO PAGAR'!B94="","",'REGISTRO NO PAGAR'!E94)</f>
        <v/>
      </c>
      <c r="F94" s="74">
        <f>IF('REGISTRO NO PAGAR'!B94="","",'REGISTRO NO PAGAR'!F94)</f>
        <v/>
      </c>
      <c r="G94" s="74">
        <f>IF('REGISTRO NO PAGAR'!B94="","",'REGISTRO NO PAGAR'!G94)</f>
        <v/>
      </c>
      <c r="H94" s="74">
        <f>IF('REGISTRO NO PAGAR'!B94="","",'REGISTRO NO PAGAR'!I94)</f>
        <v/>
      </c>
      <c r="I94" s="74">
        <f>IF('REGISTRO NO PAGAR'!B94="","",'REGISTRO NO PAGAR'!J94)</f>
        <v/>
      </c>
      <c r="J94" s="74">
        <f>IF('REGISTRO NO PAGAR'!B94="","",'REGISTRO NO PAGAR'!K94)</f>
        <v/>
      </c>
      <c r="K94" s="74">
        <f>IF('REGISTRO NO PAGAR'!B94="","",'REGISTRO NO PAGAR'!M94)</f>
        <v/>
      </c>
      <c r="L94" s="75">
        <f>IF('REGISTRO NO PAGAR'!B94="","",'REGISTRO NO PAGAR'!N94)</f>
        <v/>
      </c>
      <c r="M94" s="74">
        <f>IF('REGISTRO NO PAGAR'!B94="","",'REGISTRO NO PAGAR'!T94)</f>
        <v/>
      </c>
    </row>
    <row r="95">
      <c r="A95" s="74">
        <f>IF('REGISTRO NO PAGAR'!B95="","",'REGISTRO NO PAGAR'!A95)</f>
        <v/>
      </c>
      <c r="B95" s="74">
        <f>IF('REGISTRO NO PAGAR'!B95="","",'REGISTRO NO PAGAR'!B95)</f>
        <v/>
      </c>
      <c r="C95" s="74">
        <f>IF('REGISTRO NO PAGAR'!B95="","",'REGISTRO NO PAGAR'!C95)</f>
        <v/>
      </c>
      <c r="D95" s="74">
        <f>IF('REGISTRO NO PAGAR'!B95="","",'REGISTRO NO PAGAR'!D95)</f>
        <v/>
      </c>
      <c r="E95" s="74">
        <f>IF('REGISTRO NO PAGAR'!B95="","",'REGISTRO NO PAGAR'!E95)</f>
        <v/>
      </c>
      <c r="F95" s="74">
        <f>IF('REGISTRO NO PAGAR'!B95="","",'REGISTRO NO PAGAR'!F95)</f>
        <v/>
      </c>
      <c r="G95" s="74">
        <f>IF('REGISTRO NO PAGAR'!B95="","",'REGISTRO NO PAGAR'!G95)</f>
        <v/>
      </c>
      <c r="H95" s="74">
        <f>IF('REGISTRO NO PAGAR'!B95="","",'REGISTRO NO PAGAR'!I95)</f>
        <v/>
      </c>
      <c r="I95" s="74">
        <f>IF('REGISTRO NO PAGAR'!B95="","",'REGISTRO NO PAGAR'!J95)</f>
        <v/>
      </c>
      <c r="J95" s="74">
        <f>IF('REGISTRO NO PAGAR'!B95="","",'REGISTRO NO PAGAR'!K95)</f>
        <v/>
      </c>
      <c r="K95" s="74">
        <f>IF('REGISTRO NO PAGAR'!B95="","",'REGISTRO NO PAGAR'!M95)</f>
        <v/>
      </c>
      <c r="L95" s="75">
        <f>IF('REGISTRO NO PAGAR'!B95="","",'REGISTRO NO PAGAR'!N95)</f>
        <v/>
      </c>
      <c r="M95" s="74">
        <f>IF('REGISTRO NO PAGAR'!B95="","",'REGISTRO NO PAGAR'!T95)</f>
        <v/>
      </c>
    </row>
    <row r="96">
      <c r="A96" s="74">
        <f>IF('REGISTRO NO PAGAR'!B96="","",'REGISTRO NO PAGAR'!A96)</f>
        <v/>
      </c>
      <c r="B96" s="74">
        <f>IF('REGISTRO NO PAGAR'!B96="","",'REGISTRO NO PAGAR'!B96)</f>
        <v/>
      </c>
      <c r="C96" s="74">
        <f>IF('REGISTRO NO PAGAR'!B96="","",'REGISTRO NO PAGAR'!C96)</f>
        <v/>
      </c>
      <c r="D96" s="74">
        <f>IF('REGISTRO NO PAGAR'!B96="","",'REGISTRO NO PAGAR'!D96)</f>
        <v/>
      </c>
      <c r="E96" s="74">
        <f>IF('REGISTRO NO PAGAR'!B96="","",'REGISTRO NO PAGAR'!E96)</f>
        <v/>
      </c>
      <c r="F96" s="74">
        <f>IF('REGISTRO NO PAGAR'!B96="","",'REGISTRO NO PAGAR'!F96)</f>
        <v/>
      </c>
      <c r="G96" s="74">
        <f>IF('REGISTRO NO PAGAR'!B96="","",'REGISTRO NO PAGAR'!G96)</f>
        <v/>
      </c>
      <c r="H96" s="74">
        <f>IF('REGISTRO NO PAGAR'!B96="","",'REGISTRO NO PAGAR'!I96)</f>
        <v/>
      </c>
      <c r="I96" s="74">
        <f>IF('REGISTRO NO PAGAR'!B96="","",'REGISTRO NO PAGAR'!J96)</f>
        <v/>
      </c>
      <c r="J96" s="74">
        <f>IF('REGISTRO NO PAGAR'!B96="","",'REGISTRO NO PAGAR'!K96)</f>
        <v/>
      </c>
      <c r="K96" s="74">
        <f>IF('REGISTRO NO PAGAR'!B96="","",'REGISTRO NO PAGAR'!M96)</f>
        <v/>
      </c>
      <c r="L96" s="75">
        <f>IF('REGISTRO NO PAGAR'!B96="","",'REGISTRO NO PAGAR'!N96)</f>
        <v/>
      </c>
      <c r="M96" s="74">
        <f>IF('REGISTRO NO PAGAR'!B96="","",'REGISTRO NO PAGAR'!T96)</f>
        <v/>
      </c>
    </row>
    <row r="97">
      <c r="A97" s="74">
        <f>IF('REGISTRO NO PAGAR'!B97="","",'REGISTRO NO PAGAR'!A97)</f>
        <v/>
      </c>
      <c r="B97" s="74">
        <f>IF('REGISTRO NO PAGAR'!B97="","",'REGISTRO NO PAGAR'!B97)</f>
        <v/>
      </c>
      <c r="C97" s="74">
        <f>IF('REGISTRO NO PAGAR'!B97="","",'REGISTRO NO PAGAR'!C97)</f>
        <v/>
      </c>
      <c r="D97" s="74">
        <f>IF('REGISTRO NO PAGAR'!B97="","",'REGISTRO NO PAGAR'!D97)</f>
        <v/>
      </c>
      <c r="E97" s="74">
        <f>IF('REGISTRO NO PAGAR'!B97="","",'REGISTRO NO PAGAR'!E97)</f>
        <v/>
      </c>
      <c r="F97" s="74">
        <f>IF('REGISTRO NO PAGAR'!B97="","",'REGISTRO NO PAGAR'!F97)</f>
        <v/>
      </c>
      <c r="G97" s="74">
        <f>IF('REGISTRO NO PAGAR'!B97="","",'REGISTRO NO PAGAR'!G97)</f>
        <v/>
      </c>
      <c r="H97" s="74">
        <f>IF('REGISTRO NO PAGAR'!B97="","",'REGISTRO NO PAGAR'!I97)</f>
        <v/>
      </c>
      <c r="I97" s="74">
        <f>IF('REGISTRO NO PAGAR'!B97="","",'REGISTRO NO PAGAR'!J97)</f>
        <v/>
      </c>
      <c r="J97" s="74">
        <f>IF('REGISTRO NO PAGAR'!B97="","",'REGISTRO NO PAGAR'!K97)</f>
        <v/>
      </c>
      <c r="K97" s="74">
        <f>IF('REGISTRO NO PAGAR'!B97="","",'REGISTRO NO PAGAR'!M97)</f>
        <v/>
      </c>
      <c r="L97" s="75">
        <f>IF('REGISTRO NO PAGAR'!B97="","",'REGISTRO NO PAGAR'!N97)</f>
        <v/>
      </c>
      <c r="M97" s="74">
        <f>IF('REGISTRO NO PAGAR'!B97="","",'REGISTRO NO PAGAR'!T97)</f>
        <v/>
      </c>
    </row>
    <row r="98">
      <c r="A98" s="74">
        <f>IF('REGISTRO NO PAGAR'!B98="","",'REGISTRO NO PAGAR'!A98)</f>
        <v/>
      </c>
      <c r="B98" s="74">
        <f>IF('REGISTRO NO PAGAR'!B98="","",'REGISTRO NO PAGAR'!B98)</f>
        <v/>
      </c>
      <c r="C98" s="74">
        <f>IF('REGISTRO NO PAGAR'!B98="","",'REGISTRO NO PAGAR'!C98)</f>
        <v/>
      </c>
      <c r="D98" s="74">
        <f>IF('REGISTRO NO PAGAR'!B98="","",'REGISTRO NO PAGAR'!D98)</f>
        <v/>
      </c>
      <c r="E98" s="74">
        <f>IF('REGISTRO NO PAGAR'!B98="","",'REGISTRO NO PAGAR'!E98)</f>
        <v/>
      </c>
      <c r="F98" s="74">
        <f>IF('REGISTRO NO PAGAR'!B98="","",'REGISTRO NO PAGAR'!F98)</f>
        <v/>
      </c>
      <c r="G98" s="74">
        <f>IF('REGISTRO NO PAGAR'!B98="","",'REGISTRO NO PAGAR'!G98)</f>
        <v/>
      </c>
      <c r="H98" s="74">
        <f>IF('REGISTRO NO PAGAR'!B98="","",'REGISTRO NO PAGAR'!I98)</f>
        <v/>
      </c>
      <c r="I98" s="74">
        <f>IF('REGISTRO NO PAGAR'!B98="","",'REGISTRO NO PAGAR'!J98)</f>
        <v/>
      </c>
      <c r="J98" s="74">
        <f>IF('REGISTRO NO PAGAR'!B98="","",'REGISTRO NO PAGAR'!K98)</f>
        <v/>
      </c>
      <c r="K98" s="74">
        <f>IF('REGISTRO NO PAGAR'!B98="","",'REGISTRO NO PAGAR'!M98)</f>
        <v/>
      </c>
      <c r="L98" s="75">
        <f>IF('REGISTRO NO PAGAR'!B98="","",'REGISTRO NO PAGAR'!N98)</f>
        <v/>
      </c>
      <c r="M98" s="74">
        <f>IF('REGISTRO NO PAGAR'!B98="","",'REGISTRO NO PAGAR'!T98)</f>
        <v/>
      </c>
    </row>
    <row r="99">
      <c r="A99" s="74">
        <f>IF('REGISTRO NO PAGAR'!B99="","",'REGISTRO NO PAGAR'!A99)</f>
        <v/>
      </c>
      <c r="B99" s="74">
        <f>IF('REGISTRO NO PAGAR'!B99="","",'REGISTRO NO PAGAR'!B99)</f>
        <v/>
      </c>
      <c r="C99" s="74">
        <f>IF('REGISTRO NO PAGAR'!B99="","",'REGISTRO NO PAGAR'!C99)</f>
        <v/>
      </c>
      <c r="D99" s="74">
        <f>IF('REGISTRO NO PAGAR'!B99="","",'REGISTRO NO PAGAR'!D99)</f>
        <v/>
      </c>
      <c r="E99" s="74">
        <f>IF('REGISTRO NO PAGAR'!B99="","",'REGISTRO NO PAGAR'!E99)</f>
        <v/>
      </c>
      <c r="F99" s="74">
        <f>IF('REGISTRO NO PAGAR'!B99="","",'REGISTRO NO PAGAR'!F99)</f>
        <v/>
      </c>
      <c r="G99" s="74">
        <f>IF('REGISTRO NO PAGAR'!B99="","",'REGISTRO NO PAGAR'!G99)</f>
        <v/>
      </c>
      <c r="H99" s="74">
        <f>IF('REGISTRO NO PAGAR'!B99="","",'REGISTRO NO PAGAR'!I99)</f>
        <v/>
      </c>
      <c r="I99" s="74">
        <f>IF('REGISTRO NO PAGAR'!B99="","",'REGISTRO NO PAGAR'!J99)</f>
        <v/>
      </c>
      <c r="J99" s="74">
        <f>IF('REGISTRO NO PAGAR'!B99="","",'REGISTRO NO PAGAR'!K99)</f>
        <v/>
      </c>
      <c r="K99" s="74">
        <f>IF('REGISTRO NO PAGAR'!B99="","",'REGISTRO NO PAGAR'!M99)</f>
        <v/>
      </c>
      <c r="L99" s="75">
        <f>IF('REGISTRO NO PAGAR'!B99="","",'REGISTRO NO PAGAR'!N99)</f>
        <v/>
      </c>
      <c r="M99" s="74">
        <f>IF('REGISTRO NO PAGAR'!B99="","",'REGISTRO NO PAGAR'!T99)</f>
        <v/>
      </c>
    </row>
    <row r="100">
      <c r="A100" s="74">
        <f>IF('REGISTRO NO PAGAR'!B100="","",'REGISTRO NO PAGAR'!A100)</f>
        <v/>
      </c>
      <c r="B100" s="74">
        <f>IF('REGISTRO NO PAGAR'!B100="","",'REGISTRO NO PAGAR'!B100)</f>
        <v/>
      </c>
      <c r="C100" s="74">
        <f>IF('REGISTRO NO PAGAR'!B100="","",'REGISTRO NO PAGAR'!C100)</f>
        <v/>
      </c>
      <c r="D100" s="74">
        <f>IF('REGISTRO NO PAGAR'!B100="","",'REGISTRO NO PAGAR'!D100)</f>
        <v/>
      </c>
      <c r="E100" s="74">
        <f>IF('REGISTRO NO PAGAR'!B100="","",'REGISTRO NO PAGAR'!E100)</f>
        <v/>
      </c>
      <c r="F100" s="74">
        <f>IF('REGISTRO NO PAGAR'!B100="","",'REGISTRO NO PAGAR'!F100)</f>
        <v/>
      </c>
      <c r="G100" s="74">
        <f>IF('REGISTRO NO PAGAR'!B100="","",'REGISTRO NO PAGAR'!G100)</f>
        <v/>
      </c>
      <c r="H100" s="74">
        <f>IF('REGISTRO NO PAGAR'!B100="","",'REGISTRO NO PAGAR'!I100)</f>
        <v/>
      </c>
      <c r="I100" s="74">
        <f>IF('REGISTRO NO PAGAR'!B100="","",'REGISTRO NO PAGAR'!J100)</f>
        <v/>
      </c>
      <c r="J100" s="74">
        <f>IF('REGISTRO NO PAGAR'!B100="","",'REGISTRO NO PAGAR'!K100)</f>
        <v/>
      </c>
      <c r="K100" s="74">
        <f>IF('REGISTRO NO PAGAR'!B100="","",'REGISTRO NO PAGAR'!M100)</f>
        <v/>
      </c>
      <c r="L100" s="75">
        <f>IF('REGISTRO NO PAGAR'!B100="","",'REGISTRO NO PAGAR'!N100)</f>
        <v/>
      </c>
      <c r="M100" s="74">
        <f>IF('REGISTRO NO PAGAR'!B100="","",'REGISTRO NO PAGAR'!T100)</f>
        <v/>
      </c>
    </row>
    <row r="101">
      <c r="A101" s="74">
        <f>IF('REGISTRO NO PAGAR'!B101="","",'REGISTRO NO PAGAR'!A101)</f>
        <v/>
      </c>
      <c r="B101" s="74">
        <f>IF('REGISTRO NO PAGAR'!B101="","",'REGISTRO NO PAGAR'!B101)</f>
        <v/>
      </c>
      <c r="C101" s="74">
        <f>IF('REGISTRO NO PAGAR'!B101="","",'REGISTRO NO PAGAR'!C101)</f>
        <v/>
      </c>
      <c r="D101" s="74">
        <f>IF('REGISTRO NO PAGAR'!B101="","",'REGISTRO NO PAGAR'!D101)</f>
        <v/>
      </c>
      <c r="E101" s="74">
        <f>IF('REGISTRO NO PAGAR'!B101="","",'REGISTRO NO PAGAR'!E101)</f>
        <v/>
      </c>
      <c r="F101" s="74">
        <f>IF('REGISTRO NO PAGAR'!B101="","",'REGISTRO NO PAGAR'!F101)</f>
        <v/>
      </c>
      <c r="G101" s="74">
        <f>IF('REGISTRO NO PAGAR'!B101="","",'REGISTRO NO PAGAR'!G101)</f>
        <v/>
      </c>
      <c r="H101" s="74">
        <f>IF('REGISTRO NO PAGAR'!B101="","",'REGISTRO NO PAGAR'!I101)</f>
        <v/>
      </c>
      <c r="I101" s="74">
        <f>IF('REGISTRO NO PAGAR'!B101="","",'REGISTRO NO PAGAR'!J101)</f>
        <v/>
      </c>
      <c r="J101" s="74">
        <f>IF('REGISTRO NO PAGAR'!B101="","",'REGISTRO NO PAGAR'!K101)</f>
        <v/>
      </c>
      <c r="K101" s="74">
        <f>IF('REGISTRO NO PAGAR'!B101="","",'REGISTRO NO PAGAR'!M101)</f>
        <v/>
      </c>
      <c r="L101" s="75">
        <f>IF('REGISTRO NO PAGAR'!B101="","",'REGISTRO NO PAGAR'!N101)</f>
        <v/>
      </c>
      <c r="M101" s="74">
        <f>IF('REGISTRO NO PAGAR'!B101="","",'REGISTRO NO PAGAR'!T101)</f>
        <v/>
      </c>
    </row>
    <row r="102">
      <c r="A102" s="74">
        <f>IF('REGISTRO NO PAGAR'!B102="","",'REGISTRO NO PAGAR'!A102)</f>
        <v/>
      </c>
      <c r="B102" s="74">
        <f>IF('REGISTRO NO PAGAR'!B102="","",'REGISTRO NO PAGAR'!B102)</f>
        <v/>
      </c>
      <c r="C102" s="74">
        <f>IF('REGISTRO NO PAGAR'!B102="","",'REGISTRO NO PAGAR'!C102)</f>
        <v/>
      </c>
      <c r="D102" s="74">
        <f>IF('REGISTRO NO PAGAR'!B102="","",'REGISTRO NO PAGAR'!D102)</f>
        <v/>
      </c>
      <c r="E102" s="74">
        <f>IF('REGISTRO NO PAGAR'!B102="","",'REGISTRO NO PAGAR'!E102)</f>
        <v/>
      </c>
      <c r="F102" s="74">
        <f>IF('REGISTRO NO PAGAR'!B102="","",'REGISTRO NO PAGAR'!F102)</f>
        <v/>
      </c>
      <c r="G102" s="74">
        <f>IF('REGISTRO NO PAGAR'!B102="","",'REGISTRO NO PAGAR'!G102)</f>
        <v/>
      </c>
      <c r="H102" s="74">
        <f>IF('REGISTRO NO PAGAR'!B102="","",'REGISTRO NO PAGAR'!I102)</f>
        <v/>
      </c>
      <c r="I102" s="74">
        <f>IF('REGISTRO NO PAGAR'!B102="","",'REGISTRO NO PAGAR'!J102)</f>
        <v/>
      </c>
      <c r="J102" s="74">
        <f>IF('REGISTRO NO PAGAR'!B102="","",'REGISTRO NO PAGAR'!K102)</f>
        <v/>
      </c>
      <c r="K102" s="74">
        <f>IF('REGISTRO NO PAGAR'!B102="","",'REGISTRO NO PAGAR'!M102)</f>
        <v/>
      </c>
      <c r="L102" s="75">
        <f>IF('REGISTRO NO PAGAR'!B102="","",'REGISTRO NO PAGAR'!N102)</f>
        <v/>
      </c>
      <c r="M102" s="74">
        <f>IF('REGISTRO NO PAGAR'!B102="","",'REGISTRO NO PAGAR'!T102)</f>
        <v/>
      </c>
    </row>
    <row r="103">
      <c r="A103" s="74">
        <f>IF('REGISTRO NO PAGAR'!B103="","",'REGISTRO NO PAGAR'!A103)</f>
        <v/>
      </c>
      <c r="B103" s="74">
        <f>IF('REGISTRO NO PAGAR'!B103="","",'REGISTRO NO PAGAR'!B103)</f>
        <v/>
      </c>
      <c r="C103" s="74">
        <f>IF('REGISTRO NO PAGAR'!B103="","",'REGISTRO NO PAGAR'!C103)</f>
        <v/>
      </c>
      <c r="D103" s="74">
        <f>IF('REGISTRO NO PAGAR'!B103="","",'REGISTRO NO PAGAR'!D103)</f>
        <v/>
      </c>
      <c r="E103" s="74">
        <f>IF('REGISTRO NO PAGAR'!B103="","",'REGISTRO NO PAGAR'!E103)</f>
        <v/>
      </c>
      <c r="F103" s="74">
        <f>IF('REGISTRO NO PAGAR'!B103="","",'REGISTRO NO PAGAR'!F103)</f>
        <v/>
      </c>
      <c r="G103" s="74">
        <f>IF('REGISTRO NO PAGAR'!B103="","",'REGISTRO NO PAGAR'!G103)</f>
        <v/>
      </c>
      <c r="H103" s="74">
        <f>IF('REGISTRO NO PAGAR'!B103="","",'REGISTRO NO PAGAR'!I103)</f>
        <v/>
      </c>
      <c r="I103" s="74">
        <f>IF('REGISTRO NO PAGAR'!B103="","",'REGISTRO NO PAGAR'!J103)</f>
        <v/>
      </c>
      <c r="J103" s="74">
        <f>IF('REGISTRO NO PAGAR'!B103="","",'REGISTRO NO PAGAR'!K103)</f>
        <v/>
      </c>
      <c r="K103" s="74">
        <f>IF('REGISTRO NO PAGAR'!B103="","",'REGISTRO NO PAGAR'!M103)</f>
        <v/>
      </c>
      <c r="L103" s="75">
        <f>IF('REGISTRO NO PAGAR'!B103="","",'REGISTRO NO PAGAR'!N103)</f>
        <v/>
      </c>
      <c r="M103" s="74">
        <f>IF('REGISTRO NO PAGAR'!B103="","",'REGISTRO NO PAGAR'!T103)</f>
        <v/>
      </c>
    </row>
    <row r="104">
      <c r="A104" s="74">
        <f>IF('REGISTRO NO PAGAR'!B104="","",'REGISTRO NO PAGAR'!A104)</f>
        <v/>
      </c>
      <c r="B104" s="74">
        <f>IF('REGISTRO NO PAGAR'!B104="","",'REGISTRO NO PAGAR'!B104)</f>
        <v/>
      </c>
      <c r="C104" s="74">
        <f>IF('REGISTRO NO PAGAR'!B104="","",'REGISTRO NO PAGAR'!C104)</f>
        <v/>
      </c>
      <c r="D104" s="74">
        <f>IF('REGISTRO NO PAGAR'!B104="","",'REGISTRO NO PAGAR'!D104)</f>
        <v/>
      </c>
      <c r="E104" s="74">
        <f>IF('REGISTRO NO PAGAR'!B104="","",'REGISTRO NO PAGAR'!E104)</f>
        <v/>
      </c>
      <c r="F104" s="74">
        <f>IF('REGISTRO NO PAGAR'!B104="","",'REGISTRO NO PAGAR'!F104)</f>
        <v/>
      </c>
      <c r="G104" s="74">
        <f>IF('REGISTRO NO PAGAR'!B104="","",'REGISTRO NO PAGAR'!G104)</f>
        <v/>
      </c>
      <c r="H104" s="74">
        <f>IF('REGISTRO NO PAGAR'!B104="","",'REGISTRO NO PAGAR'!I104)</f>
        <v/>
      </c>
      <c r="I104" s="74">
        <f>IF('REGISTRO NO PAGAR'!B104="","",'REGISTRO NO PAGAR'!J104)</f>
        <v/>
      </c>
      <c r="J104" s="74">
        <f>IF('REGISTRO NO PAGAR'!B104="","",'REGISTRO NO PAGAR'!K104)</f>
        <v/>
      </c>
      <c r="K104" s="74">
        <f>IF('REGISTRO NO PAGAR'!B104="","",'REGISTRO NO PAGAR'!M104)</f>
        <v/>
      </c>
      <c r="L104" s="75">
        <f>IF('REGISTRO NO PAGAR'!B104="","",'REGISTRO NO PAGAR'!N104)</f>
        <v/>
      </c>
      <c r="M104" s="74">
        <f>IF('REGISTRO NO PAGAR'!B104="","",'REGISTRO NO PAGAR'!T104)</f>
        <v/>
      </c>
    </row>
    <row r="105">
      <c r="A105" s="74">
        <f>IF('REGISTRO NO PAGAR'!B105="","",'REGISTRO NO PAGAR'!A105)</f>
        <v/>
      </c>
      <c r="B105" s="74">
        <f>IF('REGISTRO NO PAGAR'!B105="","",'REGISTRO NO PAGAR'!B105)</f>
        <v/>
      </c>
      <c r="C105" s="74">
        <f>IF('REGISTRO NO PAGAR'!B105="","",'REGISTRO NO PAGAR'!C105)</f>
        <v/>
      </c>
      <c r="D105" s="74">
        <f>IF('REGISTRO NO PAGAR'!B105="","",'REGISTRO NO PAGAR'!D105)</f>
        <v/>
      </c>
      <c r="E105" s="74">
        <f>IF('REGISTRO NO PAGAR'!B105="","",'REGISTRO NO PAGAR'!E105)</f>
        <v/>
      </c>
      <c r="F105" s="74">
        <f>IF('REGISTRO NO PAGAR'!B105="","",'REGISTRO NO PAGAR'!F105)</f>
        <v/>
      </c>
      <c r="G105" s="74">
        <f>IF('REGISTRO NO PAGAR'!B105="","",'REGISTRO NO PAGAR'!G105)</f>
        <v/>
      </c>
      <c r="H105" s="74">
        <f>IF('REGISTRO NO PAGAR'!B105="","",'REGISTRO NO PAGAR'!I105)</f>
        <v/>
      </c>
      <c r="I105" s="74">
        <f>IF('REGISTRO NO PAGAR'!B105="","",'REGISTRO NO PAGAR'!J105)</f>
        <v/>
      </c>
      <c r="J105" s="74">
        <f>IF('REGISTRO NO PAGAR'!B105="","",'REGISTRO NO PAGAR'!K105)</f>
        <v/>
      </c>
      <c r="K105" s="74">
        <f>IF('REGISTRO NO PAGAR'!B105="","",'REGISTRO NO PAGAR'!M105)</f>
        <v/>
      </c>
      <c r="L105" s="75">
        <f>IF('REGISTRO NO PAGAR'!B105="","",'REGISTRO NO PAGAR'!N105)</f>
        <v/>
      </c>
      <c r="M105" s="74">
        <f>IF('REGISTRO NO PAGAR'!B105="","",'REGISTRO NO PAGAR'!T105)</f>
        <v/>
      </c>
    </row>
    <row r="106">
      <c r="A106" s="74">
        <f>IF('REGISTRO NO PAGAR'!B106="","",'REGISTRO NO PAGAR'!A106)</f>
        <v/>
      </c>
      <c r="B106" s="74">
        <f>IF('REGISTRO NO PAGAR'!B106="","",'REGISTRO NO PAGAR'!B106)</f>
        <v/>
      </c>
      <c r="C106" s="74">
        <f>IF('REGISTRO NO PAGAR'!B106="","",'REGISTRO NO PAGAR'!C106)</f>
        <v/>
      </c>
      <c r="D106" s="74">
        <f>IF('REGISTRO NO PAGAR'!B106="","",'REGISTRO NO PAGAR'!D106)</f>
        <v/>
      </c>
      <c r="E106" s="74">
        <f>IF('REGISTRO NO PAGAR'!B106="","",'REGISTRO NO PAGAR'!E106)</f>
        <v/>
      </c>
      <c r="F106" s="74">
        <f>IF('REGISTRO NO PAGAR'!B106="","",'REGISTRO NO PAGAR'!F106)</f>
        <v/>
      </c>
      <c r="G106" s="74">
        <f>IF('REGISTRO NO PAGAR'!B106="","",'REGISTRO NO PAGAR'!G106)</f>
        <v/>
      </c>
      <c r="H106" s="74">
        <f>IF('REGISTRO NO PAGAR'!B106="","",'REGISTRO NO PAGAR'!I106)</f>
        <v/>
      </c>
      <c r="I106" s="74">
        <f>IF('REGISTRO NO PAGAR'!B106="","",'REGISTRO NO PAGAR'!J106)</f>
        <v/>
      </c>
      <c r="J106" s="74">
        <f>IF('REGISTRO NO PAGAR'!B106="","",'REGISTRO NO PAGAR'!K106)</f>
        <v/>
      </c>
      <c r="K106" s="74">
        <f>IF('REGISTRO NO PAGAR'!B106="","",'REGISTRO NO PAGAR'!M106)</f>
        <v/>
      </c>
      <c r="L106" s="75">
        <f>IF('REGISTRO NO PAGAR'!B106="","",'REGISTRO NO PAGAR'!N106)</f>
        <v/>
      </c>
      <c r="M106" s="74">
        <f>IF('REGISTRO NO PAGAR'!B106="","",'REGISTRO NO PAGAR'!T106)</f>
        <v/>
      </c>
    </row>
    <row r="107">
      <c r="A107" s="74">
        <f>IF('REGISTRO NO PAGAR'!B107="","",'REGISTRO NO PAGAR'!A107)</f>
        <v/>
      </c>
      <c r="B107" s="74">
        <f>IF('REGISTRO NO PAGAR'!B107="","",'REGISTRO NO PAGAR'!B107)</f>
        <v/>
      </c>
      <c r="C107" s="74">
        <f>IF('REGISTRO NO PAGAR'!B107="","",'REGISTRO NO PAGAR'!C107)</f>
        <v/>
      </c>
      <c r="D107" s="74">
        <f>IF('REGISTRO NO PAGAR'!B107="","",'REGISTRO NO PAGAR'!D107)</f>
        <v/>
      </c>
      <c r="E107" s="74">
        <f>IF('REGISTRO NO PAGAR'!B107="","",'REGISTRO NO PAGAR'!E107)</f>
        <v/>
      </c>
      <c r="F107" s="74">
        <f>IF('REGISTRO NO PAGAR'!B107="","",'REGISTRO NO PAGAR'!F107)</f>
        <v/>
      </c>
      <c r="G107" s="74">
        <f>IF('REGISTRO NO PAGAR'!B107="","",'REGISTRO NO PAGAR'!G107)</f>
        <v/>
      </c>
      <c r="H107" s="74">
        <f>IF('REGISTRO NO PAGAR'!B107="","",'REGISTRO NO PAGAR'!I107)</f>
        <v/>
      </c>
      <c r="I107" s="74">
        <f>IF('REGISTRO NO PAGAR'!B107="","",'REGISTRO NO PAGAR'!J107)</f>
        <v/>
      </c>
      <c r="J107" s="74">
        <f>IF('REGISTRO NO PAGAR'!B107="","",'REGISTRO NO PAGAR'!K107)</f>
        <v/>
      </c>
      <c r="K107" s="74">
        <f>IF('REGISTRO NO PAGAR'!B107="","",'REGISTRO NO PAGAR'!M107)</f>
        <v/>
      </c>
      <c r="L107" s="75">
        <f>IF('REGISTRO NO PAGAR'!B107="","",'REGISTRO NO PAGAR'!N107)</f>
        <v/>
      </c>
      <c r="M107" s="74">
        <f>IF('REGISTRO NO PAGAR'!B107="","",'REGISTRO NO PAGAR'!T107)</f>
        <v/>
      </c>
    </row>
    <row r="108">
      <c r="A108" s="74">
        <f>IF('REGISTRO NO PAGAR'!B108="","",'REGISTRO NO PAGAR'!A108)</f>
        <v/>
      </c>
      <c r="B108" s="74">
        <f>IF('REGISTRO NO PAGAR'!B108="","",'REGISTRO NO PAGAR'!B108)</f>
        <v/>
      </c>
      <c r="C108" s="74">
        <f>IF('REGISTRO NO PAGAR'!B108="","",'REGISTRO NO PAGAR'!C108)</f>
        <v/>
      </c>
      <c r="D108" s="74">
        <f>IF('REGISTRO NO PAGAR'!B108="","",'REGISTRO NO PAGAR'!D108)</f>
        <v/>
      </c>
      <c r="E108" s="74">
        <f>IF('REGISTRO NO PAGAR'!B108="","",'REGISTRO NO PAGAR'!E108)</f>
        <v/>
      </c>
      <c r="F108" s="74">
        <f>IF('REGISTRO NO PAGAR'!B108="","",'REGISTRO NO PAGAR'!F108)</f>
        <v/>
      </c>
      <c r="G108" s="74">
        <f>IF('REGISTRO NO PAGAR'!B108="","",'REGISTRO NO PAGAR'!G108)</f>
        <v/>
      </c>
      <c r="H108" s="74">
        <f>IF('REGISTRO NO PAGAR'!B108="","",'REGISTRO NO PAGAR'!I108)</f>
        <v/>
      </c>
      <c r="I108" s="74">
        <f>IF('REGISTRO NO PAGAR'!B108="","",'REGISTRO NO PAGAR'!J108)</f>
        <v/>
      </c>
      <c r="J108" s="74">
        <f>IF('REGISTRO NO PAGAR'!B108="","",'REGISTRO NO PAGAR'!K108)</f>
        <v/>
      </c>
      <c r="K108" s="74">
        <f>IF('REGISTRO NO PAGAR'!B108="","",'REGISTRO NO PAGAR'!M108)</f>
        <v/>
      </c>
      <c r="L108" s="75">
        <f>IF('REGISTRO NO PAGAR'!B108="","",'REGISTRO NO PAGAR'!N108)</f>
        <v/>
      </c>
      <c r="M108" s="74">
        <f>IF('REGISTRO NO PAGAR'!B108="","",'REGISTRO NO PAGAR'!T108)</f>
        <v/>
      </c>
    </row>
    <row r="109">
      <c r="A109" s="74">
        <f>IF('REGISTRO NO PAGAR'!B109="","",'REGISTRO NO PAGAR'!A109)</f>
        <v/>
      </c>
      <c r="B109" s="74">
        <f>IF('REGISTRO NO PAGAR'!B109="","",'REGISTRO NO PAGAR'!B109)</f>
        <v/>
      </c>
      <c r="C109" s="74">
        <f>IF('REGISTRO NO PAGAR'!B109="","",'REGISTRO NO PAGAR'!C109)</f>
        <v/>
      </c>
      <c r="D109" s="74">
        <f>IF('REGISTRO NO PAGAR'!B109="","",'REGISTRO NO PAGAR'!D109)</f>
        <v/>
      </c>
      <c r="E109" s="74">
        <f>IF('REGISTRO NO PAGAR'!B109="","",'REGISTRO NO PAGAR'!E109)</f>
        <v/>
      </c>
      <c r="F109" s="74">
        <f>IF('REGISTRO NO PAGAR'!B109="","",'REGISTRO NO PAGAR'!F109)</f>
        <v/>
      </c>
      <c r="G109" s="74">
        <f>IF('REGISTRO NO PAGAR'!B109="","",'REGISTRO NO PAGAR'!G109)</f>
        <v/>
      </c>
      <c r="H109" s="74">
        <f>IF('REGISTRO NO PAGAR'!B109="","",'REGISTRO NO PAGAR'!I109)</f>
        <v/>
      </c>
      <c r="I109" s="74">
        <f>IF('REGISTRO NO PAGAR'!B109="","",'REGISTRO NO PAGAR'!J109)</f>
        <v/>
      </c>
      <c r="J109" s="74">
        <f>IF('REGISTRO NO PAGAR'!B109="","",'REGISTRO NO PAGAR'!K109)</f>
        <v/>
      </c>
      <c r="K109" s="74">
        <f>IF('REGISTRO NO PAGAR'!B109="","",'REGISTRO NO PAGAR'!M109)</f>
        <v/>
      </c>
      <c r="L109" s="75">
        <f>IF('REGISTRO NO PAGAR'!B109="","",'REGISTRO NO PAGAR'!N109)</f>
        <v/>
      </c>
      <c r="M109" s="74">
        <f>IF('REGISTRO NO PAGAR'!B109="","",'REGISTRO NO PAGAR'!T109)</f>
        <v/>
      </c>
    </row>
    <row r="110">
      <c r="A110" s="74">
        <f>IF('REGISTRO NO PAGAR'!B110="","",'REGISTRO NO PAGAR'!A110)</f>
        <v/>
      </c>
      <c r="B110" s="74">
        <f>IF('REGISTRO NO PAGAR'!B110="","",'REGISTRO NO PAGAR'!B110)</f>
        <v/>
      </c>
      <c r="C110" s="74">
        <f>IF('REGISTRO NO PAGAR'!B110="","",'REGISTRO NO PAGAR'!C110)</f>
        <v/>
      </c>
      <c r="D110" s="74">
        <f>IF('REGISTRO NO PAGAR'!B110="","",'REGISTRO NO PAGAR'!D110)</f>
        <v/>
      </c>
      <c r="E110" s="74">
        <f>IF('REGISTRO NO PAGAR'!B110="","",'REGISTRO NO PAGAR'!E110)</f>
        <v/>
      </c>
      <c r="F110" s="74">
        <f>IF('REGISTRO NO PAGAR'!B110="","",'REGISTRO NO PAGAR'!F110)</f>
        <v/>
      </c>
      <c r="G110" s="74">
        <f>IF('REGISTRO NO PAGAR'!B110="","",'REGISTRO NO PAGAR'!G110)</f>
        <v/>
      </c>
      <c r="H110" s="74">
        <f>IF('REGISTRO NO PAGAR'!B110="","",'REGISTRO NO PAGAR'!I110)</f>
        <v/>
      </c>
      <c r="I110" s="74">
        <f>IF('REGISTRO NO PAGAR'!B110="","",'REGISTRO NO PAGAR'!J110)</f>
        <v/>
      </c>
      <c r="J110" s="74">
        <f>IF('REGISTRO NO PAGAR'!B110="","",'REGISTRO NO PAGAR'!K110)</f>
        <v/>
      </c>
      <c r="K110" s="74">
        <f>IF('REGISTRO NO PAGAR'!B110="","",'REGISTRO NO PAGAR'!M110)</f>
        <v/>
      </c>
      <c r="L110" s="75">
        <f>IF('REGISTRO NO PAGAR'!B110="","",'REGISTRO NO PAGAR'!N110)</f>
        <v/>
      </c>
      <c r="M110" s="74">
        <f>IF('REGISTRO NO PAGAR'!B110="","",'REGISTRO NO PAGAR'!T110)</f>
        <v/>
      </c>
    </row>
    <row r="111">
      <c r="A111" s="74">
        <f>IF('REGISTRO NO PAGAR'!B111="","",'REGISTRO NO PAGAR'!A111)</f>
        <v/>
      </c>
      <c r="B111" s="74">
        <f>IF('REGISTRO NO PAGAR'!B111="","",'REGISTRO NO PAGAR'!B111)</f>
        <v/>
      </c>
      <c r="C111" s="74">
        <f>IF('REGISTRO NO PAGAR'!B111="","",'REGISTRO NO PAGAR'!C111)</f>
        <v/>
      </c>
      <c r="D111" s="74">
        <f>IF('REGISTRO NO PAGAR'!B111="","",'REGISTRO NO PAGAR'!D111)</f>
        <v/>
      </c>
      <c r="E111" s="74">
        <f>IF('REGISTRO NO PAGAR'!B111="","",'REGISTRO NO PAGAR'!E111)</f>
        <v/>
      </c>
      <c r="F111" s="74">
        <f>IF('REGISTRO NO PAGAR'!B111="","",'REGISTRO NO PAGAR'!F111)</f>
        <v/>
      </c>
      <c r="G111" s="74">
        <f>IF('REGISTRO NO PAGAR'!B111="","",'REGISTRO NO PAGAR'!G111)</f>
        <v/>
      </c>
      <c r="H111" s="74">
        <f>IF('REGISTRO NO PAGAR'!B111="","",'REGISTRO NO PAGAR'!I111)</f>
        <v/>
      </c>
      <c r="I111" s="74">
        <f>IF('REGISTRO NO PAGAR'!B111="","",'REGISTRO NO PAGAR'!J111)</f>
        <v/>
      </c>
      <c r="J111" s="74">
        <f>IF('REGISTRO NO PAGAR'!B111="","",'REGISTRO NO PAGAR'!K111)</f>
        <v/>
      </c>
      <c r="K111" s="74">
        <f>IF('REGISTRO NO PAGAR'!B111="","",'REGISTRO NO PAGAR'!M111)</f>
        <v/>
      </c>
      <c r="L111" s="75">
        <f>IF('REGISTRO NO PAGAR'!B111="","",'REGISTRO NO PAGAR'!N111)</f>
        <v/>
      </c>
      <c r="M111" s="74">
        <f>IF('REGISTRO NO PAGAR'!B111="","",'REGISTRO NO PAGAR'!T111)</f>
        <v/>
      </c>
    </row>
    <row r="112">
      <c r="A112" s="74">
        <f>IF('REGISTRO NO PAGAR'!B112="","",'REGISTRO NO PAGAR'!A112)</f>
        <v/>
      </c>
      <c r="B112" s="74">
        <f>IF('REGISTRO NO PAGAR'!B112="","",'REGISTRO NO PAGAR'!B112)</f>
        <v/>
      </c>
      <c r="C112" s="74">
        <f>IF('REGISTRO NO PAGAR'!B112="","",'REGISTRO NO PAGAR'!C112)</f>
        <v/>
      </c>
      <c r="D112" s="74">
        <f>IF('REGISTRO NO PAGAR'!B112="","",'REGISTRO NO PAGAR'!D112)</f>
        <v/>
      </c>
      <c r="E112" s="74">
        <f>IF('REGISTRO NO PAGAR'!B112="","",'REGISTRO NO PAGAR'!E112)</f>
        <v/>
      </c>
      <c r="F112" s="74">
        <f>IF('REGISTRO NO PAGAR'!B112="","",'REGISTRO NO PAGAR'!F112)</f>
        <v/>
      </c>
      <c r="G112" s="74">
        <f>IF('REGISTRO NO PAGAR'!B112="","",'REGISTRO NO PAGAR'!G112)</f>
        <v/>
      </c>
      <c r="H112" s="74">
        <f>IF('REGISTRO NO PAGAR'!B112="","",'REGISTRO NO PAGAR'!I112)</f>
        <v/>
      </c>
      <c r="I112" s="74">
        <f>IF('REGISTRO NO PAGAR'!B112="","",'REGISTRO NO PAGAR'!J112)</f>
        <v/>
      </c>
      <c r="J112" s="74">
        <f>IF('REGISTRO NO PAGAR'!B112="","",'REGISTRO NO PAGAR'!K112)</f>
        <v/>
      </c>
      <c r="K112" s="74">
        <f>IF('REGISTRO NO PAGAR'!B112="","",'REGISTRO NO PAGAR'!M112)</f>
        <v/>
      </c>
      <c r="L112" s="75">
        <f>IF('REGISTRO NO PAGAR'!B112="","",'REGISTRO NO PAGAR'!N112)</f>
        <v/>
      </c>
      <c r="M112" s="74">
        <f>IF('REGISTRO NO PAGAR'!B112="","",'REGISTRO NO PAGAR'!T112)</f>
        <v/>
      </c>
    </row>
    <row r="113">
      <c r="A113" s="74">
        <f>IF('REGISTRO NO PAGAR'!B113="","",'REGISTRO NO PAGAR'!A113)</f>
        <v/>
      </c>
      <c r="B113" s="74">
        <f>IF('REGISTRO NO PAGAR'!B113="","",'REGISTRO NO PAGAR'!B113)</f>
        <v/>
      </c>
      <c r="C113" s="74">
        <f>IF('REGISTRO NO PAGAR'!B113="","",'REGISTRO NO PAGAR'!C113)</f>
        <v/>
      </c>
      <c r="D113" s="74">
        <f>IF('REGISTRO NO PAGAR'!B113="","",'REGISTRO NO PAGAR'!D113)</f>
        <v/>
      </c>
      <c r="E113" s="74">
        <f>IF('REGISTRO NO PAGAR'!B113="","",'REGISTRO NO PAGAR'!E113)</f>
        <v/>
      </c>
      <c r="F113" s="74">
        <f>IF('REGISTRO NO PAGAR'!B113="","",'REGISTRO NO PAGAR'!F113)</f>
        <v/>
      </c>
      <c r="G113" s="74">
        <f>IF('REGISTRO NO PAGAR'!B113="","",'REGISTRO NO PAGAR'!G113)</f>
        <v/>
      </c>
      <c r="H113" s="74">
        <f>IF('REGISTRO NO PAGAR'!B113="","",'REGISTRO NO PAGAR'!I113)</f>
        <v/>
      </c>
      <c r="I113" s="74">
        <f>IF('REGISTRO NO PAGAR'!B113="","",'REGISTRO NO PAGAR'!J113)</f>
        <v/>
      </c>
      <c r="J113" s="74">
        <f>IF('REGISTRO NO PAGAR'!B113="","",'REGISTRO NO PAGAR'!K113)</f>
        <v/>
      </c>
      <c r="K113" s="74">
        <f>IF('REGISTRO NO PAGAR'!B113="","",'REGISTRO NO PAGAR'!M113)</f>
        <v/>
      </c>
      <c r="L113" s="75">
        <f>IF('REGISTRO NO PAGAR'!B113="","",'REGISTRO NO PAGAR'!N113)</f>
        <v/>
      </c>
      <c r="M113" s="74">
        <f>IF('REGISTRO NO PAGAR'!B113="","",'REGISTRO NO PAGAR'!T113)</f>
        <v/>
      </c>
    </row>
    <row r="114">
      <c r="A114" s="74">
        <f>IF('REGISTRO NO PAGAR'!B114="","",'REGISTRO NO PAGAR'!A114)</f>
        <v/>
      </c>
      <c r="B114" s="74">
        <f>IF('REGISTRO NO PAGAR'!B114="","",'REGISTRO NO PAGAR'!B114)</f>
        <v/>
      </c>
      <c r="C114" s="74">
        <f>IF('REGISTRO NO PAGAR'!B114="","",'REGISTRO NO PAGAR'!C114)</f>
        <v/>
      </c>
      <c r="D114" s="74">
        <f>IF('REGISTRO NO PAGAR'!B114="","",'REGISTRO NO PAGAR'!D114)</f>
        <v/>
      </c>
      <c r="E114" s="74">
        <f>IF('REGISTRO NO PAGAR'!B114="","",'REGISTRO NO PAGAR'!E114)</f>
        <v/>
      </c>
      <c r="F114" s="74">
        <f>IF('REGISTRO NO PAGAR'!B114="","",'REGISTRO NO PAGAR'!F114)</f>
        <v/>
      </c>
      <c r="G114" s="74">
        <f>IF('REGISTRO NO PAGAR'!B114="","",'REGISTRO NO PAGAR'!G114)</f>
        <v/>
      </c>
      <c r="H114" s="74">
        <f>IF('REGISTRO NO PAGAR'!B114="","",'REGISTRO NO PAGAR'!I114)</f>
        <v/>
      </c>
      <c r="I114" s="74">
        <f>IF('REGISTRO NO PAGAR'!B114="","",'REGISTRO NO PAGAR'!J114)</f>
        <v/>
      </c>
      <c r="J114" s="74">
        <f>IF('REGISTRO NO PAGAR'!B114="","",'REGISTRO NO PAGAR'!K114)</f>
        <v/>
      </c>
      <c r="K114" s="74">
        <f>IF('REGISTRO NO PAGAR'!B114="","",'REGISTRO NO PAGAR'!M114)</f>
        <v/>
      </c>
      <c r="L114" s="75">
        <f>IF('REGISTRO NO PAGAR'!B114="","",'REGISTRO NO PAGAR'!N114)</f>
        <v/>
      </c>
      <c r="M114" s="74">
        <f>IF('REGISTRO NO PAGAR'!B114="","",'REGISTRO NO PAGAR'!T114)</f>
        <v/>
      </c>
    </row>
    <row r="115">
      <c r="A115" s="74">
        <f>IF('REGISTRO NO PAGAR'!B115="","",'REGISTRO NO PAGAR'!A115)</f>
        <v/>
      </c>
      <c r="B115" s="74">
        <f>IF('REGISTRO NO PAGAR'!B115="","",'REGISTRO NO PAGAR'!B115)</f>
        <v/>
      </c>
      <c r="C115" s="74">
        <f>IF('REGISTRO NO PAGAR'!B115="","",'REGISTRO NO PAGAR'!C115)</f>
        <v/>
      </c>
      <c r="D115" s="74">
        <f>IF('REGISTRO NO PAGAR'!B115="","",'REGISTRO NO PAGAR'!D115)</f>
        <v/>
      </c>
      <c r="E115" s="74">
        <f>IF('REGISTRO NO PAGAR'!B115="","",'REGISTRO NO PAGAR'!E115)</f>
        <v/>
      </c>
      <c r="F115" s="74">
        <f>IF('REGISTRO NO PAGAR'!B115="","",'REGISTRO NO PAGAR'!F115)</f>
        <v/>
      </c>
      <c r="G115" s="74">
        <f>IF('REGISTRO NO PAGAR'!B115="","",'REGISTRO NO PAGAR'!G115)</f>
        <v/>
      </c>
      <c r="H115" s="74">
        <f>IF('REGISTRO NO PAGAR'!B115="","",'REGISTRO NO PAGAR'!I115)</f>
        <v/>
      </c>
      <c r="I115" s="74">
        <f>IF('REGISTRO NO PAGAR'!B115="","",'REGISTRO NO PAGAR'!J115)</f>
        <v/>
      </c>
      <c r="J115" s="74">
        <f>IF('REGISTRO NO PAGAR'!B115="","",'REGISTRO NO PAGAR'!K115)</f>
        <v/>
      </c>
      <c r="K115" s="74">
        <f>IF('REGISTRO NO PAGAR'!B115="","",'REGISTRO NO PAGAR'!M115)</f>
        <v/>
      </c>
      <c r="L115" s="75">
        <f>IF('REGISTRO NO PAGAR'!B115="","",'REGISTRO NO PAGAR'!N115)</f>
        <v/>
      </c>
      <c r="M115" s="74">
        <f>IF('REGISTRO NO PAGAR'!B115="","",'REGISTRO NO PAGAR'!T115)</f>
        <v/>
      </c>
    </row>
    <row r="116">
      <c r="A116" s="74">
        <f>IF('REGISTRO NO PAGAR'!B116="","",'REGISTRO NO PAGAR'!A116)</f>
        <v/>
      </c>
      <c r="B116" s="74">
        <f>IF('REGISTRO NO PAGAR'!B116="","",'REGISTRO NO PAGAR'!B116)</f>
        <v/>
      </c>
      <c r="C116" s="74">
        <f>IF('REGISTRO NO PAGAR'!B116="","",'REGISTRO NO PAGAR'!C116)</f>
        <v/>
      </c>
      <c r="D116" s="74">
        <f>IF('REGISTRO NO PAGAR'!B116="","",'REGISTRO NO PAGAR'!D116)</f>
        <v/>
      </c>
      <c r="E116" s="74">
        <f>IF('REGISTRO NO PAGAR'!B116="","",'REGISTRO NO PAGAR'!E116)</f>
        <v/>
      </c>
      <c r="F116" s="74">
        <f>IF('REGISTRO NO PAGAR'!B116="","",'REGISTRO NO PAGAR'!F116)</f>
        <v/>
      </c>
      <c r="G116" s="74">
        <f>IF('REGISTRO NO PAGAR'!B116="","",'REGISTRO NO PAGAR'!G116)</f>
        <v/>
      </c>
      <c r="H116" s="74">
        <f>IF('REGISTRO NO PAGAR'!B116="","",'REGISTRO NO PAGAR'!I116)</f>
        <v/>
      </c>
      <c r="I116" s="74">
        <f>IF('REGISTRO NO PAGAR'!B116="","",'REGISTRO NO PAGAR'!J116)</f>
        <v/>
      </c>
      <c r="J116" s="74">
        <f>IF('REGISTRO NO PAGAR'!B116="","",'REGISTRO NO PAGAR'!K116)</f>
        <v/>
      </c>
      <c r="K116" s="74">
        <f>IF('REGISTRO NO PAGAR'!B116="","",'REGISTRO NO PAGAR'!M116)</f>
        <v/>
      </c>
      <c r="L116" s="75">
        <f>IF('REGISTRO NO PAGAR'!B116="","",'REGISTRO NO PAGAR'!N116)</f>
        <v/>
      </c>
      <c r="M116" s="74">
        <f>IF('REGISTRO NO PAGAR'!B116="","",'REGISTRO NO PAGAR'!T116)</f>
        <v/>
      </c>
    </row>
    <row r="117">
      <c r="A117" s="74">
        <f>IF('REGISTRO NO PAGAR'!B117="","",'REGISTRO NO PAGAR'!A117)</f>
        <v/>
      </c>
      <c r="B117" s="74">
        <f>IF('REGISTRO NO PAGAR'!B117="","",'REGISTRO NO PAGAR'!B117)</f>
        <v/>
      </c>
      <c r="C117" s="74">
        <f>IF('REGISTRO NO PAGAR'!B117="","",'REGISTRO NO PAGAR'!C117)</f>
        <v/>
      </c>
      <c r="D117" s="74">
        <f>IF('REGISTRO NO PAGAR'!B117="","",'REGISTRO NO PAGAR'!D117)</f>
        <v/>
      </c>
      <c r="E117" s="74">
        <f>IF('REGISTRO NO PAGAR'!B117="","",'REGISTRO NO PAGAR'!E117)</f>
        <v/>
      </c>
      <c r="F117" s="74">
        <f>IF('REGISTRO NO PAGAR'!B117="","",'REGISTRO NO PAGAR'!F117)</f>
        <v/>
      </c>
      <c r="G117" s="74">
        <f>IF('REGISTRO NO PAGAR'!B117="","",'REGISTRO NO PAGAR'!G117)</f>
        <v/>
      </c>
      <c r="H117" s="74">
        <f>IF('REGISTRO NO PAGAR'!B117="","",'REGISTRO NO PAGAR'!I117)</f>
        <v/>
      </c>
      <c r="I117" s="74">
        <f>IF('REGISTRO NO PAGAR'!B117="","",'REGISTRO NO PAGAR'!J117)</f>
        <v/>
      </c>
      <c r="J117" s="74">
        <f>IF('REGISTRO NO PAGAR'!B117="","",'REGISTRO NO PAGAR'!K117)</f>
        <v/>
      </c>
      <c r="K117" s="74">
        <f>IF('REGISTRO NO PAGAR'!B117="","",'REGISTRO NO PAGAR'!M117)</f>
        <v/>
      </c>
      <c r="L117" s="75">
        <f>IF('REGISTRO NO PAGAR'!B117="","",'REGISTRO NO PAGAR'!N117)</f>
        <v/>
      </c>
      <c r="M117" s="74">
        <f>IF('REGISTRO NO PAGAR'!B117="","",'REGISTRO NO PAGAR'!T117)</f>
        <v/>
      </c>
    </row>
    <row r="118">
      <c r="A118" s="74">
        <f>IF('REGISTRO NO PAGAR'!B118="","",'REGISTRO NO PAGAR'!A118)</f>
        <v/>
      </c>
      <c r="B118" s="74">
        <f>IF('REGISTRO NO PAGAR'!B118="","",'REGISTRO NO PAGAR'!B118)</f>
        <v/>
      </c>
      <c r="C118" s="74">
        <f>IF('REGISTRO NO PAGAR'!B118="","",'REGISTRO NO PAGAR'!C118)</f>
        <v/>
      </c>
      <c r="D118" s="74">
        <f>IF('REGISTRO NO PAGAR'!B118="","",'REGISTRO NO PAGAR'!D118)</f>
        <v/>
      </c>
      <c r="E118" s="74">
        <f>IF('REGISTRO NO PAGAR'!B118="","",'REGISTRO NO PAGAR'!E118)</f>
        <v/>
      </c>
      <c r="F118" s="74">
        <f>IF('REGISTRO NO PAGAR'!B118="","",'REGISTRO NO PAGAR'!F118)</f>
        <v/>
      </c>
      <c r="G118" s="74">
        <f>IF('REGISTRO NO PAGAR'!B118="","",'REGISTRO NO PAGAR'!G118)</f>
        <v/>
      </c>
      <c r="H118" s="74">
        <f>IF('REGISTRO NO PAGAR'!B118="","",'REGISTRO NO PAGAR'!I118)</f>
        <v/>
      </c>
      <c r="I118" s="74">
        <f>IF('REGISTRO NO PAGAR'!B118="","",'REGISTRO NO PAGAR'!J118)</f>
        <v/>
      </c>
      <c r="J118" s="74">
        <f>IF('REGISTRO NO PAGAR'!B118="","",'REGISTRO NO PAGAR'!K118)</f>
        <v/>
      </c>
      <c r="K118" s="74">
        <f>IF('REGISTRO NO PAGAR'!B118="","",'REGISTRO NO PAGAR'!M118)</f>
        <v/>
      </c>
      <c r="L118" s="75">
        <f>IF('REGISTRO NO PAGAR'!B118="","",'REGISTRO NO PAGAR'!N118)</f>
        <v/>
      </c>
      <c r="M118" s="74">
        <f>IF('REGISTRO NO PAGAR'!B118="","",'REGISTRO NO PAGAR'!T118)</f>
        <v/>
      </c>
    </row>
    <row r="119">
      <c r="A119" s="74">
        <f>IF('REGISTRO NO PAGAR'!B119="","",'REGISTRO NO PAGAR'!A119)</f>
        <v/>
      </c>
      <c r="B119" s="74">
        <f>IF('REGISTRO NO PAGAR'!B119="","",'REGISTRO NO PAGAR'!B119)</f>
        <v/>
      </c>
      <c r="C119" s="74">
        <f>IF('REGISTRO NO PAGAR'!B119="","",'REGISTRO NO PAGAR'!C119)</f>
        <v/>
      </c>
      <c r="D119" s="74">
        <f>IF('REGISTRO NO PAGAR'!B119="","",'REGISTRO NO PAGAR'!D119)</f>
        <v/>
      </c>
      <c r="E119" s="74">
        <f>IF('REGISTRO NO PAGAR'!B119="","",'REGISTRO NO PAGAR'!E119)</f>
        <v/>
      </c>
      <c r="F119" s="74">
        <f>IF('REGISTRO NO PAGAR'!B119="","",'REGISTRO NO PAGAR'!F119)</f>
        <v/>
      </c>
      <c r="G119" s="74">
        <f>IF('REGISTRO NO PAGAR'!B119="","",'REGISTRO NO PAGAR'!G119)</f>
        <v/>
      </c>
      <c r="H119" s="74">
        <f>IF('REGISTRO NO PAGAR'!B119="","",'REGISTRO NO PAGAR'!I119)</f>
        <v/>
      </c>
      <c r="I119" s="74">
        <f>IF('REGISTRO NO PAGAR'!B119="","",'REGISTRO NO PAGAR'!J119)</f>
        <v/>
      </c>
      <c r="J119" s="74">
        <f>IF('REGISTRO NO PAGAR'!B119="","",'REGISTRO NO PAGAR'!K119)</f>
        <v/>
      </c>
      <c r="K119" s="74">
        <f>IF('REGISTRO NO PAGAR'!B119="","",'REGISTRO NO PAGAR'!M119)</f>
        <v/>
      </c>
      <c r="L119" s="75">
        <f>IF('REGISTRO NO PAGAR'!B119="","",'REGISTRO NO PAGAR'!N119)</f>
        <v/>
      </c>
      <c r="M119" s="74">
        <f>IF('REGISTRO NO PAGAR'!B119="","",'REGISTRO NO PAGAR'!T119)</f>
        <v/>
      </c>
    </row>
    <row r="120">
      <c r="A120" s="74">
        <f>IF('REGISTRO NO PAGAR'!B120="","",'REGISTRO NO PAGAR'!A120)</f>
        <v/>
      </c>
      <c r="B120" s="74">
        <f>IF('REGISTRO NO PAGAR'!B120="","",'REGISTRO NO PAGAR'!B120)</f>
        <v/>
      </c>
      <c r="C120" s="74">
        <f>IF('REGISTRO NO PAGAR'!B120="","",'REGISTRO NO PAGAR'!C120)</f>
        <v/>
      </c>
      <c r="D120" s="74">
        <f>IF('REGISTRO NO PAGAR'!B120="","",'REGISTRO NO PAGAR'!D120)</f>
        <v/>
      </c>
      <c r="E120" s="74">
        <f>IF('REGISTRO NO PAGAR'!B120="","",'REGISTRO NO PAGAR'!E120)</f>
        <v/>
      </c>
      <c r="F120" s="74">
        <f>IF('REGISTRO NO PAGAR'!B120="","",'REGISTRO NO PAGAR'!F120)</f>
        <v/>
      </c>
      <c r="G120" s="74">
        <f>IF('REGISTRO NO PAGAR'!B120="","",'REGISTRO NO PAGAR'!G120)</f>
        <v/>
      </c>
      <c r="H120" s="74">
        <f>IF('REGISTRO NO PAGAR'!B120="","",'REGISTRO NO PAGAR'!I120)</f>
        <v/>
      </c>
      <c r="I120" s="74">
        <f>IF('REGISTRO NO PAGAR'!B120="","",'REGISTRO NO PAGAR'!J120)</f>
        <v/>
      </c>
      <c r="J120" s="74">
        <f>IF('REGISTRO NO PAGAR'!B120="","",'REGISTRO NO PAGAR'!K120)</f>
        <v/>
      </c>
      <c r="K120" s="74">
        <f>IF('REGISTRO NO PAGAR'!B120="","",'REGISTRO NO PAGAR'!M120)</f>
        <v/>
      </c>
      <c r="L120" s="75">
        <f>IF('REGISTRO NO PAGAR'!B120="","",'REGISTRO NO PAGAR'!N120)</f>
        <v/>
      </c>
      <c r="M120" s="74">
        <f>IF('REGISTRO NO PAGAR'!B120="","",'REGISTRO NO PAGAR'!T120)</f>
        <v/>
      </c>
    </row>
    <row r="121">
      <c r="A121" s="74">
        <f>IF('REGISTRO NO PAGAR'!B121="","",'REGISTRO NO PAGAR'!A121)</f>
        <v/>
      </c>
      <c r="B121" s="74">
        <f>IF('REGISTRO NO PAGAR'!B121="","",'REGISTRO NO PAGAR'!B121)</f>
        <v/>
      </c>
      <c r="C121" s="74">
        <f>IF('REGISTRO NO PAGAR'!B121="","",'REGISTRO NO PAGAR'!C121)</f>
        <v/>
      </c>
      <c r="D121" s="74">
        <f>IF('REGISTRO NO PAGAR'!B121="","",'REGISTRO NO PAGAR'!D121)</f>
        <v/>
      </c>
      <c r="E121" s="74">
        <f>IF('REGISTRO NO PAGAR'!B121="","",'REGISTRO NO PAGAR'!E121)</f>
        <v/>
      </c>
      <c r="F121" s="74">
        <f>IF('REGISTRO NO PAGAR'!B121="","",'REGISTRO NO PAGAR'!F121)</f>
        <v/>
      </c>
      <c r="G121" s="74">
        <f>IF('REGISTRO NO PAGAR'!B121="","",'REGISTRO NO PAGAR'!G121)</f>
        <v/>
      </c>
      <c r="H121" s="74">
        <f>IF('REGISTRO NO PAGAR'!B121="","",'REGISTRO NO PAGAR'!I121)</f>
        <v/>
      </c>
      <c r="I121" s="74">
        <f>IF('REGISTRO NO PAGAR'!B121="","",'REGISTRO NO PAGAR'!J121)</f>
        <v/>
      </c>
      <c r="J121" s="74">
        <f>IF('REGISTRO NO PAGAR'!B121="","",'REGISTRO NO PAGAR'!K121)</f>
        <v/>
      </c>
      <c r="K121" s="74">
        <f>IF('REGISTRO NO PAGAR'!B121="","",'REGISTRO NO PAGAR'!M121)</f>
        <v/>
      </c>
      <c r="L121" s="75">
        <f>IF('REGISTRO NO PAGAR'!B121="","",'REGISTRO NO PAGAR'!N121)</f>
        <v/>
      </c>
      <c r="M121" s="74">
        <f>IF('REGISTRO NO PAGAR'!B121="","",'REGISTRO NO PAGAR'!T121)</f>
        <v/>
      </c>
    </row>
    <row r="122">
      <c r="A122" s="74">
        <f>IF('REGISTRO NO PAGAR'!B122="","",'REGISTRO NO PAGAR'!A122)</f>
        <v/>
      </c>
      <c r="B122" s="74">
        <f>IF('REGISTRO NO PAGAR'!B122="","",'REGISTRO NO PAGAR'!B122)</f>
        <v/>
      </c>
      <c r="C122" s="74">
        <f>IF('REGISTRO NO PAGAR'!B122="","",'REGISTRO NO PAGAR'!C122)</f>
        <v/>
      </c>
      <c r="D122" s="74">
        <f>IF('REGISTRO NO PAGAR'!B122="","",'REGISTRO NO PAGAR'!D122)</f>
        <v/>
      </c>
      <c r="E122" s="74">
        <f>IF('REGISTRO NO PAGAR'!B122="","",'REGISTRO NO PAGAR'!E122)</f>
        <v/>
      </c>
      <c r="F122" s="74">
        <f>IF('REGISTRO NO PAGAR'!B122="","",'REGISTRO NO PAGAR'!F122)</f>
        <v/>
      </c>
      <c r="G122" s="74">
        <f>IF('REGISTRO NO PAGAR'!B122="","",'REGISTRO NO PAGAR'!G122)</f>
        <v/>
      </c>
      <c r="H122" s="74">
        <f>IF('REGISTRO NO PAGAR'!B122="","",'REGISTRO NO PAGAR'!I122)</f>
        <v/>
      </c>
      <c r="I122" s="74">
        <f>IF('REGISTRO NO PAGAR'!B122="","",'REGISTRO NO PAGAR'!J122)</f>
        <v/>
      </c>
      <c r="J122" s="74">
        <f>IF('REGISTRO NO PAGAR'!B122="","",'REGISTRO NO PAGAR'!K122)</f>
        <v/>
      </c>
      <c r="K122" s="74">
        <f>IF('REGISTRO NO PAGAR'!B122="","",'REGISTRO NO PAGAR'!M122)</f>
        <v/>
      </c>
      <c r="L122" s="75">
        <f>IF('REGISTRO NO PAGAR'!B122="","",'REGISTRO NO PAGAR'!N122)</f>
        <v/>
      </c>
      <c r="M122" s="74">
        <f>IF('REGISTRO NO PAGAR'!B122="","",'REGISTRO NO PAGAR'!T122)</f>
        <v/>
      </c>
    </row>
    <row r="123">
      <c r="A123" s="74">
        <f>IF('REGISTRO NO PAGAR'!B123="","",'REGISTRO NO PAGAR'!A123)</f>
        <v/>
      </c>
      <c r="B123" s="74">
        <f>IF('REGISTRO NO PAGAR'!B123="","",'REGISTRO NO PAGAR'!B123)</f>
        <v/>
      </c>
      <c r="C123" s="74">
        <f>IF('REGISTRO NO PAGAR'!B123="","",'REGISTRO NO PAGAR'!C123)</f>
        <v/>
      </c>
      <c r="D123" s="74">
        <f>IF('REGISTRO NO PAGAR'!B123="","",'REGISTRO NO PAGAR'!D123)</f>
        <v/>
      </c>
      <c r="E123" s="74">
        <f>IF('REGISTRO NO PAGAR'!B123="","",'REGISTRO NO PAGAR'!E123)</f>
        <v/>
      </c>
      <c r="F123" s="74">
        <f>IF('REGISTRO NO PAGAR'!B123="","",'REGISTRO NO PAGAR'!F123)</f>
        <v/>
      </c>
      <c r="G123" s="74">
        <f>IF('REGISTRO NO PAGAR'!B123="","",'REGISTRO NO PAGAR'!G123)</f>
        <v/>
      </c>
      <c r="H123" s="74">
        <f>IF('REGISTRO NO PAGAR'!B123="","",'REGISTRO NO PAGAR'!I123)</f>
        <v/>
      </c>
      <c r="I123" s="74">
        <f>IF('REGISTRO NO PAGAR'!B123="","",'REGISTRO NO PAGAR'!J123)</f>
        <v/>
      </c>
      <c r="J123" s="74">
        <f>IF('REGISTRO NO PAGAR'!B123="","",'REGISTRO NO PAGAR'!K123)</f>
        <v/>
      </c>
      <c r="K123" s="74">
        <f>IF('REGISTRO NO PAGAR'!B123="","",'REGISTRO NO PAGAR'!M123)</f>
        <v/>
      </c>
      <c r="L123" s="75">
        <f>IF('REGISTRO NO PAGAR'!B123="","",'REGISTRO NO PAGAR'!N123)</f>
        <v/>
      </c>
      <c r="M123" s="74">
        <f>IF('REGISTRO NO PAGAR'!B123="","",'REGISTRO NO PAGAR'!T123)</f>
        <v/>
      </c>
    </row>
    <row r="124">
      <c r="A124" s="74">
        <f>IF('REGISTRO NO PAGAR'!B124="","",'REGISTRO NO PAGAR'!A124)</f>
        <v/>
      </c>
      <c r="B124" s="74">
        <f>IF('REGISTRO NO PAGAR'!B124="","",'REGISTRO NO PAGAR'!B124)</f>
        <v/>
      </c>
      <c r="C124" s="74">
        <f>IF('REGISTRO NO PAGAR'!B124="","",'REGISTRO NO PAGAR'!C124)</f>
        <v/>
      </c>
      <c r="D124" s="74">
        <f>IF('REGISTRO NO PAGAR'!B124="","",'REGISTRO NO PAGAR'!D124)</f>
        <v/>
      </c>
      <c r="E124" s="74">
        <f>IF('REGISTRO NO PAGAR'!B124="","",'REGISTRO NO PAGAR'!E124)</f>
        <v/>
      </c>
      <c r="F124" s="74">
        <f>IF('REGISTRO NO PAGAR'!B124="","",'REGISTRO NO PAGAR'!F124)</f>
        <v/>
      </c>
      <c r="G124" s="74">
        <f>IF('REGISTRO NO PAGAR'!B124="","",'REGISTRO NO PAGAR'!G124)</f>
        <v/>
      </c>
      <c r="H124" s="74">
        <f>IF('REGISTRO NO PAGAR'!B124="","",'REGISTRO NO PAGAR'!I124)</f>
        <v/>
      </c>
      <c r="I124" s="74">
        <f>IF('REGISTRO NO PAGAR'!B124="","",'REGISTRO NO PAGAR'!J124)</f>
        <v/>
      </c>
      <c r="J124" s="74">
        <f>IF('REGISTRO NO PAGAR'!B124="","",'REGISTRO NO PAGAR'!K124)</f>
        <v/>
      </c>
      <c r="K124" s="74">
        <f>IF('REGISTRO NO PAGAR'!B124="","",'REGISTRO NO PAGAR'!M124)</f>
        <v/>
      </c>
      <c r="L124" s="75">
        <f>IF('REGISTRO NO PAGAR'!B124="","",'REGISTRO NO PAGAR'!N124)</f>
        <v/>
      </c>
      <c r="M124" s="74">
        <f>IF('REGISTRO NO PAGAR'!B124="","",'REGISTRO NO PAGAR'!T124)</f>
        <v/>
      </c>
    </row>
    <row r="125">
      <c r="A125" s="74">
        <f>IF('REGISTRO NO PAGAR'!B125="","",'REGISTRO NO PAGAR'!A125)</f>
        <v/>
      </c>
      <c r="B125" s="74">
        <f>IF('REGISTRO NO PAGAR'!B125="","",'REGISTRO NO PAGAR'!B125)</f>
        <v/>
      </c>
      <c r="C125" s="74">
        <f>IF('REGISTRO NO PAGAR'!B125="","",'REGISTRO NO PAGAR'!C125)</f>
        <v/>
      </c>
      <c r="D125" s="74">
        <f>IF('REGISTRO NO PAGAR'!B125="","",'REGISTRO NO PAGAR'!D125)</f>
        <v/>
      </c>
      <c r="E125" s="74">
        <f>IF('REGISTRO NO PAGAR'!B125="","",'REGISTRO NO PAGAR'!E125)</f>
        <v/>
      </c>
      <c r="F125" s="74">
        <f>IF('REGISTRO NO PAGAR'!B125="","",'REGISTRO NO PAGAR'!F125)</f>
        <v/>
      </c>
      <c r="G125" s="74">
        <f>IF('REGISTRO NO PAGAR'!B125="","",'REGISTRO NO PAGAR'!G125)</f>
        <v/>
      </c>
      <c r="H125" s="74">
        <f>IF('REGISTRO NO PAGAR'!B125="","",'REGISTRO NO PAGAR'!I125)</f>
        <v/>
      </c>
      <c r="I125" s="74">
        <f>IF('REGISTRO NO PAGAR'!B125="","",'REGISTRO NO PAGAR'!J125)</f>
        <v/>
      </c>
      <c r="J125" s="74">
        <f>IF('REGISTRO NO PAGAR'!B125="","",'REGISTRO NO PAGAR'!K125)</f>
        <v/>
      </c>
      <c r="K125" s="74">
        <f>IF('REGISTRO NO PAGAR'!B125="","",'REGISTRO NO PAGAR'!M125)</f>
        <v/>
      </c>
      <c r="L125" s="75">
        <f>IF('REGISTRO NO PAGAR'!B125="","",'REGISTRO NO PAGAR'!N125)</f>
        <v/>
      </c>
      <c r="M125" s="74">
        <f>IF('REGISTRO NO PAGAR'!B125="","",'REGISTRO NO PAGAR'!T125)</f>
        <v/>
      </c>
    </row>
    <row r="126">
      <c r="A126" s="74">
        <f>IF('REGISTRO NO PAGAR'!B126="","",'REGISTRO NO PAGAR'!A126)</f>
        <v/>
      </c>
      <c r="B126" s="74">
        <f>IF('REGISTRO NO PAGAR'!B126="","",'REGISTRO NO PAGAR'!B126)</f>
        <v/>
      </c>
      <c r="C126" s="74">
        <f>IF('REGISTRO NO PAGAR'!B126="","",'REGISTRO NO PAGAR'!C126)</f>
        <v/>
      </c>
      <c r="D126" s="74">
        <f>IF('REGISTRO NO PAGAR'!B126="","",'REGISTRO NO PAGAR'!D126)</f>
        <v/>
      </c>
      <c r="E126" s="74">
        <f>IF('REGISTRO NO PAGAR'!B126="","",'REGISTRO NO PAGAR'!E126)</f>
        <v/>
      </c>
      <c r="F126" s="74">
        <f>IF('REGISTRO NO PAGAR'!B126="","",'REGISTRO NO PAGAR'!F126)</f>
        <v/>
      </c>
      <c r="G126" s="74">
        <f>IF('REGISTRO NO PAGAR'!B126="","",'REGISTRO NO PAGAR'!G126)</f>
        <v/>
      </c>
      <c r="H126" s="74">
        <f>IF('REGISTRO NO PAGAR'!B126="","",'REGISTRO NO PAGAR'!I126)</f>
        <v/>
      </c>
      <c r="I126" s="74">
        <f>IF('REGISTRO NO PAGAR'!B126="","",'REGISTRO NO PAGAR'!J126)</f>
        <v/>
      </c>
      <c r="J126" s="74">
        <f>IF('REGISTRO NO PAGAR'!B126="","",'REGISTRO NO PAGAR'!K126)</f>
        <v/>
      </c>
      <c r="K126" s="74">
        <f>IF('REGISTRO NO PAGAR'!B126="","",'REGISTRO NO PAGAR'!M126)</f>
        <v/>
      </c>
      <c r="L126" s="75">
        <f>IF('REGISTRO NO PAGAR'!B126="","",'REGISTRO NO PAGAR'!N126)</f>
        <v/>
      </c>
      <c r="M126" s="74">
        <f>IF('REGISTRO NO PAGAR'!B126="","",'REGISTRO NO PAGAR'!T126)</f>
        <v/>
      </c>
    </row>
    <row r="127">
      <c r="A127" s="74">
        <f>IF('REGISTRO NO PAGAR'!B127="","",'REGISTRO NO PAGAR'!A127)</f>
        <v/>
      </c>
      <c r="B127" s="74">
        <f>IF('REGISTRO NO PAGAR'!B127="","",'REGISTRO NO PAGAR'!B127)</f>
        <v/>
      </c>
      <c r="C127" s="74">
        <f>IF('REGISTRO NO PAGAR'!B127="","",'REGISTRO NO PAGAR'!C127)</f>
        <v/>
      </c>
      <c r="D127" s="74">
        <f>IF('REGISTRO NO PAGAR'!B127="","",'REGISTRO NO PAGAR'!D127)</f>
        <v/>
      </c>
      <c r="E127" s="74">
        <f>IF('REGISTRO NO PAGAR'!B127="","",'REGISTRO NO PAGAR'!E127)</f>
        <v/>
      </c>
      <c r="F127" s="74">
        <f>IF('REGISTRO NO PAGAR'!B127="","",'REGISTRO NO PAGAR'!F127)</f>
        <v/>
      </c>
      <c r="G127" s="74">
        <f>IF('REGISTRO NO PAGAR'!B127="","",'REGISTRO NO PAGAR'!G127)</f>
        <v/>
      </c>
      <c r="H127" s="74">
        <f>IF('REGISTRO NO PAGAR'!B127="","",'REGISTRO NO PAGAR'!I127)</f>
        <v/>
      </c>
      <c r="I127" s="74">
        <f>IF('REGISTRO NO PAGAR'!B127="","",'REGISTRO NO PAGAR'!J127)</f>
        <v/>
      </c>
      <c r="J127" s="74">
        <f>IF('REGISTRO NO PAGAR'!B127="","",'REGISTRO NO PAGAR'!K127)</f>
        <v/>
      </c>
      <c r="K127" s="74">
        <f>IF('REGISTRO NO PAGAR'!B127="","",'REGISTRO NO PAGAR'!M127)</f>
        <v/>
      </c>
      <c r="L127" s="75">
        <f>IF('REGISTRO NO PAGAR'!B127="","",'REGISTRO NO PAGAR'!N127)</f>
        <v/>
      </c>
      <c r="M127" s="74">
        <f>IF('REGISTRO NO PAGAR'!B127="","",'REGISTRO NO PAGAR'!T127)</f>
        <v/>
      </c>
    </row>
    <row r="128">
      <c r="A128" s="74">
        <f>IF('REGISTRO NO PAGAR'!B128="","",'REGISTRO NO PAGAR'!A128)</f>
        <v/>
      </c>
      <c r="B128" s="74">
        <f>IF('REGISTRO NO PAGAR'!B128="","",'REGISTRO NO PAGAR'!B128)</f>
        <v/>
      </c>
      <c r="C128" s="74">
        <f>IF('REGISTRO NO PAGAR'!B128="","",'REGISTRO NO PAGAR'!C128)</f>
        <v/>
      </c>
      <c r="D128" s="74">
        <f>IF('REGISTRO NO PAGAR'!B128="","",'REGISTRO NO PAGAR'!D128)</f>
        <v/>
      </c>
      <c r="E128" s="74">
        <f>IF('REGISTRO NO PAGAR'!B128="","",'REGISTRO NO PAGAR'!E128)</f>
        <v/>
      </c>
      <c r="F128" s="74">
        <f>IF('REGISTRO NO PAGAR'!B128="","",'REGISTRO NO PAGAR'!F128)</f>
        <v/>
      </c>
      <c r="G128" s="74">
        <f>IF('REGISTRO NO PAGAR'!B128="","",'REGISTRO NO PAGAR'!G128)</f>
        <v/>
      </c>
      <c r="H128" s="74">
        <f>IF('REGISTRO NO PAGAR'!B128="","",'REGISTRO NO PAGAR'!I128)</f>
        <v/>
      </c>
      <c r="I128" s="74">
        <f>IF('REGISTRO NO PAGAR'!B128="","",'REGISTRO NO PAGAR'!J128)</f>
        <v/>
      </c>
      <c r="J128" s="74">
        <f>IF('REGISTRO NO PAGAR'!B128="","",'REGISTRO NO PAGAR'!K128)</f>
        <v/>
      </c>
      <c r="K128" s="74">
        <f>IF('REGISTRO NO PAGAR'!B128="","",'REGISTRO NO PAGAR'!M128)</f>
        <v/>
      </c>
      <c r="L128" s="75">
        <f>IF('REGISTRO NO PAGAR'!B128="","",'REGISTRO NO PAGAR'!N128)</f>
        <v/>
      </c>
      <c r="M128" s="74">
        <f>IF('REGISTRO NO PAGAR'!B128="","",'REGISTRO NO PAGAR'!T128)</f>
        <v/>
      </c>
    </row>
    <row r="129">
      <c r="A129" s="74">
        <f>IF('REGISTRO NO PAGAR'!B129="","",'REGISTRO NO PAGAR'!A129)</f>
        <v/>
      </c>
      <c r="B129" s="74">
        <f>IF('REGISTRO NO PAGAR'!B129="","",'REGISTRO NO PAGAR'!B129)</f>
        <v/>
      </c>
      <c r="C129" s="74">
        <f>IF('REGISTRO NO PAGAR'!B129="","",'REGISTRO NO PAGAR'!C129)</f>
        <v/>
      </c>
      <c r="D129" s="74">
        <f>IF('REGISTRO NO PAGAR'!B129="","",'REGISTRO NO PAGAR'!D129)</f>
        <v/>
      </c>
      <c r="E129" s="74">
        <f>IF('REGISTRO NO PAGAR'!B129="","",'REGISTRO NO PAGAR'!E129)</f>
        <v/>
      </c>
      <c r="F129" s="74">
        <f>IF('REGISTRO NO PAGAR'!B129="","",'REGISTRO NO PAGAR'!F129)</f>
        <v/>
      </c>
      <c r="G129" s="74">
        <f>IF('REGISTRO NO PAGAR'!B129="","",'REGISTRO NO PAGAR'!G129)</f>
        <v/>
      </c>
      <c r="H129" s="74">
        <f>IF('REGISTRO NO PAGAR'!B129="","",'REGISTRO NO PAGAR'!I129)</f>
        <v/>
      </c>
      <c r="I129" s="74">
        <f>IF('REGISTRO NO PAGAR'!B129="","",'REGISTRO NO PAGAR'!J129)</f>
        <v/>
      </c>
      <c r="J129" s="74">
        <f>IF('REGISTRO NO PAGAR'!B129="","",'REGISTRO NO PAGAR'!K129)</f>
        <v/>
      </c>
      <c r="K129" s="74">
        <f>IF('REGISTRO NO PAGAR'!B129="","",'REGISTRO NO PAGAR'!M129)</f>
        <v/>
      </c>
      <c r="L129" s="75">
        <f>IF('REGISTRO NO PAGAR'!B129="","",'REGISTRO NO PAGAR'!N129)</f>
        <v/>
      </c>
      <c r="M129" s="74">
        <f>IF('REGISTRO NO PAGAR'!B129="","",'REGISTRO NO PAGAR'!T129)</f>
        <v/>
      </c>
    </row>
    <row r="130">
      <c r="A130" s="74">
        <f>IF('REGISTRO NO PAGAR'!B130="","",'REGISTRO NO PAGAR'!A130)</f>
        <v/>
      </c>
      <c r="B130" s="74">
        <f>IF('REGISTRO NO PAGAR'!B130="","",'REGISTRO NO PAGAR'!B130)</f>
        <v/>
      </c>
      <c r="C130" s="74">
        <f>IF('REGISTRO NO PAGAR'!B130="","",'REGISTRO NO PAGAR'!C130)</f>
        <v/>
      </c>
      <c r="D130" s="74">
        <f>IF('REGISTRO NO PAGAR'!B130="","",'REGISTRO NO PAGAR'!D130)</f>
        <v/>
      </c>
      <c r="E130" s="74">
        <f>IF('REGISTRO NO PAGAR'!B130="","",'REGISTRO NO PAGAR'!E130)</f>
        <v/>
      </c>
      <c r="F130" s="74">
        <f>IF('REGISTRO NO PAGAR'!B130="","",'REGISTRO NO PAGAR'!F130)</f>
        <v/>
      </c>
      <c r="G130" s="74">
        <f>IF('REGISTRO NO PAGAR'!B130="","",'REGISTRO NO PAGAR'!G130)</f>
        <v/>
      </c>
      <c r="H130" s="74">
        <f>IF('REGISTRO NO PAGAR'!B130="","",'REGISTRO NO PAGAR'!I130)</f>
        <v/>
      </c>
      <c r="I130" s="74">
        <f>IF('REGISTRO NO PAGAR'!B130="","",'REGISTRO NO PAGAR'!J130)</f>
        <v/>
      </c>
      <c r="J130" s="74">
        <f>IF('REGISTRO NO PAGAR'!B130="","",'REGISTRO NO PAGAR'!K130)</f>
        <v/>
      </c>
      <c r="K130" s="74">
        <f>IF('REGISTRO NO PAGAR'!B130="","",'REGISTRO NO PAGAR'!M130)</f>
        <v/>
      </c>
      <c r="L130" s="75">
        <f>IF('REGISTRO NO PAGAR'!B130="","",'REGISTRO NO PAGAR'!N130)</f>
        <v/>
      </c>
      <c r="M130" s="74">
        <f>IF('REGISTRO NO PAGAR'!B130="","",'REGISTRO NO PAGAR'!T130)</f>
        <v/>
      </c>
    </row>
    <row r="131">
      <c r="A131" s="74">
        <f>IF('REGISTRO NO PAGAR'!B131="","",'REGISTRO NO PAGAR'!A131)</f>
        <v/>
      </c>
      <c r="B131" s="74">
        <f>IF('REGISTRO NO PAGAR'!B131="","",'REGISTRO NO PAGAR'!B131)</f>
        <v/>
      </c>
      <c r="C131" s="74">
        <f>IF('REGISTRO NO PAGAR'!B131="","",'REGISTRO NO PAGAR'!C131)</f>
        <v/>
      </c>
      <c r="D131" s="74">
        <f>IF('REGISTRO NO PAGAR'!B131="","",'REGISTRO NO PAGAR'!D131)</f>
        <v/>
      </c>
      <c r="E131" s="74">
        <f>IF('REGISTRO NO PAGAR'!B131="","",'REGISTRO NO PAGAR'!E131)</f>
        <v/>
      </c>
      <c r="F131" s="74">
        <f>IF('REGISTRO NO PAGAR'!B131="","",'REGISTRO NO PAGAR'!F131)</f>
        <v/>
      </c>
      <c r="G131" s="74">
        <f>IF('REGISTRO NO PAGAR'!B131="","",'REGISTRO NO PAGAR'!G131)</f>
        <v/>
      </c>
      <c r="H131" s="74">
        <f>IF('REGISTRO NO PAGAR'!B131="","",'REGISTRO NO PAGAR'!I131)</f>
        <v/>
      </c>
      <c r="I131" s="74">
        <f>IF('REGISTRO NO PAGAR'!B131="","",'REGISTRO NO PAGAR'!J131)</f>
        <v/>
      </c>
      <c r="J131" s="74">
        <f>IF('REGISTRO NO PAGAR'!B131="","",'REGISTRO NO PAGAR'!K131)</f>
        <v/>
      </c>
      <c r="K131" s="74">
        <f>IF('REGISTRO NO PAGAR'!B131="","",'REGISTRO NO PAGAR'!M131)</f>
        <v/>
      </c>
      <c r="L131" s="75">
        <f>IF('REGISTRO NO PAGAR'!B131="","",'REGISTRO NO PAGAR'!N131)</f>
        <v/>
      </c>
      <c r="M131" s="74">
        <f>IF('REGISTRO NO PAGAR'!B131="","",'REGISTRO NO PAGAR'!T131)</f>
        <v/>
      </c>
    </row>
    <row r="132">
      <c r="A132" s="74">
        <f>IF('REGISTRO NO PAGAR'!B132="","",'REGISTRO NO PAGAR'!A132)</f>
        <v/>
      </c>
      <c r="B132" s="74">
        <f>IF('REGISTRO NO PAGAR'!B132="","",'REGISTRO NO PAGAR'!B132)</f>
        <v/>
      </c>
      <c r="C132" s="74">
        <f>IF('REGISTRO NO PAGAR'!B132="","",'REGISTRO NO PAGAR'!C132)</f>
        <v/>
      </c>
      <c r="D132" s="74">
        <f>IF('REGISTRO NO PAGAR'!B132="","",'REGISTRO NO PAGAR'!D132)</f>
        <v/>
      </c>
      <c r="E132" s="74">
        <f>IF('REGISTRO NO PAGAR'!B132="","",'REGISTRO NO PAGAR'!E132)</f>
        <v/>
      </c>
      <c r="F132" s="74">
        <f>IF('REGISTRO NO PAGAR'!B132="","",'REGISTRO NO PAGAR'!F132)</f>
        <v/>
      </c>
      <c r="G132" s="74">
        <f>IF('REGISTRO NO PAGAR'!B132="","",'REGISTRO NO PAGAR'!G132)</f>
        <v/>
      </c>
      <c r="H132" s="74">
        <f>IF('REGISTRO NO PAGAR'!B132="","",'REGISTRO NO PAGAR'!I132)</f>
        <v/>
      </c>
      <c r="I132" s="74">
        <f>IF('REGISTRO NO PAGAR'!B132="","",'REGISTRO NO PAGAR'!J132)</f>
        <v/>
      </c>
      <c r="J132" s="74">
        <f>IF('REGISTRO NO PAGAR'!B132="","",'REGISTRO NO PAGAR'!K132)</f>
        <v/>
      </c>
      <c r="K132" s="74">
        <f>IF('REGISTRO NO PAGAR'!B132="","",'REGISTRO NO PAGAR'!M132)</f>
        <v/>
      </c>
      <c r="L132" s="75">
        <f>IF('REGISTRO NO PAGAR'!B132="","",'REGISTRO NO PAGAR'!N132)</f>
        <v/>
      </c>
      <c r="M132" s="74">
        <f>IF('REGISTRO NO PAGAR'!B132="","",'REGISTRO NO PAGAR'!T132)</f>
        <v/>
      </c>
    </row>
    <row r="133">
      <c r="A133" s="74">
        <f>IF('REGISTRO NO PAGAR'!B133="","",'REGISTRO NO PAGAR'!A133)</f>
        <v/>
      </c>
      <c r="B133" s="74">
        <f>IF('REGISTRO NO PAGAR'!B133="","",'REGISTRO NO PAGAR'!B133)</f>
        <v/>
      </c>
      <c r="C133" s="74">
        <f>IF('REGISTRO NO PAGAR'!B133="","",'REGISTRO NO PAGAR'!C133)</f>
        <v/>
      </c>
      <c r="D133" s="74">
        <f>IF('REGISTRO NO PAGAR'!B133="","",'REGISTRO NO PAGAR'!D133)</f>
        <v/>
      </c>
      <c r="E133" s="74">
        <f>IF('REGISTRO NO PAGAR'!B133="","",'REGISTRO NO PAGAR'!E133)</f>
        <v/>
      </c>
      <c r="F133" s="74">
        <f>IF('REGISTRO NO PAGAR'!B133="","",'REGISTRO NO PAGAR'!F133)</f>
        <v/>
      </c>
      <c r="G133" s="74">
        <f>IF('REGISTRO NO PAGAR'!B133="","",'REGISTRO NO PAGAR'!G133)</f>
        <v/>
      </c>
      <c r="H133" s="74">
        <f>IF('REGISTRO NO PAGAR'!B133="","",'REGISTRO NO PAGAR'!I133)</f>
        <v/>
      </c>
      <c r="I133" s="74">
        <f>IF('REGISTRO NO PAGAR'!B133="","",'REGISTRO NO PAGAR'!J133)</f>
        <v/>
      </c>
      <c r="J133" s="74">
        <f>IF('REGISTRO NO PAGAR'!B133="","",'REGISTRO NO PAGAR'!K133)</f>
        <v/>
      </c>
      <c r="K133" s="74">
        <f>IF('REGISTRO NO PAGAR'!B133="","",'REGISTRO NO PAGAR'!M133)</f>
        <v/>
      </c>
      <c r="L133" s="75">
        <f>IF('REGISTRO NO PAGAR'!B133="","",'REGISTRO NO PAGAR'!N133)</f>
        <v/>
      </c>
      <c r="M133" s="74">
        <f>IF('REGISTRO NO PAGAR'!B133="","",'REGISTRO NO PAGAR'!T133)</f>
        <v/>
      </c>
    </row>
    <row r="134">
      <c r="A134" s="74">
        <f>IF('REGISTRO NO PAGAR'!B134="","",'REGISTRO NO PAGAR'!A134)</f>
        <v/>
      </c>
      <c r="B134" s="74">
        <f>IF('REGISTRO NO PAGAR'!B134="","",'REGISTRO NO PAGAR'!B134)</f>
        <v/>
      </c>
      <c r="C134" s="74">
        <f>IF('REGISTRO NO PAGAR'!B134="","",'REGISTRO NO PAGAR'!C134)</f>
        <v/>
      </c>
      <c r="D134" s="74">
        <f>IF('REGISTRO NO PAGAR'!B134="","",'REGISTRO NO PAGAR'!D134)</f>
        <v/>
      </c>
      <c r="E134" s="74">
        <f>IF('REGISTRO NO PAGAR'!B134="","",'REGISTRO NO PAGAR'!E134)</f>
        <v/>
      </c>
      <c r="F134" s="74">
        <f>IF('REGISTRO NO PAGAR'!B134="","",'REGISTRO NO PAGAR'!F134)</f>
        <v/>
      </c>
      <c r="G134" s="74">
        <f>IF('REGISTRO NO PAGAR'!B134="","",'REGISTRO NO PAGAR'!G134)</f>
        <v/>
      </c>
      <c r="H134" s="74">
        <f>IF('REGISTRO NO PAGAR'!B134="","",'REGISTRO NO PAGAR'!I134)</f>
        <v/>
      </c>
      <c r="I134" s="74">
        <f>IF('REGISTRO NO PAGAR'!B134="","",'REGISTRO NO PAGAR'!J134)</f>
        <v/>
      </c>
      <c r="J134" s="74">
        <f>IF('REGISTRO NO PAGAR'!B134="","",'REGISTRO NO PAGAR'!K134)</f>
        <v/>
      </c>
      <c r="K134" s="74">
        <f>IF('REGISTRO NO PAGAR'!B134="","",'REGISTRO NO PAGAR'!M134)</f>
        <v/>
      </c>
      <c r="L134" s="75">
        <f>IF('REGISTRO NO PAGAR'!B134="","",'REGISTRO NO PAGAR'!N134)</f>
        <v/>
      </c>
      <c r="M134" s="74">
        <f>IF('REGISTRO NO PAGAR'!B134="","",'REGISTRO NO PAGAR'!T134)</f>
        <v/>
      </c>
    </row>
    <row r="135">
      <c r="A135" s="74">
        <f>IF('REGISTRO NO PAGAR'!B135="","",'REGISTRO NO PAGAR'!A135)</f>
        <v/>
      </c>
      <c r="B135" s="74">
        <f>IF('REGISTRO NO PAGAR'!B135="","",'REGISTRO NO PAGAR'!B135)</f>
        <v/>
      </c>
      <c r="C135" s="74">
        <f>IF('REGISTRO NO PAGAR'!B135="","",'REGISTRO NO PAGAR'!C135)</f>
        <v/>
      </c>
      <c r="D135" s="74">
        <f>IF('REGISTRO NO PAGAR'!B135="","",'REGISTRO NO PAGAR'!D135)</f>
        <v/>
      </c>
      <c r="E135" s="74">
        <f>IF('REGISTRO NO PAGAR'!B135="","",'REGISTRO NO PAGAR'!E135)</f>
        <v/>
      </c>
      <c r="F135" s="74">
        <f>IF('REGISTRO NO PAGAR'!B135="","",'REGISTRO NO PAGAR'!F135)</f>
        <v/>
      </c>
      <c r="G135" s="74">
        <f>IF('REGISTRO NO PAGAR'!B135="","",'REGISTRO NO PAGAR'!G135)</f>
        <v/>
      </c>
      <c r="H135" s="74">
        <f>IF('REGISTRO NO PAGAR'!B135="","",'REGISTRO NO PAGAR'!I135)</f>
        <v/>
      </c>
      <c r="I135" s="74">
        <f>IF('REGISTRO NO PAGAR'!B135="","",'REGISTRO NO PAGAR'!J135)</f>
        <v/>
      </c>
      <c r="J135" s="74">
        <f>IF('REGISTRO NO PAGAR'!B135="","",'REGISTRO NO PAGAR'!K135)</f>
        <v/>
      </c>
      <c r="K135" s="74">
        <f>IF('REGISTRO NO PAGAR'!B135="","",'REGISTRO NO PAGAR'!M135)</f>
        <v/>
      </c>
      <c r="L135" s="75">
        <f>IF('REGISTRO NO PAGAR'!B135="","",'REGISTRO NO PAGAR'!N135)</f>
        <v/>
      </c>
      <c r="M135" s="74">
        <f>IF('REGISTRO NO PAGAR'!B135="","",'REGISTRO NO PAGAR'!T135)</f>
        <v/>
      </c>
    </row>
    <row r="136">
      <c r="A136" s="74">
        <f>IF('REGISTRO NO PAGAR'!B136="","",'REGISTRO NO PAGAR'!A136)</f>
        <v/>
      </c>
      <c r="B136" s="74">
        <f>IF('REGISTRO NO PAGAR'!B136="","",'REGISTRO NO PAGAR'!B136)</f>
        <v/>
      </c>
      <c r="C136" s="74">
        <f>IF('REGISTRO NO PAGAR'!B136="","",'REGISTRO NO PAGAR'!C136)</f>
        <v/>
      </c>
      <c r="D136" s="74">
        <f>IF('REGISTRO NO PAGAR'!B136="","",'REGISTRO NO PAGAR'!D136)</f>
        <v/>
      </c>
      <c r="E136" s="74">
        <f>IF('REGISTRO NO PAGAR'!B136="","",'REGISTRO NO PAGAR'!E136)</f>
        <v/>
      </c>
      <c r="F136" s="74">
        <f>IF('REGISTRO NO PAGAR'!B136="","",'REGISTRO NO PAGAR'!F136)</f>
        <v/>
      </c>
      <c r="G136" s="74">
        <f>IF('REGISTRO NO PAGAR'!B136="","",'REGISTRO NO PAGAR'!G136)</f>
        <v/>
      </c>
      <c r="H136" s="74">
        <f>IF('REGISTRO NO PAGAR'!B136="","",'REGISTRO NO PAGAR'!I136)</f>
        <v/>
      </c>
      <c r="I136" s="74">
        <f>IF('REGISTRO NO PAGAR'!B136="","",'REGISTRO NO PAGAR'!J136)</f>
        <v/>
      </c>
      <c r="J136" s="74">
        <f>IF('REGISTRO NO PAGAR'!B136="","",'REGISTRO NO PAGAR'!K136)</f>
        <v/>
      </c>
      <c r="K136" s="74">
        <f>IF('REGISTRO NO PAGAR'!B136="","",'REGISTRO NO PAGAR'!M136)</f>
        <v/>
      </c>
      <c r="L136" s="75">
        <f>IF('REGISTRO NO PAGAR'!B136="","",'REGISTRO NO PAGAR'!N136)</f>
        <v/>
      </c>
      <c r="M136" s="74">
        <f>IF('REGISTRO NO PAGAR'!B136="","",'REGISTRO NO PAGAR'!T136)</f>
        <v/>
      </c>
    </row>
    <row r="137">
      <c r="A137" s="74">
        <f>IF('REGISTRO NO PAGAR'!B137="","",'REGISTRO NO PAGAR'!A137)</f>
        <v/>
      </c>
      <c r="B137" s="74">
        <f>IF('REGISTRO NO PAGAR'!B137="","",'REGISTRO NO PAGAR'!B137)</f>
        <v/>
      </c>
      <c r="C137" s="74">
        <f>IF('REGISTRO NO PAGAR'!B137="","",'REGISTRO NO PAGAR'!C137)</f>
        <v/>
      </c>
      <c r="D137" s="74">
        <f>IF('REGISTRO NO PAGAR'!B137="","",'REGISTRO NO PAGAR'!D137)</f>
        <v/>
      </c>
      <c r="E137" s="74">
        <f>IF('REGISTRO NO PAGAR'!B137="","",'REGISTRO NO PAGAR'!E137)</f>
        <v/>
      </c>
      <c r="F137" s="74">
        <f>IF('REGISTRO NO PAGAR'!B137="","",'REGISTRO NO PAGAR'!F137)</f>
        <v/>
      </c>
      <c r="G137" s="74">
        <f>IF('REGISTRO NO PAGAR'!B137="","",'REGISTRO NO PAGAR'!G137)</f>
        <v/>
      </c>
      <c r="H137" s="74">
        <f>IF('REGISTRO NO PAGAR'!B137="","",'REGISTRO NO PAGAR'!I137)</f>
        <v/>
      </c>
      <c r="I137" s="74">
        <f>IF('REGISTRO NO PAGAR'!B137="","",'REGISTRO NO PAGAR'!J137)</f>
        <v/>
      </c>
      <c r="J137" s="74">
        <f>IF('REGISTRO NO PAGAR'!B137="","",'REGISTRO NO PAGAR'!K137)</f>
        <v/>
      </c>
      <c r="K137" s="74">
        <f>IF('REGISTRO NO PAGAR'!B137="","",'REGISTRO NO PAGAR'!M137)</f>
        <v/>
      </c>
      <c r="L137" s="75">
        <f>IF('REGISTRO NO PAGAR'!B137="","",'REGISTRO NO PAGAR'!N137)</f>
        <v/>
      </c>
      <c r="M137" s="74">
        <f>IF('REGISTRO NO PAGAR'!B137="","",'REGISTRO NO PAGAR'!T137)</f>
        <v/>
      </c>
    </row>
    <row r="138">
      <c r="A138" s="74">
        <f>IF('REGISTRO NO PAGAR'!B138="","",'REGISTRO NO PAGAR'!A138)</f>
        <v/>
      </c>
      <c r="B138" s="74">
        <f>IF('REGISTRO NO PAGAR'!B138="","",'REGISTRO NO PAGAR'!B138)</f>
        <v/>
      </c>
      <c r="C138" s="74">
        <f>IF('REGISTRO NO PAGAR'!B138="","",'REGISTRO NO PAGAR'!C138)</f>
        <v/>
      </c>
      <c r="D138" s="74">
        <f>IF('REGISTRO NO PAGAR'!B138="","",'REGISTRO NO PAGAR'!D138)</f>
        <v/>
      </c>
      <c r="E138" s="74">
        <f>IF('REGISTRO NO PAGAR'!B138="","",'REGISTRO NO PAGAR'!E138)</f>
        <v/>
      </c>
      <c r="F138" s="74">
        <f>IF('REGISTRO NO PAGAR'!B138="","",'REGISTRO NO PAGAR'!F138)</f>
        <v/>
      </c>
      <c r="G138" s="74">
        <f>IF('REGISTRO NO PAGAR'!B138="","",'REGISTRO NO PAGAR'!G138)</f>
        <v/>
      </c>
      <c r="H138" s="74">
        <f>IF('REGISTRO NO PAGAR'!B138="","",'REGISTRO NO PAGAR'!I138)</f>
        <v/>
      </c>
      <c r="I138" s="74">
        <f>IF('REGISTRO NO PAGAR'!B138="","",'REGISTRO NO PAGAR'!J138)</f>
        <v/>
      </c>
      <c r="J138" s="74">
        <f>IF('REGISTRO NO PAGAR'!B138="","",'REGISTRO NO PAGAR'!K138)</f>
        <v/>
      </c>
      <c r="K138" s="74">
        <f>IF('REGISTRO NO PAGAR'!B138="","",'REGISTRO NO PAGAR'!M138)</f>
        <v/>
      </c>
      <c r="L138" s="75">
        <f>IF('REGISTRO NO PAGAR'!B138="","",'REGISTRO NO PAGAR'!N138)</f>
        <v/>
      </c>
      <c r="M138" s="74">
        <f>IF('REGISTRO NO PAGAR'!B138="","",'REGISTRO NO PAGAR'!T138)</f>
        <v/>
      </c>
    </row>
    <row r="139">
      <c r="A139" s="74">
        <f>IF('REGISTRO NO PAGAR'!B139="","",'REGISTRO NO PAGAR'!A139)</f>
        <v/>
      </c>
      <c r="B139" s="74">
        <f>IF('REGISTRO NO PAGAR'!B139="","",'REGISTRO NO PAGAR'!B139)</f>
        <v/>
      </c>
      <c r="C139" s="74">
        <f>IF('REGISTRO NO PAGAR'!B139="","",'REGISTRO NO PAGAR'!C139)</f>
        <v/>
      </c>
      <c r="D139" s="74">
        <f>IF('REGISTRO NO PAGAR'!B139="","",'REGISTRO NO PAGAR'!D139)</f>
        <v/>
      </c>
      <c r="E139" s="74">
        <f>IF('REGISTRO NO PAGAR'!B139="","",'REGISTRO NO PAGAR'!E139)</f>
        <v/>
      </c>
      <c r="F139" s="74">
        <f>IF('REGISTRO NO PAGAR'!B139="","",'REGISTRO NO PAGAR'!F139)</f>
        <v/>
      </c>
      <c r="G139" s="74">
        <f>IF('REGISTRO NO PAGAR'!B139="","",'REGISTRO NO PAGAR'!G139)</f>
        <v/>
      </c>
      <c r="H139" s="74">
        <f>IF('REGISTRO NO PAGAR'!B139="","",'REGISTRO NO PAGAR'!I139)</f>
        <v/>
      </c>
      <c r="I139" s="74">
        <f>IF('REGISTRO NO PAGAR'!B139="","",'REGISTRO NO PAGAR'!J139)</f>
        <v/>
      </c>
      <c r="J139" s="74">
        <f>IF('REGISTRO NO PAGAR'!B139="","",'REGISTRO NO PAGAR'!K139)</f>
        <v/>
      </c>
      <c r="K139" s="74">
        <f>IF('REGISTRO NO PAGAR'!B139="","",'REGISTRO NO PAGAR'!M139)</f>
        <v/>
      </c>
      <c r="L139" s="75">
        <f>IF('REGISTRO NO PAGAR'!B139="","",'REGISTRO NO PAGAR'!N139)</f>
        <v/>
      </c>
      <c r="M139" s="74">
        <f>IF('REGISTRO NO PAGAR'!B139="","",'REGISTRO NO PAGAR'!T139)</f>
        <v/>
      </c>
    </row>
    <row r="140">
      <c r="A140" s="74">
        <f>IF('REGISTRO NO PAGAR'!B140="","",'REGISTRO NO PAGAR'!A140)</f>
        <v/>
      </c>
      <c r="B140" s="74">
        <f>IF('REGISTRO NO PAGAR'!B140="","",'REGISTRO NO PAGAR'!B140)</f>
        <v/>
      </c>
      <c r="C140" s="74">
        <f>IF('REGISTRO NO PAGAR'!B140="","",'REGISTRO NO PAGAR'!C140)</f>
        <v/>
      </c>
      <c r="D140" s="74">
        <f>IF('REGISTRO NO PAGAR'!B140="","",'REGISTRO NO PAGAR'!D140)</f>
        <v/>
      </c>
      <c r="E140" s="74">
        <f>IF('REGISTRO NO PAGAR'!B140="","",'REGISTRO NO PAGAR'!E140)</f>
        <v/>
      </c>
      <c r="F140" s="74">
        <f>IF('REGISTRO NO PAGAR'!B140="","",'REGISTRO NO PAGAR'!F140)</f>
        <v/>
      </c>
      <c r="G140" s="74">
        <f>IF('REGISTRO NO PAGAR'!B140="","",'REGISTRO NO PAGAR'!G140)</f>
        <v/>
      </c>
      <c r="H140" s="74">
        <f>IF('REGISTRO NO PAGAR'!B140="","",'REGISTRO NO PAGAR'!I140)</f>
        <v/>
      </c>
      <c r="I140" s="74">
        <f>IF('REGISTRO NO PAGAR'!B140="","",'REGISTRO NO PAGAR'!J140)</f>
        <v/>
      </c>
      <c r="J140" s="74">
        <f>IF('REGISTRO NO PAGAR'!B140="","",'REGISTRO NO PAGAR'!K140)</f>
        <v/>
      </c>
      <c r="K140" s="74">
        <f>IF('REGISTRO NO PAGAR'!B140="","",'REGISTRO NO PAGAR'!M140)</f>
        <v/>
      </c>
      <c r="L140" s="75">
        <f>IF('REGISTRO NO PAGAR'!B140="","",'REGISTRO NO PAGAR'!N140)</f>
        <v/>
      </c>
      <c r="M140" s="74">
        <f>IF('REGISTRO NO PAGAR'!B140="","",'REGISTRO NO PAGAR'!T140)</f>
        <v/>
      </c>
    </row>
    <row r="141">
      <c r="A141" s="74">
        <f>IF('REGISTRO NO PAGAR'!B141="","",'REGISTRO NO PAGAR'!A141)</f>
        <v/>
      </c>
      <c r="B141" s="74">
        <f>IF('REGISTRO NO PAGAR'!B141="","",'REGISTRO NO PAGAR'!B141)</f>
        <v/>
      </c>
      <c r="C141" s="74">
        <f>IF('REGISTRO NO PAGAR'!B141="","",'REGISTRO NO PAGAR'!C141)</f>
        <v/>
      </c>
      <c r="D141" s="74">
        <f>IF('REGISTRO NO PAGAR'!B141="","",'REGISTRO NO PAGAR'!D141)</f>
        <v/>
      </c>
      <c r="E141" s="74">
        <f>IF('REGISTRO NO PAGAR'!B141="","",'REGISTRO NO PAGAR'!E141)</f>
        <v/>
      </c>
      <c r="F141" s="74">
        <f>IF('REGISTRO NO PAGAR'!B141="","",'REGISTRO NO PAGAR'!F141)</f>
        <v/>
      </c>
      <c r="G141" s="74">
        <f>IF('REGISTRO NO PAGAR'!B141="","",'REGISTRO NO PAGAR'!G141)</f>
        <v/>
      </c>
      <c r="H141" s="74">
        <f>IF('REGISTRO NO PAGAR'!B141="","",'REGISTRO NO PAGAR'!I141)</f>
        <v/>
      </c>
      <c r="I141" s="74">
        <f>IF('REGISTRO NO PAGAR'!B141="","",'REGISTRO NO PAGAR'!J141)</f>
        <v/>
      </c>
      <c r="J141" s="74">
        <f>IF('REGISTRO NO PAGAR'!B141="","",'REGISTRO NO PAGAR'!K141)</f>
        <v/>
      </c>
      <c r="K141" s="74">
        <f>IF('REGISTRO NO PAGAR'!B141="","",'REGISTRO NO PAGAR'!M141)</f>
        <v/>
      </c>
      <c r="L141" s="75">
        <f>IF('REGISTRO NO PAGAR'!B141="","",'REGISTRO NO PAGAR'!N141)</f>
        <v/>
      </c>
      <c r="M141" s="74">
        <f>IF('REGISTRO NO PAGAR'!B141="","",'REGISTRO NO PAGAR'!T141)</f>
        <v/>
      </c>
    </row>
    <row r="142">
      <c r="A142" s="74">
        <f>IF('REGISTRO NO PAGAR'!B142="","",'REGISTRO NO PAGAR'!A142)</f>
        <v/>
      </c>
      <c r="B142" s="74">
        <f>IF('REGISTRO NO PAGAR'!B142="","",'REGISTRO NO PAGAR'!B142)</f>
        <v/>
      </c>
      <c r="C142" s="74">
        <f>IF('REGISTRO NO PAGAR'!B142="","",'REGISTRO NO PAGAR'!C142)</f>
        <v/>
      </c>
      <c r="D142" s="74">
        <f>IF('REGISTRO NO PAGAR'!B142="","",'REGISTRO NO PAGAR'!D142)</f>
        <v/>
      </c>
      <c r="E142" s="74">
        <f>IF('REGISTRO NO PAGAR'!B142="","",'REGISTRO NO PAGAR'!E142)</f>
        <v/>
      </c>
      <c r="F142" s="74">
        <f>IF('REGISTRO NO PAGAR'!B142="","",'REGISTRO NO PAGAR'!F142)</f>
        <v/>
      </c>
      <c r="G142" s="74">
        <f>IF('REGISTRO NO PAGAR'!B142="","",'REGISTRO NO PAGAR'!G142)</f>
        <v/>
      </c>
      <c r="H142" s="74">
        <f>IF('REGISTRO NO PAGAR'!B142="","",'REGISTRO NO PAGAR'!I142)</f>
        <v/>
      </c>
      <c r="I142" s="74">
        <f>IF('REGISTRO NO PAGAR'!B142="","",'REGISTRO NO PAGAR'!J142)</f>
        <v/>
      </c>
      <c r="J142" s="74">
        <f>IF('REGISTRO NO PAGAR'!B142="","",'REGISTRO NO PAGAR'!K142)</f>
        <v/>
      </c>
      <c r="K142" s="74">
        <f>IF('REGISTRO NO PAGAR'!B142="","",'REGISTRO NO PAGAR'!M142)</f>
        <v/>
      </c>
      <c r="L142" s="75">
        <f>IF('REGISTRO NO PAGAR'!B142="","",'REGISTRO NO PAGAR'!N142)</f>
        <v/>
      </c>
      <c r="M142" s="74">
        <f>IF('REGISTRO NO PAGAR'!B142="","",'REGISTRO NO PAGAR'!T142)</f>
        <v/>
      </c>
    </row>
    <row r="143">
      <c r="A143" s="74">
        <f>IF('REGISTRO NO PAGAR'!B143="","",'REGISTRO NO PAGAR'!A143)</f>
        <v/>
      </c>
      <c r="B143" s="74">
        <f>IF('REGISTRO NO PAGAR'!B143="","",'REGISTRO NO PAGAR'!B143)</f>
        <v/>
      </c>
      <c r="C143" s="74">
        <f>IF('REGISTRO NO PAGAR'!B143="","",'REGISTRO NO PAGAR'!C143)</f>
        <v/>
      </c>
      <c r="D143" s="74">
        <f>IF('REGISTRO NO PAGAR'!B143="","",'REGISTRO NO PAGAR'!D143)</f>
        <v/>
      </c>
      <c r="E143" s="74">
        <f>IF('REGISTRO NO PAGAR'!B143="","",'REGISTRO NO PAGAR'!E143)</f>
        <v/>
      </c>
      <c r="F143" s="74">
        <f>IF('REGISTRO NO PAGAR'!B143="","",'REGISTRO NO PAGAR'!F143)</f>
        <v/>
      </c>
      <c r="G143" s="74">
        <f>IF('REGISTRO NO PAGAR'!B143="","",'REGISTRO NO PAGAR'!G143)</f>
        <v/>
      </c>
      <c r="H143" s="74">
        <f>IF('REGISTRO NO PAGAR'!B143="","",'REGISTRO NO PAGAR'!I143)</f>
        <v/>
      </c>
      <c r="I143" s="74">
        <f>IF('REGISTRO NO PAGAR'!B143="","",'REGISTRO NO PAGAR'!J143)</f>
        <v/>
      </c>
      <c r="J143" s="74">
        <f>IF('REGISTRO NO PAGAR'!B143="","",'REGISTRO NO PAGAR'!K143)</f>
        <v/>
      </c>
      <c r="K143" s="74">
        <f>IF('REGISTRO NO PAGAR'!B143="","",'REGISTRO NO PAGAR'!M143)</f>
        <v/>
      </c>
      <c r="L143" s="75">
        <f>IF('REGISTRO NO PAGAR'!B143="","",'REGISTRO NO PAGAR'!N143)</f>
        <v/>
      </c>
      <c r="M143" s="74">
        <f>IF('REGISTRO NO PAGAR'!B143="","",'REGISTRO NO PAGAR'!T143)</f>
        <v/>
      </c>
    </row>
    <row r="144">
      <c r="A144" s="74">
        <f>IF('REGISTRO NO PAGAR'!B144="","",'REGISTRO NO PAGAR'!A144)</f>
        <v/>
      </c>
      <c r="B144" s="74">
        <f>IF('REGISTRO NO PAGAR'!B144="","",'REGISTRO NO PAGAR'!B144)</f>
        <v/>
      </c>
      <c r="C144" s="74">
        <f>IF('REGISTRO NO PAGAR'!B144="","",'REGISTRO NO PAGAR'!C144)</f>
        <v/>
      </c>
      <c r="D144" s="74">
        <f>IF('REGISTRO NO PAGAR'!B144="","",'REGISTRO NO PAGAR'!D144)</f>
        <v/>
      </c>
      <c r="E144" s="74">
        <f>IF('REGISTRO NO PAGAR'!B144="","",'REGISTRO NO PAGAR'!E144)</f>
        <v/>
      </c>
      <c r="F144" s="74">
        <f>IF('REGISTRO NO PAGAR'!B144="","",'REGISTRO NO PAGAR'!F144)</f>
        <v/>
      </c>
      <c r="G144" s="74">
        <f>IF('REGISTRO NO PAGAR'!B144="","",'REGISTRO NO PAGAR'!G144)</f>
        <v/>
      </c>
      <c r="H144" s="74">
        <f>IF('REGISTRO NO PAGAR'!B144="","",'REGISTRO NO PAGAR'!I144)</f>
        <v/>
      </c>
      <c r="I144" s="74">
        <f>IF('REGISTRO NO PAGAR'!B144="","",'REGISTRO NO PAGAR'!J144)</f>
        <v/>
      </c>
      <c r="J144" s="74">
        <f>IF('REGISTRO NO PAGAR'!B144="","",'REGISTRO NO PAGAR'!K144)</f>
        <v/>
      </c>
      <c r="K144" s="74">
        <f>IF('REGISTRO NO PAGAR'!B144="","",'REGISTRO NO PAGAR'!M144)</f>
        <v/>
      </c>
      <c r="L144" s="75">
        <f>IF('REGISTRO NO PAGAR'!B144="","",'REGISTRO NO PAGAR'!N144)</f>
        <v/>
      </c>
      <c r="M144" s="74">
        <f>IF('REGISTRO NO PAGAR'!B144="","",'REGISTRO NO PAGAR'!T144)</f>
        <v/>
      </c>
    </row>
    <row r="145">
      <c r="A145" s="74">
        <f>IF('REGISTRO NO PAGAR'!B145="","",'REGISTRO NO PAGAR'!A145)</f>
        <v/>
      </c>
      <c r="B145" s="74">
        <f>IF('REGISTRO NO PAGAR'!B145="","",'REGISTRO NO PAGAR'!B145)</f>
        <v/>
      </c>
      <c r="C145" s="74">
        <f>IF('REGISTRO NO PAGAR'!B145="","",'REGISTRO NO PAGAR'!C145)</f>
        <v/>
      </c>
      <c r="D145" s="74">
        <f>IF('REGISTRO NO PAGAR'!B145="","",'REGISTRO NO PAGAR'!D145)</f>
        <v/>
      </c>
      <c r="E145" s="74">
        <f>IF('REGISTRO NO PAGAR'!B145="","",'REGISTRO NO PAGAR'!E145)</f>
        <v/>
      </c>
      <c r="F145" s="74">
        <f>IF('REGISTRO NO PAGAR'!B145="","",'REGISTRO NO PAGAR'!F145)</f>
        <v/>
      </c>
      <c r="G145" s="74">
        <f>IF('REGISTRO NO PAGAR'!B145="","",'REGISTRO NO PAGAR'!G145)</f>
        <v/>
      </c>
      <c r="H145" s="74">
        <f>IF('REGISTRO NO PAGAR'!B145="","",'REGISTRO NO PAGAR'!I145)</f>
        <v/>
      </c>
      <c r="I145" s="74">
        <f>IF('REGISTRO NO PAGAR'!B145="","",'REGISTRO NO PAGAR'!J145)</f>
        <v/>
      </c>
      <c r="J145" s="74">
        <f>IF('REGISTRO NO PAGAR'!B145="","",'REGISTRO NO PAGAR'!K145)</f>
        <v/>
      </c>
      <c r="K145" s="74">
        <f>IF('REGISTRO NO PAGAR'!B145="","",'REGISTRO NO PAGAR'!M145)</f>
        <v/>
      </c>
      <c r="L145" s="75">
        <f>IF('REGISTRO NO PAGAR'!B145="","",'REGISTRO NO PAGAR'!N145)</f>
        <v/>
      </c>
      <c r="M145" s="74">
        <f>IF('REGISTRO NO PAGAR'!B145="","",'REGISTRO NO PAGAR'!T145)</f>
        <v/>
      </c>
    </row>
    <row r="146">
      <c r="A146" s="74">
        <f>IF('REGISTRO NO PAGAR'!B146="","",'REGISTRO NO PAGAR'!A146)</f>
        <v/>
      </c>
      <c r="B146" s="74">
        <f>IF('REGISTRO NO PAGAR'!B146="","",'REGISTRO NO PAGAR'!B146)</f>
        <v/>
      </c>
      <c r="C146" s="74">
        <f>IF('REGISTRO NO PAGAR'!B146="","",'REGISTRO NO PAGAR'!C146)</f>
        <v/>
      </c>
      <c r="D146" s="74">
        <f>IF('REGISTRO NO PAGAR'!B146="","",'REGISTRO NO PAGAR'!D146)</f>
        <v/>
      </c>
      <c r="E146" s="74">
        <f>IF('REGISTRO NO PAGAR'!B146="","",'REGISTRO NO PAGAR'!E146)</f>
        <v/>
      </c>
      <c r="F146" s="74">
        <f>IF('REGISTRO NO PAGAR'!B146="","",'REGISTRO NO PAGAR'!F146)</f>
        <v/>
      </c>
      <c r="G146" s="74">
        <f>IF('REGISTRO NO PAGAR'!B146="","",'REGISTRO NO PAGAR'!G146)</f>
        <v/>
      </c>
      <c r="H146" s="74">
        <f>IF('REGISTRO NO PAGAR'!B146="","",'REGISTRO NO PAGAR'!I146)</f>
        <v/>
      </c>
      <c r="I146" s="74">
        <f>IF('REGISTRO NO PAGAR'!B146="","",'REGISTRO NO PAGAR'!J146)</f>
        <v/>
      </c>
      <c r="J146" s="74">
        <f>IF('REGISTRO NO PAGAR'!B146="","",'REGISTRO NO PAGAR'!K146)</f>
        <v/>
      </c>
      <c r="K146" s="74">
        <f>IF('REGISTRO NO PAGAR'!B146="","",'REGISTRO NO PAGAR'!M146)</f>
        <v/>
      </c>
      <c r="L146" s="75">
        <f>IF('REGISTRO NO PAGAR'!B146="","",'REGISTRO NO PAGAR'!N146)</f>
        <v/>
      </c>
      <c r="M146" s="74">
        <f>IF('REGISTRO NO PAGAR'!B146="","",'REGISTRO NO PAGAR'!T146)</f>
        <v/>
      </c>
    </row>
    <row r="147">
      <c r="A147" s="74">
        <f>IF('REGISTRO NO PAGAR'!B147="","",'REGISTRO NO PAGAR'!A147)</f>
        <v/>
      </c>
      <c r="B147" s="74">
        <f>IF('REGISTRO NO PAGAR'!B147="","",'REGISTRO NO PAGAR'!B147)</f>
        <v/>
      </c>
      <c r="C147" s="74">
        <f>IF('REGISTRO NO PAGAR'!B147="","",'REGISTRO NO PAGAR'!C147)</f>
        <v/>
      </c>
      <c r="D147" s="74">
        <f>IF('REGISTRO NO PAGAR'!B147="","",'REGISTRO NO PAGAR'!D147)</f>
        <v/>
      </c>
      <c r="E147" s="74">
        <f>IF('REGISTRO NO PAGAR'!B147="","",'REGISTRO NO PAGAR'!E147)</f>
        <v/>
      </c>
      <c r="F147" s="74">
        <f>IF('REGISTRO NO PAGAR'!B147="","",'REGISTRO NO PAGAR'!F147)</f>
        <v/>
      </c>
      <c r="G147" s="74">
        <f>IF('REGISTRO NO PAGAR'!B147="","",'REGISTRO NO PAGAR'!G147)</f>
        <v/>
      </c>
      <c r="H147" s="74">
        <f>IF('REGISTRO NO PAGAR'!B147="","",'REGISTRO NO PAGAR'!I147)</f>
        <v/>
      </c>
      <c r="I147" s="74">
        <f>IF('REGISTRO NO PAGAR'!B147="","",'REGISTRO NO PAGAR'!J147)</f>
        <v/>
      </c>
      <c r="J147" s="74">
        <f>IF('REGISTRO NO PAGAR'!B147="","",'REGISTRO NO PAGAR'!K147)</f>
        <v/>
      </c>
      <c r="K147" s="74">
        <f>IF('REGISTRO NO PAGAR'!B147="","",'REGISTRO NO PAGAR'!M147)</f>
        <v/>
      </c>
      <c r="L147" s="75">
        <f>IF('REGISTRO NO PAGAR'!B147="","",'REGISTRO NO PAGAR'!N147)</f>
        <v/>
      </c>
      <c r="M147" s="74">
        <f>IF('REGISTRO NO PAGAR'!B147="","",'REGISTRO NO PAGAR'!T147)</f>
        <v/>
      </c>
    </row>
    <row r="148">
      <c r="A148" s="74">
        <f>IF('REGISTRO NO PAGAR'!B148="","",'REGISTRO NO PAGAR'!A148)</f>
        <v/>
      </c>
      <c r="B148" s="74">
        <f>IF('REGISTRO NO PAGAR'!B148="","",'REGISTRO NO PAGAR'!B148)</f>
        <v/>
      </c>
      <c r="C148" s="74">
        <f>IF('REGISTRO NO PAGAR'!B148="","",'REGISTRO NO PAGAR'!C148)</f>
        <v/>
      </c>
      <c r="D148" s="74">
        <f>IF('REGISTRO NO PAGAR'!B148="","",'REGISTRO NO PAGAR'!D148)</f>
        <v/>
      </c>
      <c r="E148" s="74">
        <f>IF('REGISTRO NO PAGAR'!B148="","",'REGISTRO NO PAGAR'!E148)</f>
        <v/>
      </c>
      <c r="F148" s="74">
        <f>IF('REGISTRO NO PAGAR'!B148="","",'REGISTRO NO PAGAR'!F148)</f>
        <v/>
      </c>
      <c r="G148" s="74">
        <f>IF('REGISTRO NO PAGAR'!B148="","",'REGISTRO NO PAGAR'!G148)</f>
        <v/>
      </c>
      <c r="H148" s="74">
        <f>IF('REGISTRO NO PAGAR'!B148="","",'REGISTRO NO PAGAR'!I148)</f>
        <v/>
      </c>
      <c r="I148" s="74">
        <f>IF('REGISTRO NO PAGAR'!B148="","",'REGISTRO NO PAGAR'!J148)</f>
        <v/>
      </c>
      <c r="J148" s="74">
        <f>IF('REGISTRO NO PAGAR'!B148="","",'REGISTRO NO PAGAR'!K148)</f>
        <v/>
      </c>
      <c r="K148" s="74">
        <f>IF('REGISTRO NO PAGAR'!B148="","",'REGISTRO NO PAGAR'!M148)</f>
        <v/>
      </c>
      <c r="L148" s="75">
        <f>IF('REGISTRO NO PAGAR'!B148="","",'REGISTRO NO PAGAR'!N148)</f>
        <v/>
      </c>
      <c r="M148" s="74">
        <f>IF('REGISTRO NO PAGAR'!B148="","",'REGISTRO NO PAGAR'!T148)</f>
        <v/>
      </c>
    </row>
    <row r="149">
      <c r="A149" s="74">
        <f>IF('REGISTRO NO PAGAR'!B149="","",'REGISTRO NO PAGAR'!A149)</f>
        <v/>
      </c>
      <c r="B149" s="74">
        <f>IF('REGISTRO NO PAGAR'!B149="","",'REGISTRO NO PAGAR'!B149)</f>
        <v/>
      </c>
      <c r="C149" s="74">
        <f>IF('REGISTRO NO PAGAR'!B149="","",'REGISTRO NO PAGAR'!C149)</f>
        <v/>
      </c>
      <c r="D149" s="74">
        <f>IF('REGISTRO NO PAGAR'!B149="","",'REGISTRO NO PAGAR'!D149)</f>
        <v/>
      </c>
      <c r="E149" s="74">
        <f>IF('REGISTRO NO PAGAR'!B149="","",'REGISTRO NO PAGAR'!E149)</f>
        <v/>
      </c>
      <c r="F149" s="74">
        <f>IF('REGISTRO NO PAGAR'!B149="","",'REGISTRO NO PAGAR'!F149)</f>
        <v/>
      </c>
      <c r="G149" s="74">
        <f>IF('REGISTRO NO PAGAR'!B149="","",'REGISTRO NO PAGAR'!G149)</f>
        <v/>
      </c>
      <c r="H149" s="74">
        <f>IF('REGISTRO NO PAGAR'!B149="","",'REGISTRO NO PAGAR'!I149)</f>
        <v/>
      </c>
      <c r="I149" s="74">
        <f>IF('REGISTRO NO PAGAR'!B149="","",'REGISTRO NO PAGAR'!J149)</f>
        <v/>
      </c>
      <c r="J149" s="74">
        <f>IF('REGISTRO NO PAGAR'!B149="","",'REGISTRO NO PAGAR'!K149)</f>
        <v/>
      </c>
      <c r="K149" s="74">
        <f>IF('REGISTRO NO PAGAR'!B149="","",'REGISTRO NO PAGAR'!M149)</f>
        <v/>
      </c>
      <c r="L149" s="75">
        <f>IF('REGISTRO NO PAGAR'!B149="","",'REGISTRO NO PAGAR'!N149)</f>
        <v/>
      </c>
      <c r="M149" s="74">
        <f>IF('REGISTRO NO PAGAR'!B149="","",'REGISTRO NO PAGAR'!T149)</f>
        <v/>
      </c>
    </row>
    <row r="150">
      <c r="A150" s="74">
        <f>IF('REGISTRO NO PAGAR'!B150="","",'REGISTRO NO PAGAR'!A150)</f>
        <v/>
      </c>
      <c r="B150" s="74">
        <f>IF('REGISTRO NO PAGAR'!B150="","",'REGISTRO NO PAGAR'!B150)</f>
        <v/>
      </c>
      <c r="C150" s="74">
        <f>IF('REGISTRO NO PAGAR'!B150="","",'REGISTRO NO PAGAR'!C150)</f>
        <v/>
      </c>
      <c r="D150" s="74">
        <f>IF('REGISTRO NO PAGAR'!B150="","",'REGISTRO NO PAGAR'!D150)</f>
        <v/>
      </c>
      <c r="E150" s="74">
        <f>IF('REGISTRO NO PAGAR'!B150="","",'REGISTRO NO PAGAR'!E150)</f>
        <v/>
      </c>
      <c r="F150" s="74">
        <f>IF('REGISTRO NO PAGAR'!B150="","",'REGISTRO NO PAGAR'!F150)</f>
        <v/>
      </c>
      <c r="G150" s="74">
        <f>IF('REGISTRO NO PAGAR'!B150="","",'REGISTRO NO PAGAR'!G150)</f>
        <v/>
      </c>
      <c r="H150" s="74">
        <f>IF('REGISTRO NO PAGAR'!B150="","",'REGISTRO NO PAGAR'!I150)</f>
        <v/>
      </c>
      <c r="I150" s="74">
        <f>IF('REGISTRO NO PAGAR'!B150="","",'REGISTRO NO PAGAR'!J150)</f>
        <v/>
      </c>
      <c r="J150" s="74">
        <f>IF('REGISTRO NO PAGAR'!B150="","",'REGISTRO NO PAGAR'!K150)</f>
        <v/>
      </c>
      <c r="K150" s="74">
        <f>IF('REGISTRO NO PAGAR'!B150="","",'REGISTRO NO PAGAR'!M150)</f>
        <v/>
      </c>
      <c r="L150" s="75">
        <f>IF('REGISTRO NO PAGAR'!B150="","",'REGISTRO NO PAGAR'!N150)</f>
        <v/>
      </c>
      <c r="M150" s="74">
        <f>IF('REGISTRO NO PAGAR'!B150="","",'REGISTRO NO PAGAR'!T150)</f>
        <v/>
      </c>
    </row>
    <row r="151">
      <c r="A151" s="74">
        <f>IF('REGISTRO NO PAGAR'!B151="","",'REGISTRO NO PAGAR'!A151)</f>
        <v/>
      </c>
      <c r="B151" s="74">
        <f>IF('REGISTRO NO PAGAR'!B151="","",'REGISTRO NO PAGAR'!B151)</f>
        <v/>
      </c>
      <c r="C151" s="74">
        <f>IF('REGISTRO NO PAGAR'!B151="","",'REGISTRO NO PAGAR'!C151)</f>
        <v/>
      </c>
      <c r="D151" s="74">
        <f>IF('REGISTRO NO PAGAR'!B151="","",'REGISTRO NO PAGAR'!D151)</f>
        <v/>
      </c>
      <c r="E151" s="74">
        <f>IF('REGISTRO NO PAGAR'!B151="","",'REGISTRO NO PAGAR'!E151)</f>
        <v/>
      </c>
      <c r="F151" s="74">
        <f>IF('REGISTRO NO PAGAR'!B151="","",'REGISTRO NO PAGAR'!F151)</f>
        <v/>
      </c>
      <c r="G151" s="74">
        <f>IF('REGISTRO NO PAGAR'!B151="","",'REGISTRO NO PAGAR'!G151)</f>
        <v/>
      </c>
      <c r="H151" s="74">
        <f>IF('REGISTRO NO PAGAR'!B151="","",'REGISTRO NO PAGAR'!I151)</f>
        <v/>
      </c>
      <c r="I151" s="74">
        <f>IF('REGISTRO NO PAGAR'!B151="","",'REGISTRO NO PAGAR'!J151)</f>
        <v/>
      </c>
      <c r="J151" s="74">
        <f>IF('REGISTRO NO PAGAR'!B151="","",'REGISTRO NO PAGAR'!K151)</f>
        <v/>
      </c>
      <c r="K151" s="74">
        <f>IF('REGISTRO NO PAGAR'!B151="","",'REGISTRO NO PAGAR'!M151)</f>
        <v/>
      </c>
      <c r="L151" s="75">
        <f>IF('REGISTRO NO PAGAR'!B151="","",'REGISTRO NO PAGAR'!N151)</f>
        <v/>
      </c>
      <c r="M151" s="74">
        <f>IF('REGISTRO NO PAGAR'!B151="","",'REGISTRO NO PAGAR'!T151)</f>
        <v/>
      </c>
    </row>
    <row r="152">
      <c r="A152" s="74">
        <f>IF('REGISTRO NO PAGAR'!B152="","",'REGISTRO NO PAGAR'!A152)</f>
        <v/>
      </c>
      <c r="B152" s="74">
        <f>IF('REGISTRO NO PAGAR'!B152="","",'REGISTRO NO PAGAR'!B152)</f>
        <v/>
      </c>
      <c r="C152" s="74">
        <f>IF('REGISTRO NO PAGAR'!B152="","",'REGISTRO NO PAGAR'!C152)</f>
        <v/>
      </c>
      <c r="D152" s="74">
        <f>IF('REGISTRO NO PAGAR'!B152="","",'REGISTRO NO PAGAR'!D152)</f>
        <v/>
      </c>
      <c r="E152" s="74">
        <f>IF('REGISTRO NO PAGAR'!B152="","",'REGISTRO NO PAGAR'!E152)</f>
        <v/>
      </c>
      <c r="F152" s="74">
        <f>IF('REGISTRO NO PAGAR'!B152="","",'REGISTRO NO PAGAR'!F152)</f>
        <v/>
      </c>
      <c r="G152" s="74">
        <f>IF('REGISTRO NO PAGAR'!B152="","",'REGISTRO NO PAGAR'!G152)</f>
        <v/>
      </c>
      <c r="H152" s="74">
        <f>IF('REGISTRO NO PAGAR'!B152="","",'REGISTRO NO PAGAR'!I152)</f>
        <v/>
      </c>
      <c r="I152" s="74">
        <f>IF('REGISTRO NO PAGAR'!B152="","",'REGISTRO NO PAGAR'!J152)</f>
        <v/>
      </c>
      <c r="J152" s="74">
        <f>IF('REGISTRO NO PAGAR'!B152="","",'REGISTRO NO PAGAR'!K152)</f>
        <v/>
      </c>
      <c r="K152" s="74">
        <f>IF('REGISTRO NO PAGAR'!B152="","",'REGISTRO NO PAGAR'!M152)</f>
        <v/>
      </c>
      <c r="L152" s="75">
        <f>IF('REGISTRO NO PAGAR'!B152="","",'REGISTRO NO PAGAR'!N152)</f>
        <v/>
      </c>
      <c r="M152" s="74">
        <f>IF('REGISTRO NO PAGAR'!B152="","",'REGISTRO NO PAGAR'!T152)</f>
        <v/>
      </c>
    </row>
    <row r="153">
      <c r="A153" s="74">
        <f>IF('REGISTRO NO PAGAR'!B153="","",'REGISTRO NO PAGAR'!A153)</f>
        <v/>
      </c>
      <c r="B153" s="74">
        <f>IF('REGISTRO NO PAGAR'!B153="","",'REGISTRO NO PAGAR'!B153)</f>
        <v/>
      </c>
      <c r="C153" s="74">
        <f>IF('REGISTRO NO PAGAR'!B153="","",'REGISTRO NO PAGAR'!C153)</f>
        <v/>
      </c>
      <c r="D153" s="74">
        <f>IF('REGISTRO NO PAGAR'!B153="","",'REGISTRO NO PAGAR'!D153)</f>
        <v/>
      </c>
      <c r="E153" s="74">
        <f>IF('REGISTRO NO PAGAR'!B153="","",'REGISTRO NO PAGAR'!E153)</f>
        <v/>
      </c>
      <c r="F153" s="74">
        <f>IF('REGISTRO NO PAGAR'!B153="","",'REGISTRO NO PAGAR'!F153)</f>
        <v/>
      </c>
      <c r="G153" s="74">
        <f>IF('REGISTRO NO PAGAR'!B153="","",'REGISTRO NO PAGAR'!G153)</f>
        <v/>
      </c>
      <c r="H153" s="74">
        <f>IF('REGISTRO NO PAGAR'!B153="","",'REGISTRO NO PAGAR'!I153)</f>
        <v/>
      </c>
      <c r="I153" s="74">
        <f>IF('REGISTRO NO PAGAR'!B153="","",'REGISTRO NO PAGAR'!J153)</f>
        <v/>
      </c>
      <c r="J153" s="74">
        <f>IF('REGISTRO NO PAGAR'!B153="","",'REGISTRO NO PAGAR'!K153)</f>
        <v/>
      </c>
      <c r="K153" s="74">
        <f>IF('REGISTRO NO PAGAR'!B153="","",'REGISTRO NO PAGAR'!M153)</f>
        <v/>
      </c>
      <c r="L153" s="75">
        <f>IF('REGISTRO NO PAGAR'!B153="","",'REGISTRO NO PAGAR'!N153)</f>
        <v/>
      </c>
      <c r="M153" s="74">
        <f>IF('REGISTRO NO PAGAR'!B153="","",'REGISTRO NO PAGAR'!T153)</f>
        <v/>
      </c>
    </row>
    <row r="154">
      <c r="A154" s="74">
        <f>IF('REGISTRO NO PAGAR'!B154="","",'REGISTRO NO PAGAR'!A154)</f>
        <v/>
      </c>
      <c r="B154" s="74">
        <f>IF('REGISTRO NO PAGAR'!B154="","",'REGISTRO NO PAGAR'!B154)</f>
        <v/>
      </c>
      <c r="C154" s="74">
        <f>IF('REGISTRO NO PAGAR'!B154="","",'REGISTRO NO PAGAR'!C154)</f>
        <v/>
      </c>
      <c r="D154" s="74">
        <f>IF('REGISTRO NO PAGAR'!B154="","",'REGISTRO NO PAGAR'!D154)</f>
        <v/>
      </c>
      <c r="E154" s="74">
        <f>IF('REGISTRO NO PAGAR'!B154="","",'REGISTRO NO PAGAR'!E154)</f>
        <v/>
      </c>
      <c r="F154" s="74">
        <f>IF('REGISTRO NO PAGAR'!B154="","",'REGISTRO NO PAGAR'!F154)</f>
        <v/>
      </c>
      <c r="G154" s="74">
        <f>IF('REGISTRO NO PAGAR'!B154="","",'REGISTRO NO PAGAR'!G154)</f>
        <v/>
      </c>
      <c r="H154" s="74">
        <f>IF('REGISTRO NO PAGAR'!B154="","",'REGISTRO NO PAGAR'!I154)</f>
        <v/>
      </c>
      <c r="I154" s="74">
        <f>IF('REGISTRO NO PAGAR'!B154="","",'REGISTRO NO PAGAR'!J154)</f>
        <v/>
      </c>
      <c r="J154" s="74">
        <f>IF('REGISTRO NO PAGAR'!B154="","",'REGISTRO NO PAGAR'!K154)</f>
        <v/>
      </c>
      <c r="K154" s="74">
        <f>IF('REGISTRO NO PAGAR'!B154="","",'REGISTRO NO PAGAR'!M154)</f>
        <v/>
      </c>
      <c r="L154" s="75">
        <f>IF('REGISTRO NO PAGAR'!B154="","",'REGISTRO NO PAGAR'!N154)</f>
        <v/>
      </c>
      <c r="M154" s="74">
        <f>IF('REGISTRO NO PAGAR'!B154="","",'REGISTRO NO PAGAR'!T154)</f>
        <v/>
      </c>
    </row>
    <row r="155">
      <c r="A155" s="74">
        <f>IF('REGISTRO NO PAGAR'!B155="","",'REGISTRO NO PAGAR'!A155)</f>
        <v/>
      </c>
      <c r="B155" s="74">
        <f>IF('REGISTRO NO PAGAR'!B155="","",'REGISTRO NO PAGAR'!B155)</f>
        <v/>
      </c>
      <c r="C155" s="74">
        <f>IF('REGISTRO NO PAGAR'!B155="","",'REGISTRO NO PAGAR'!C155)</f>
        <v/>
      </c>
      <c r="D155" s="74">
        <f>IF('REGISTRO NO PAGAR'!B155="","",'REGISTRO NO PAGAR'!D155)</f>
        <v/>
      </c>
      <c r="E155" s="74">
        <f>IF('REGISTRO NO PAGAR'!B155="","",'REGISTRO NO PAGAR'!E155)</f>
        <v/>
      </c>
      <c r="F155" s="74">
        <f>IF('REGISTRO NO PAGAR'!B155="","",'REGISTRO NO PAGAR'!F155)</f>
        <v/>
      </c>
      <c r="G155" s="74">
        <f>IF('REGISTRO NO PAGAR'!B155="","",'REGISTRO NO PAGAR'!G155)</f>
        <v/>
      </c>
      <c r="H155" s="74">
        <f>IF('REGISTRO NO PAGAR'!B155="","",'REGISTRO NO PAGAR'!I155)</f>
        <v/>
      </c>
      <c r="I155" s="74">
        <f>IF('REGISTRO NO PAGAR'!B155="","",'REGISTRO NO PAGAR'!J155)</f>
        <v/>
      </c>
      <c r="J155" s="74">
        <f>IF('REGISTRO NO PAGAR'!B155="","",'REGISTRO NO PAGAR'!K155)</f>
        <v/>
      </c>
      <c r="K155" s="74">
        <f>IF('REGISTRO NO PAGAR'!B155="","",'REGISTRO NO PAGAR'!M155)</f>
        <v/>
      </c>
      <c r="L155" s="75">
        <f>IF('REGISTRO NO PAGAR'!B155="","",'REGISTRO NO PAGAR'!N155)</f>
        <v/>
      </c>
      <c r="M155" s="74">
        <f>IF('REGISTRO NO PAGAR'!B155="","",'REGISTRO NO PAGAR'!T155)</f>
        <v/>
      </c>
    </row>
    <row r="156">
      <c r="A156" s="74">
        <f>IF('REGISTRO NO PAGAR'!B156="","",'REGISTRO NO PAGAR'!A156)</f>
        <v/>
      </c>
      <c r="B156" s="74">
        <f>IF('REGISTRO NO PAGAR'!B156="","",'REGISTRO NO PAGAR'!B156)</f>
        <v/>
      </c>
      <c r="C156" s="74">
        <f>IF('REGISTRO NO PAGAR'!B156="","",'REGISTRO NO PAGAR'!C156)</f>
        <v/>
      </c>
      <c r="D156" s="74">
        <f>IF('REGISTRO NO PAGAR'!B156="","",'REGISTRO NO PAGAR'!D156)</f>
        <v/>
      </c>
      <c r="E156" s="74">
        <f>IF('REGISTRO NO PAGAR'!B156="","",'REGISTRO NO PAGAR'!E156)</f>
        <v/>
      </c>
      <c r="F156" s="74">
        <f>IF('REGISTRO NO PAGAR'!B156="","",'REGISTRO NO PAGAR'!F156)</f>
        <v/>
      </c>
      <c r="G156" s="74">
        <f>IF('REGISTRO NO PAGAR'!B156="","",'REGISTRO NO PAGAR'!G156)</f>
        <v/>
      </c>
      <c r="H156" s="74">
        <f>IF('REGISTRO NO PAGAR'!B156="","",'REGISTRO NO PAGAR'!I156)</f>
        <v/>
      </c>
      <c r="I156" s="74">
        <f>IF('REGISTRO NO PAGAR'!B156="","",'REGISTRO NO PAGAR'!J156)</f>
        <v/>
      </c>
      <c r="J156" s="74">
        <f>IF('REGISTRO NO PAGAR'!B156="","",'REGISTRO NO PAGAR'!K156)</f>
        <v/>
      </c>
      <c r="K156" s="74">
        <f>IF('REGISTRO NO PAGAR'!B156="","",'REGISTRO NO PAGAR'!M156)</f>
        <v/>
      </c>
      <c r="L156" s="75">
        <f>IF('REGISTRO NO PAGAR'!B156="","",'REGISTRO NO PAGAR'!N156)</f>
        <v/>
      </c>
      <c r="M156" s="74">
        <f>IF('REGISTRO NO PAGAR'!B156="","",'REGISTRO NO PAGAR'!T156)</f>
        <v/>
      </c>
    </row>
    <row r="157">
      <c r="A157" s="74">
        <f>IF('REGISTRO NO PAGAR'!B157="","",'REGISTRO NO PAGAR'!A157)</f>
        <v/>
      </c>
      <c r="B157" s="74">
        <f>IF('REGISTRO NO PAGAR'!B157="","",'REGISTRO NO PAGAR'!B157)</f>
        <v/>
      </c>
      <c r="C157" s="74">
        <f>IF('REGISTRO NO PAGAR'!B157="","",'REGISTRO NO PAGAR'!C157)</f>
        <v/>
      </c>
      <c r="D157" s="74">
        <f>IF('REGISTRO NO PAGAR'!B157="","",'REGISTRO NO PAGAR'!D157)</f>
        <v/>
      </c>
      <c r="E157" s="74">
        <f>IF('REGISTRO NO PAGAR'!B157="","",'REGISTRO NO PAGAR'!E157)</f>
        <v/>
      </c>
      <c r="F157" s="74">
        <f>IF('REGISTRO NO PAGAR'!B157="","",'REGISTRO NO PAGAR'!F157)</f>
        <v/>
      </c>
      <c r="G157" s="74">
        <f>IF('REGISTRO NO PAGAR'!B157="","",'REGISTRO NO PAGAR'!G157)</f>
        <v/>
      </c>
      <c r="H157" s="74">
        <f>IF('REGISTRO NO PAGAR'!B157="","",'REGISTRO NO PAGAR'!I157)</f>
        <v/>
      </c>
      <c r="I157" s="74">
        <f>IF('REGISTRO NO PAGAR'!B157="","",'REGISTRO NO PAGAR'!J157)</f>
        <v/>
      </c>
      <c r="J157" s="74">
        <f>IF('REGISTRO NO PAGAR'!B157="","",'REGISTRO NO PAGAR'!K157)</f>
        <v/>
      </c>
      <c r="K157" s="74">
        <f>IF('REGISTRO NO PAGAR'!B157="","",'REGISTRO NO PAGAR'!M157)</f>
        <v/>
      </c>
      <c r="L157" s="75">
        <f>IF('REGISTRO NO PAGAR'!B157="","",'REGISTRO NO PAGAR'!N157)</f>
        <v/>
      </c>
      <c r="M157" s="74">
        <f>IF('REGISTRO NO PAGAR'!B157="","",'REGISTRO NO PAGAR'!T157)</f>
        <v/>
      </c>
    </row>
    <row r="158">
      <c r="A158" s="74">
        <f>IF('REGISTRO NO PAGAR'!B158="","",'REGISTRO NO PAGAR'!A158)</f>
        <v/>
      </c>
      <c r="B158" s="74">
        <f>IF('REGISTRO NO PAGAR'!B158="","",'REGISTRO NO PAGAR'!B158)</f>
        <v/>
      </c>
      <c r="C158" s="74">
        <f>IF('REGISTRO NO PAGAR'!B158="","",'REGISTRO NO PAGAR'!C158)</f>
        <v/>
      </c>
      <c r="D158" s="74">
        <f>IF('REGISTRO NO PAGAR'!B158="","",'REGISTRO NO PAGAR'!D158)</f>
        <v/>
      </c>
      <c r="E158" s="74">
        <f>IF('REGISTRO NO PAGAR'!B158="","",'REGISTRO NO PAGAR'!E158)</f>
        <v/>
      </c>
      <c r="F158" s="74">
        <f>IF('REGISTRO NO PAGAR'!B158="","",'REGISTRO NO PAGAR'!F158)</f>
        <v/>
      </c>
      <c r="G158" s="74">
        <f>IF('REGISTRO NO PAGAR'!B158="","",'REGISTRO NO PAGAR'!G158)</f>
        <v/>
      </c>
      <c r="H158" s="74">
        <f>IF('REGISTRO NO PAGAR'!B158="","",'REGISTRO NO PAGAR'!I158)</f>
        <v/>
      </c>
      <c r="I158" s="74">
        <f>IF('REGISTRO NO PAGAR'!B158="","",'REGISTRO NO PAGAR'!J158)</f>
        <v/>
      </c>
      <c r="J158" s="74">
        <f>IF('REGISTRO NO PAGAR'!B158="","",'REGISTRO NO PAGAR'!K158)</f>
        <v/>
      </c>
      <c r="K158" s="74">
        <f>IF('REGISTRO NO PAGAR'!B158="","",'REGISTRO NO PAGAR'!M158)</f>
        <v/>
      </c>
      <c r="L158" s="75">
        <f>IF('REGISTRO NO PAGAR'!B158="","",'REGISTRO NO PAGAR'!N158)</f>
        <v/>
      </c>
      <c r="M158" s="74">
        <f>IF('REGISTRO NO PAGAR'!B158="","",'REGISTRO NO PAGAR'!T158)</f>
        <v/>
      </c>
    </row>
    <row r="159">
      <c r="A159" s="74">
        <f>IF('REGISTRO NO PAGAR'!B159="","",'REGISTRO NO PAGAR'!A159)</f>
        <v/>
      </c>
      <c r="B159" s="74">
        <f>IF('REGISTRO NO PAGAR'!B159="","",'REGISTRO NO PAGAR'!B159)</f>
        <v/>
      </c>
      <c r="C159" s="74">
        <f>IF('REGISTRO NO PAGAR'!B159="","",'REGISTRO NO PAGAR'!C159)</f>
        <v/>
      </c>
      <c r="D159" s="74">
        <f>IF('REGISTRO NO PAGAR'!B159="","",'REGISTRO NO PAGAR'!D159)</f>
        <v/>
      </c>
      <c r="E159" s="74">
        <f>IF('REGISTRO NO PAGAR'!B159="","",'REGISTRO NO PAGAR'!E159)</f>
        <v/>
      </c>
      <c r="F159" s="74">
        <f>IF('REGISTRO NO PAGAR'!B159="","",'REGISTRO NO PAGAR'!F159)</f>
        <v/>
      </c>
      <c r="G159" s="74">
        <f>IF('REGISTRO NO PAGAR'!B159="","",'REGISTRO NO PAGAR'!G159)</f>
        <v/>
      </c>
      <c r="H159" s="74">
        <f>IF('REGISTRO NO PAGAR'!B159="","",'REGISTRO NO PAGAR'!I159)</f>
        <v/>
      </c>
      <c r="I159" s="74">
        <f>IF('REGISTRO NO PAGAR'!B159="","",'REGISTRO NO PAGAR'!J159)</f>
        <v/>
      </c>
      <c r="J159" s="74">
        <f>IF('REGISTRO NO PAGAR'!B159="","",'REGISTRO NO PAGAR'!K159)</f>
        <v/>
      </c>
      <c r="K159" s="74">
        <f>IF('REGISTRO NO PAGAR'!B159="","",'REGISTRO NO PAGAR'!M159)</f>
        <v/>
      </c>
      <c r="L159" s="75">
        <f>IF('REGISTRO NO PAGAR'!B159="","",'REGISTRO NO PAGAR'!N159)</f>
        <v/>
      </c>
      <c r="M159" s="74">
        <f>IF('REGISTRO NO PAGAR'!B159="","",'REGISTRO NO PAGAR'!T159)</f>
        <v/>
      </c>
    </row>
    <row r="160">
      <c r="A160" s="74">
        <f>IF('REGISTRO NO PAGAR'!B160="","",'REGISTRO NO PAGAR'!A160)</f>
        <v/>
      </c>
      <c r="B160" s="74">
        <f>IF('REGISTRO NO PAGAR'!B160="","",'REGISTRO NO PAGAR'!B160)</f>
        <v/>
      </c>
      <c r="C160" s="74">
        <f>IF('REGISTRO NO PAGAR'!B160="","",'REGISTRO NO PAGAR'!C160)</f>
        <v/>
      </c>
      <c r="D160" s="74">
        <f>IF('REGISTRO NO PAGAR'!B160="","",'REGISTRO NO PAGAR'!D160)</f>
        <v/>
      </c>
      <c r="E160" s="74">
        <f>IF('REGISTRO NO PAGAR'!B160="","",'REGISTRO NO PAGAR'!E160)</f>
        <v/>
      </c>
      <c r="F160" s="74">
        <f>IF('REGISTRO NO PAGAR'!B160="","",'REGISTRO NO PAGAR'!F160)</f>
        <v/>
      </c>
      <c r="G160" s="74">
        <f>IF('REGISTRO NO PAGAR'!B160="","",'REGISTRO NO PAGAR'!G160)</f>
        <v/>
      </c>
      <c r="H160" s="74">
        <f>IF('REGISTRO NO PAGAR'!B160="","",'REGISTRO NO PAGAR'!I160)</f>
        <v/>
      </c>
      <c r="I160" s="74">
        <f>IF('REGISTRO NO PAGAR'!B160="","",'REGISTRO NO PAGAR'!J160)</f>
        <v/>
      </c>
      <c r="J160" s="74">
        <f>IF('REGISTRO NO PAGAR'!B160="","",'REGISTRO NO PAGAR'!K160)</f>
        <v/>
      </c>
      <c r="K160" s="74">
        <f>IF('REGISTRO NO PAGAR'!B160="","",'REGISTRO NO PAGAR'!M160)</f>
        <v/>
      </c>
      <c r="L160" s="75">
        <f>IF('REGISTRO NO PAGAR'!B160="","",'REGISTRO NO PAGAR'!N160)</f>
        <v/>
      </c>
      <c r="M160" s="74">
        <f>IF('REGISTRO NO PAGAR'!B160="","",'REGISTRO NO PAGAR'!T160)</f>
        <v/>
      </c>
    </row>
    <row r="161">
      <c r="A161" s="74">
        <f>IF('REGISTRO NO PAGAR'!B161="","",'REGISTRO NO PAGAR'!A161)</f>
        <v/>
      </c>
      <c r="B161" s="74">
        <f>IF('REGISTRO NO PAGAR'!B161="","",'REGISTRO NO PAGAR'!B161)</f>
        <v/>
      </c>
      <c r="C161" s="74">
        <f>IF('REGISTRO NO PAGAR'!B161="","",'REGISTRO NO PAGAR'!C161)</f>
        <v/>
      </c>
      <c r="D161" s="74">
        <f>IF('REGISTRO NO PAGAR'!B161="","",'REGISTRO NO PAGAR'!D161)</f>
        <v/>
      </c>
      <c r="E161" s="74">
        <f>IF('REGISTRO NO PAGAR'!B161="","",'REGISTRO NO PAGAR'!E161)</f>
        <v/>
      </c>
      <c r="F161" s="74">
        <f>IF('REGISTRO NO PAGAR'!B161="","",'REGISTRO NO PAGAR'!F161)</f>
        <v/>
      </c>
      <c r="G161" s="74">
        <f>IF('REGISTRO NO PAGAR'!B161="","",'REGISTRO NO PAGAR'!G161)</f>
        <v/>
      </c>
      <c r="H161" s="74">
        <f>IF('REGISTRO NO PAGAR'!B161="","",'REGISTRO NO PAGAR'!I161)</f>
        <v/>
      </c>
      <c r="I161" s="74">
        <f>IF('REGISTRO NO PAGAR'!B161="","",'REGISTRO NO PAGAR'!J161)</f>
        <v/>
      </c>
      <c r="J161" s="74">
        <f>IF('REGISTRO NO PAGAR'!B161="","",'REGISTRO NO PAGAR'!K161)</f>
        <v/>
      </c>
      <c r="K161" s="74">
        <f>IF('REGISTRO NO PAGAR'!B161="","",'REGISTRO NO PAGAR'!M161)</f>
        <v/>
      </c>
      <c r="L161" s="75">
        <f>IF('REGISTRO NO PAGAR'!B161="","",'REGISTRO NO PAGAR'!N161)</f>
        <v/>
      </c>
      <c r="M161" s="74">
        <f>IF('REGISTRO NO PAGAR'!B161="","",'REGISTRO NO PAGAR'!T161)</f>
        <v/>
      </c>
    </row>
    <row r="162">
      <c r="A162" s="74">
        <f>IF('REGISTRO NO PAGAR'!B162="","",'REGISTRO NO PAGAR'!A162)</f>
        <v/>
      </c>
      <c r="B162" s="74">
        <f>IF('REGISTRO NO PAGAR'!B162="","",'REGISTRO NO PAGAR'!B162)</f>
        <v/>
      </c>
      <c r="C162" s="74">
        <f>IF('REGISTRO NO PAGAR'!B162="","",'REGISTRO NO PAGAR'!C162)</f>
        <v/>
      </c>
      <c r="D162" s="74">
        <f>IF('REGISTRO NO PAGAR'!B162="","",'REGISTRO NO PAGAR'!D162)</f>
        <v/>
      </c>
      <c r="E162" s="74">
        <f>IF('REGISTRO NO PAGAR'!B162="","",'REGISTRO NO PAGAR'!E162)</f>
        <v/>
      </c>
      <c r="F162" s="74">
        <f>IF('REGISTRO NO PAGAR'!B162="","",'REGISTRO NO PAGAR'!F162)</f>
        <v/>
      </c>
      <c r="G162" s="74">
        <f>IF('REGISTRO NO PAGAR'!B162="","",'REGISTRO NO PAGAR'!G162)</f>
        <v/>
      </c>
      <c r="H162" s="74">
        <f>IF('REGISTRO NO PAGAR'!B162="","",'REGISTRO NO PAGAR'!I162)</f>
        <v/>
      </c>
      <c r="I162" s="74">
        <f>IF('REGISTRO NO PAGAR'!B162="","",'REGISTRO NO PAGAR'!J162)</f>
        <v/>
      </c>
      <c r="J162" s="74">
        <f>IF('REGISTRO NO PAGAR'!B162="","",'REGISTRO NO PAGAR'!K162)</f>
        <v/>
      </c>
      <c r="K162" s="74">
        <f>IF('REGISTRO NO PAGAR'!B162="","",'REGISTRO NO PAGAR'!M162)</f>
        <v/>
      </c>
      <c r="L162" s="75">
        <f>IF('REGISTRO NO PAGAR'!B162="","",'REGISTRO NO PAGAR'!N162)</f>
        <v/>
      </c>
      <c r="M162" s="74">
        <f>IF('REGISTRO NO PAGAR'!B162="","",'REGISTRO NO PAGAR'!T162)</f>
        <v/>
      </c>
    </row>
    <row r="163">
      <c r="A163" s="74">
        <f>IF('REGISTRO NO PAGAR'!B163="","",'REGISTRO NO PAGAR'!A163)</f>
        <v/>
      </c>
      <c r="B163" s="74">
        <f>IF('REGISTRO NO PAGAR'!B163="","",'REGISTRO NO PAGAR'!B163)</f>
        <v/>
      </c>
      <c r="C163" s="74">
        <f>IF('REGISTRO NO PAGAR'!B163="","",'REGISTRO NO PAGAR'!C163)</f>
        <v/>
      </c>
      <c r="D163" s="74">
        <f>IF('REGISTRO NO PAGAR'!B163="","",'REGISTRO NO PAGAR'!D163)</f>
        <v/>
      </c>
      <c r="E163" s="74">
        <f>IF('REGISTRO NO PAGAR'!B163="","",'REGISTRO NO PAGAR'!E163)</f>
        <v/>
      </c>
      <c r="F163" s="74">
        <f>IF('REGISTRO NO PAGAR'!B163="","",'REGISTRO NO PAGAR'!F163)</f>
        <v/>
      </c>
      <c r="G163" s="74">
        <f>IF('REGISTRO NO PAGAR'!B163="","",'REGISTRO NO PAGAR'!G163)</f>
        <v/>
      </c>
      <c r="H163" s="74">
        <f>IF('REGISTRO NO PAGAR'!B163="","",'REGISTRO NO PAGAR'!I163)</f>
        <v/>
      </c>
      <c r="I163" s="74">
        <f>IF('REGISTRO NO PAGAR'!B163="","",'REGISTRO NO PAGAR'!J163)</f>
        <v/>
      </c>
      <c r="J163" s="74">
        <f>IF('REGISTRO NO PAGAR'!B163="","",'REGISTRO NO PAGAR'!K163)</f>
        <v/>
      </c>
      <c r="K163" s="74">
        <f>IF('REGISTRO NO PAGAR'!B163="","",'REGISTRO NO PAGAR'!M163)</f>
        <v/>
      </c>
      <c r="L163" s="75">
        <f>IF('REGISTRO NO PAGAR'!B163="","",'REGISTRO NO PAGAR'!N163)</f>
        <v/>
      </c>
      <c r="M163" s="74">
        <f>IF('REGISTRO NO PAGAR'!B163="","",'REGISTRO NO PAGAR'!T163)</f>
        <v/>
      </c>
    </row>
    <row r="164">
      <c r="A164" s="74">
        <f>IF('REGISTRO NO PAGAR'!B164="","",'REGISTRO NO PAGAR'!A164)</f>
        <v/>
      </c>
      <c r="B164" s="74">
        <f>IF('REGISTRO NO PAGAR'!B164="","",'REGISTRO NO PAGAR'!B164)</f>
        <v/>
      </c>
      <c r="C164" s="74">
        <f>IF('REGISTRO NO PAGAR'!B164="","",'REGISTRO NO PAGAR'!C164)</f>
        <v/>
      </c>
      <c r="D164" s="74">
        <f>IF('REGISTRO NO PAGAR'!B164="","",'REGISTRO NO PAGAR'!D164)</f>
        <v/>
      </c>
      <c r="E164" s="74">
        <f>IF('REGISTRO NO PAGAR'!B164="","",'REGISTRO NO PAGAR'!E164)</f>
        <v/>
      </c>
      <c r="F164" s="74">
        <f>IF('REGISTRO NO PAGAR'!B164="","",'REGISTRO NO PAGAR'!F164)</f>
        <v/>
      </c>
      <c r="G164" s="74">
        <f>IF('REGISTRO NO PAGAR'!B164="","",'REGISTRO NO PAGAR'!G164)</f>
        <v/>
      </c>
      <c r="H164" s="74">
        <f>IF('REGISTRO NO PAGAR'!B164="","",'REGISTRO NO PAGAR'!I164)</f>
        <v/>
      </c>
      <c r="I164" s="74">
        <f>IF('REGISTRO NO PAGAR'!B164="","",'REGISTRO NO PAGAR'!J164)</f>
        <v/>
      </c>
      <c r="J164" s="74">
        <f>IF('REGISTRO NO PAGAR'!B164="","",'REGISTRO NO PAGAR'!K164)</f>
        <v/>
      </c>
      <c r="K164" s="74">
        <f>IF('REGISTRO NO PAGAR'!B164="","",'REGISTRO NO PAGAR'!M164)</f>
        <v/>
      </c>
      <c r="L164" s="75">
        <f>IF('REGISTRO NO PAGAR'!B164="","",'REGISTRO NO PAGAR'!N164)</f>
        <v/>
      </c>
      <c r="M164" s="74">
        <f>IF('REGISTRO NO PAGAR'!B164="","",'REGISTRO NO PAGAR'!T164)</f>
        <v/>
      </c>
    </row>
    <row r="165">
      <c r="A165" s="74">
        <f>IF('REGISTRO NO PAGAR'!B165="","",'REGISTRO NO PAGAR'!A165)</f>
        <v/>
      </c>
      <c r="B165" s="74">
        <f>IF('REGISTRO NO PAGAR'!B165="","",'REGISTRO NO PAGAR'!B165)</f>
        <v/>
      </c>
      <c r="C165" s="74">
        <f>IF('REGISTRO NO PAGAR'!B165="","",'REGISTRO NO PAGAR'!C165)</f>
        <v/>
      </c>
      <c r="D165" s="74">
        <f>IF('REGISTRO NO PAGAR'!B165="","",'REGISTRO NO PAGAR'!D165)</f>
        <v/>
      </c>
      <c r="E165" s="74">
        <f>IF('REGISTRO NO PAGAR'!B165="","",'REGISTRO NO PAGAR'!E165)</f>
        <v/>
      </c>
      <c r="F165" s="74">
        <f>IF('REGISTRO NO PAGAR'!B165="","",'REGISTRO NO PAGAR'!F165)</f>
        <v/>
      </c>
      <c r="G165" s="74">
        <f>IF('REGISTRO NO PAGAR'!B165="","",'REGISTRO NO PAGAR'!G165)</f>
        <v/>
      </c>
      <c r="H165" s="74">
        <f>IF('REGISTRO NO PAGAR'!B165="","",'REGISTRO NO PAGAR'!I165)</f>
        <v/>
      </c>
      <c r="I165" s="74">
        <f>IF('REGISTRO NO PAGAR'!B165="","",'REGISTRO NO PAGAR'!J165)</f>
        <v/>
      </c>
      <c r="J165" s="74">
        <f>IF('REGISTRO NO PAGAR'!B165="","",'REGISTRO NO PAGAR'!K165)</f>
        <v/>
      </c>
      <c r="K165" s="74">
        <f>IF('REGISTRO NO PAGAR'!B165="","",'REGISTRO NO PAGAR'!M165)</f>
        <v/>
      </c>
      <c r="L165" s="75">
        <f>IF('REGISTRO NO PAGAR'!B165="","",'REGISTRO NO PAGAR'!N165)</f>
        <v/>
      </c>
      <c r="M165" s="74">
        <f>IF('REGISTRO NO PAGAR'!B165="","",'REGISTRO NO PAGAR'!T165)</f>
        <v/>
      </c>
    </row>
    <row r="166">
      <c r="A166" s="74">
        <f>IF('REGISTRO NO PAGAR'!B166="","",'REGISTRO NO PAGAR'!A166)</f>
        <v/>
      </c>
      <c r="B166" s="74">
        <f>IF('REGISTRO NO PAGAR'!B166="","",'REGISTRO NO PAGAR'!B166)</f>
        <v/>
      </c>
      <c r="C166" s="74">
        <f>IF('REGISTRO NO PAGAR'!B166="","",'REGISTRO NO PAGAR'!C166)</f>
        <v/>
      </c>
      <c r="D166" s="74">
        <f>IF('REGISTRO NO PAGAR'!B166="","",'REGISTRO NO PAGAR'!D166)</f>
        <v/>
      </c>
      <c r="E166" s="74">
        <f>IF('REGISTRO NO PAGAR'!B166="","",'REGISTRO NO PAGAR'!E166)</f>
        <v/>
      </c>
      <c r="F166" s="74">
        <f>IF('REGISTRO NO PAGAR'!B166="","",'REGISTRO NO PAGAR'!F166)</f>
        <v/>
      </c>
      <c r="G166" s="74">
        <f>IF('REGISTRO NO PAGAR'!B166="","",'REGISTRO NO PAGAR'!G166)</f>
        <v/>
      </c>
      <c r="H166" s="74">
        <f>IF('REGISTRO NO PAGAR'!B166="","",'REGISTRO NO PAGAR'!I166)</f>
        <v/>
      </c>
      <c r="I166" s="74">
        <f>IF('REGISTRO NO PAGAR'!B166="","",'REGISTRO NO PAGAR'!J166)</f>
        <v/>
      </c>
      <c r="J166" s="74">
        <f>IF('REGISTRO NO PAGAR'!B166="","",'REGISTRO NO PAGAR'!K166)</f>
        <v/>
      </c>
      <c r="K166" s="74">
        <f>IF('REGISTRO NO PAGAR'!B166="","",'REGISTRO NO PAGAR'!M166)</f>
        <v/>
      </c>
      <c r="L166" s="75">
        <f>IF('REGISTRO NO PAGAR'!B166="","",'REGISTRO NO PAGAR'!N166)</f>
        <v/>
      </c>
      <c r="M166" s="74">
        <f>IF('REGISTRO NO PAGAR'!B166="","",'REGISTRO NO PAGAR'!T166)</f>
        <v/>
      </c>
    </row>
    <row r="167">
      <c r="A167" s="74">
        <f>IF('REGISTRO NO PAGAR'!B167="","",'REGISTRO NO PAGAR'!A167)</f>
        <v/>
      </c>
      <c r="B167" s="74">
        <f>IF('REGISTRO NO PAGAR'!B167="","",'REGISTRO NO PAGAR'!B167)</f>
        <v/>
      </c>
      <c r="C167" s="74">
        <f>IF('REGISTRO NO PAGAR'!B167="","",'REGISTRO NO PAGAR'!C167)</f>
        <v/>
      </c>
      <c r="D167" s="74">
        <f>IF('REGISTRO NO PAGAR'!B167="","",'REGISTRO NO PAGAR'!D167)</f>
        <v/>
      </c>
      <c r="E167" s="74">
        <f>IF('REGISTRO NO PAGAR'!B167="","",'REGISTRO NO PAGAR'!E167)</f>
        <v/>
      </c>
      <c r="F167" s="74">
        <f>IF('REGISTRO NO PAGAR'!B167="","",'REGISTRO NO PAGAR'!F167)</f>
        <v/>
      </c>
      <c r="G167" s="74">
        <f>IF('REGISTRO NO PAGAR'!B167="","",'REGISTRO NO PAGAR'!G167)</f>
        <v/>
      </c>
      <c r="H167" s="74">
        <f>IF('REGISTRO NO PAGAR'!B167="","",'REGISTRO NO PAGAR'!I167)</f>
        <v/>
      </c>
      <c r="I167" s="74">
        <f>IF('REGISTRO NO PAGAR'!B167="","",'REGISTRO NO PAGAR'!J167)</f>
        <v/>
      </c>
      <c r="J167" s="74">
        <f>IF('REGISTRO NO PAGAR'!B167="","",'REGISTRO NO PAGAR'!K167)</f>
        <v/>
      </c>
      <c r="K167" s="74">
        <f>IF('REGISTRO NO PAGAR'!B167="","",'REGISTRO NO PAGAR'!M167)</f>
        <v/>
      </c>
      <c r="L167" s="75">
        <f>IF('REGISTRO NO PAGAR'!B167="","",'REGISTRO NO PAGAR'!N167)</f>
        <v/>
      </c>
      <c r="M167" s="74">
        <f>IF('REGISTRO NO PAGAR'!B167="","",'REGISTRO NO PAGAR'!T167)</f>
        <v/>
      </c>
    </row>
    <row r="168">
      <c r="A168" s="74">
        <f>IF('REGISTRO NO PAGAR'!B168="","",'REGISTRO NO PAGAR'!A168)</f>
        <v/>
      </c>
      <c r="B168" s="74">
        <f>IF('REGISTRO NO PAGAR'!B168="","",'REGISTRO NO PAGAR'!B168)</f>
        <v/>
      </c>
      <c r="C168" s="74">
        <f>IF('REGISTRO NO PAGAR'!B168="","",'REGISTRO NO PAGAR'!C168)</f>
        <v/>
      </c>
      <c r="D168" s="74">
        <f>IF('REGISTRO NO PAGAR'!B168="","",'REGISTRO NO PAGAR'!D168)</f>
        <v/>
      </c>
      <c r="E168" s="74">
        <f>IF('REGISTRO NO PAGAR'!B168="","",'REGISTRO NO PAGAR'!E168)</f>
        <v/>
      </c>
      <c r="F168" s="74">
        <f>IF('REGISTRO NO PAGAR'!B168="","",'REGISTRO NO PAGAR'!F168)</f>
        <v/>
      </c>
      <c r="G168" s="74">
        <f>IF('REGISTRO NO PAGAR'!B168="","",'REGISTRO NO PAGAR'!G168)</f>
        <v/>
      </c>
      <c r="H168" s="74">
        <f>IF('REGISTRO NO PAGAR'!B168="","",'REGISTRO NO PAGAR'!I168)</f>
        <v/>
      </c>
      <c r="I168" s="74">
        <f>IF('REGISTRO NO PAGAR'!B168="","",'REGISTRO NO PAGAR'!J168)</f>
        <v/>
      </c>
      <c r="J168" s="74">
        <f>IF('REGISTRO NO PAGAR'!B168="","",'REGISTRO NO PAGAR'!K168)</f>
        <v/>
      </c>
      <c r="K168" s="74">
        <f>IF('REGISTRO NO PAGAR'!B168="","",'REGISTRO NO PAGAR'!M168)</f>
        <v/>
      </c>
      <c r="L168" s="75">
        <f>IF('REGISTRO NO PAGAR'!B168="","",'REGISTRO NO PAGAR'!N168)</f>
        <v/>
      </c>
      <c r="M168" s="74">
        <f>IF('REGISTRO NO PAGAR'!B168="","",'REGISTRO NO PAGAR'!T168)</f>
        <v/>
      </c>
    </row>
    <row r="169">
      <c r="A169" s="74">
        <f>IF('REGISTRO NO PAGAR'!B169="","",'REGISTRO NO PAGAR'!A169)</f>
        <v/>
      </c>
      <c r="B169" s="74">
        <f>IF('REGISTRO NO PAGAR'!B169="","",'REGISTRO NO PAGAR'!B169)</f>
        <v/>
      </c>
      <c r="C169" s="74">
        <f>IF('REGISTRO NO PAGAR'!B169="","",'REGISTRO NO PAGAR'!C169)</f>
        <v/>
      </c>
      <c r="D169" s="74">
        <f>IF('REGISTRO NO PAGAR'!B169="","",'REGISTRO NO PAGAR'!D169)</f>
        <v/>
      </c>
      <c r="E169" s="74">
        <f>IF('REGISTRO NO PAGAR'!B169="","",'REGISTRO NO PAGAR'!E169)</f>
        <v/>
      </c>
      <c r="F169" s="74">
        <f>IF('REGISTRO NO PAGAR'!B169="","",'REGISTRO NO PAGAR'!F169)</f>
        <v/>
      </c>
      <c r="G169" s="74">
        <f>IF('REGISTRO NO PAGAR'!B169="","",'REGISTRO NO PAGAR'!G169)</f>
        <v/>
      </c>
      <c r="H169" s="74">
        <f>IF('REGISTRO NO PAGAR'!B169="","",'REGISTRO NO PAGAR'!I169)</f>
        <v/>
      </c>
      <c r="I169" s="74">
        <f>IF('REGISTRO NO PAGAR'!B169="","",'REGISTRO NO PAGAR'!J169)</f>
        <v/>
      </c>
      <c r="J169" s="74">
        <f>IF('REGISTRO NO PAGAR'!B169="","",'REGISTRO NO PAGAR'!K169)</f>
        <v/>
      </c>
      <c r="K169" s="74">
        <f>IF('REGISTRO NO PAGAR'!B169="","",'REGISTRO NO PAGAR'!M169)</f>
        <v/>
      </c>
      <c r="L169" s="75">
        <f>IF('REGISTRO NO PAGAR'!B169="","",'REGISTRO NO PAGAR'!N169)</f>
        <v/>
      </c>
      <c r="M169" s="74">
        <f>IF('REGISTRO NO PAGAR'!B169="","",'REGISTRO NO PAGAR'!T169)</f>
        <v/>
      </c>
    </row>
    <row r="170">
      <c r="A170" s="74">
        <f>IF('REGISTRO NO PAGAR'!B170="","",'REGISTRO NO PAGAR'!A170)</f>
        <v/>
      </c>
      <c r="B170" s="74">
        <f>IF('REGISTRO NO PAGAR'!B170="","",'REGISTRO NO PAGAR'!B170)</f>
        <v/>
      </c>
      <c r="C170" s="74">
        <f>IF('REGISTRO NO PAGAR'!B170="","",'REGISTRO NO PAGAR'!C170)</f>
        <v/>
      </c>
      <c r="D170" s="74">
        <f>IF('REGISTRO NO PAGAR'!B170="","",'REGISTRO NO PAGAR'!D170)</f>
        <v/>
      </c>
      <c r="E170" s="74">
        <f>IF('REGISTRO NO PAGAR'!B170="","",'REGISTRO NO PAGAR'!E170)</f>
        <v/>
      </c>
      <c r="F170" s="74">
        <f>IF('REGISTRO NO PAGAR'!B170="","",'REGISTRO NO PAGAR'!F170)</f>
        <v/>
      </c>
      <c r="G170" s="74">
        <f>IF('REGISTRO NO PAGAR'!B170="","",'REGISTRO NO PAGAR'!G170)</f>
        <v/>
      </c>
      <c r="H170" s="74">
        <f>IF('REGISTRO NO PAGAR'!B170="","",'REGISTRO NO PAGAR'!I170)</f>
        <v/>
      </c>
      <c r="I170" s="74">
        <f>IF('REGISTRO NO PAGAR'!B170="","",'REGISTRO NO PAGAR'!J170)</f>
        <v/>
      </c>
      <c r="J170" s="74">
        <f>IF('REGISTRO NO PAGAR'!B170="","",'REGISTRO NO PAGAR'!K170)</f>
        <v/>
      </c>
      <c r="K170" s="74">
        <f>IF('REGISTRO NO PAGAR'!B170="","",'REGISTRO NO PAGAR'!M170)</f>
        <v/>
      </c>
      <c r="L170" s="75">
        <f>IF('REGISTRO NO PAGAR'!B170="","",'REGISTRO NO PAGAR'!N170)</f>
        <v/>
      </c>
      <c r="M170" s="74">
        <f>IF('REGISTRO NO PAGAR'!B170="","",'REGISTRO NO PAGAR'!T170)</f>
        <v/>
      </c>
    </row>
    <row r="171">
      <c r="A171" s="74">
        <f>IF('REGISTRO NO PAGAR'!B171="","",'REGISTRO NO PAGAR'!A171)</f>
        <v/>
      </c>
      <c r="B171" s="74">
        <f>IF('REGISTRO NO PAGAR'!B171="","",'REGISTRO NO PAGAR'!B171)</f>
        <v/>
      </c>
      <c r="C171" s="74">
        <f>IF('REGISTRO NO PAGAR'!B171="","",'REGISTRO NO PAGAR'!C171)</f>
        <v/>
      </c>
      <c r="D171" s="74">
        <f>IF('REGISTRO NO PAGAR'!B171="","",'REGISTRO NO PAGAR'!D171)</f>
        <v/>
      </c>
      <c r="E171" s="74">
        <f>IF('REGISTRO NO PAGAR'!B171="","",'REGISTRO NO PAGAR'!E171)</f>
        <v/>
      </c>
      <c r="F171" s="74">
        <f>IF('REGISTRO NO PAGAR'!B171="","",'REGISTRO NO PAGAR'!F171)</f>
        <v/>
      </c>
      <c r="G171" s="74">
        <f>IF('REGISTRO NO PAGAR'!B171="","",'REGISTRO NO PAGAR'!G171)</f>
        <v/>
      </c>
      <c r="H171" s="74">
        <f>IF('REGISTRO NO PAGAR'!B171="","",'REGISTRO NO PAGAR'!I171)</f>
        <v/>
      </c>
      <c r="I171" s="74">
        <f>IF('REGISTRO NO PAGAR'!B171="","",'REGISTRO NO PAGAR'!J171)</f>
        <v/>
      </c>
      <c r="J171" s="74">
        <f>IF('REGISTRO NO PAGAR'!B171="","",'REGISTRO NO PAGAR'!K171)</f>
        <v/>
      </c>
      <c r="K171" s="74">
        <f>IF('REGISTRO NO PAGAR'!B171="","",'REGISTRO NO PAGAR'!M171)</f>
        <v/>
      </c>
      <c r="L171" s="75">
        <f>IF('REGISTRO NO PAGAR'!B171="","",'REGISTRO NO PAGAR'!N171)</f>
        <v/>
      </c>
      <c r="M171" s="74">
        <f>IF('REGISTRO NO PAGAR'!B171="","",'REGISTRO NO PAGAR'!T171)</f>
        <v/>
      </c>
    </row>
    <row r="172">
      <c r="A172" s="74">
        <f>IF('REGISTRO NO PAGAR'!B172="","",'REGISTRO NO PAGAR'!A172)</f>
        <v/>
      </c>
      <c r="B172" s="74">
        <f>IF('REGISTRO NO PAGAR'!B172="","",'REGISTRO NO PAGAR'!B172)</f>
        <v/>
      </c>
      <c r="C172" s="74">
        <f>IF('REGISTRO NO PAGAR'!B172="","",'REGISTRO NO PAGAR'!C172)</f>
        <v/>
      </c>
      <c r="D172" s="74">
        <f>IF('REGISTRO NO PAGAR'!B172="","",'REGISTRO NO PAGAR'!D172)</f>
        <v/>
      </c>
      <c r="E172" s="74">
        <f>IF('REGISTRO NO PAGAR'!B172="","",'REGISTRO NO PAGAR'!E172)</f>
        <v/>
      </c>
      <c r="F172" s="74">
        <f>IF('REGISTRO NO PAGAR'!B172="","",'REGISTRO NO PAGAR'!F172)</f>
        <v/>
      </c>
      <c r="G172" s="74">
        <f>IF('REGISTRO NO PAGAR'!B172="","",'REGISTRO NO PAGAR'!G172)</f>
        <v/>
      </c>
      <c r="H172" s="74">
        <f>IF('REGISTRO NO PAGAR'!B172="","",'REGISTRO NO PAGAR'!I172)</f>
        <v/>
      </c>
      <c r="I172" s="74">
        <f>IF('REGISTRO NO PAGAR'!B172="","",'REGISTRO NO PAGAR'!J172)</f>
        <v/>
      </c>
      <c r="J172" s="74">
        <f>IF('REGISTRO NO PAGAR'!B172="","",'REGISTRO NO PAGAR'!K172)</f>
        <v/>
      </c>
      <c r="K172" s="74">
        <f>IF('REGISTRO NO PAGAR'!B172="","",'REGISTRO NO PAGAR'!M172)</f>
        <v/>
      </c>
      <c r="L172" s="75">
        <f>IF('REGISTRO NO PAGAR'!B172="","",'REGISTRO NO PAGAR'!N172)</f>
        <v/>
      </c>
      <c r="M172" s="74">
        <f>IF('REGISTRO NO PAGAR'!B172="","",'REGISTRO NO PAGAR'!T172)</f>
        <v/>
      </c>
    </row>
    <row r="173">
      <c r="A173" s="74">
        <f>IF('REGISTRO NO PAGAR'!B173="","",'REGISTRO NO PAGAR'!A173)</f>
        <v/>
      </c>
      <c r="B173" s="74">
        <f>IF('REGISTRO NO PAGAR'!B173="","",'REGISTRO NO PAGAR'!B173)</f>
        <v/>
      </c>
      <c r="C173" s="74">
        <f>IF('REGISTRO NO PAGAR'!B173="","",'REGISTRO NO PAGAR'!C173)</f>
        <v/>
      </c>
      <c r="D173" s="74">
        <f>IF('REGISTRO NO PAGAR'!B173="","",'REGISTRO NO PAGAR'!D173)</f>
        <v/>
      </c>
      <c r="E173" s="74">
        <f>IF('REGISTRO NO PAGAR'!B173="","",'REGISTRO NO PAGAR'!E173)</f>
        <v/>
      </c>
      <c r="F173" s="74">
        <f>IF('REGISTRO NO PAGAR'!B173="","",'REGISTRO NO PAGAR'!F173)</f>
        <v/>
      </c>
      <c r="G173" s="74">
        <f>IF('REGISTRO NO PAGAR'!B173="","",'REGISTRO NO PAGAR'!G173)</f>
        <v/>
      </c>
      <c r="H173" s="74">
        <f>IF('REGISTRO NO PAGAR'!B173="","",'REGISTRO NO PAGAR'!I173)</f>
        <v/>
      </c>
      <c r="I173" s="74">
        <f>IF('REGISTRO NO PAGAR'!B173="","",'REGISTRO NO PAGAR'!J173)</f>
        <v/>
      </c>
      <c r="J173" s="74">
        <f>IF('REGISTRO NO PAGAR'!B173="","",'REGISTRO NO PAGAR'!K173)</f>
        <v/>
      </c>
      <c r="K173" s="74">
        <f>IF('REGISTRO NO PAGAR'!B173="","",'REGISTRO NO PAGAR'!M173)</f>
        <v/>
      </c>
      <c r="L173" s="75">
        <f>IF('REGISTRO NO PAGAR'!B173="","",'REGISTRO NO PAGAR'!N173)</f>
        <v/>
      </c>
      <c r="M173" s="74">
        <f>IF('REGISTRO NO PAGAR'!B173="","",'REGISTRO NO PAGAR'!T173)</f>
        <v/>
      </c>
    </row>
    <row r="174">
      <c r="A174" s="74">
        <f>IF('REGISTRO NO PAGAR'!B174="","",'REGISTRO NO PAGAR'!A174)</f>
        <v/>
      </c>
      <c r="B174" s="74">
        <f>IF('REGISTRO NO PAGAR'!B174="","",'REGISTRO NO PAGAR'!B174)</f>
        <v/>
      </c>
      <c r="C174" s="74">
        <f>IF('REGISTRO NO PAGAR'!B174="","",'REGISTRO NO PAGAR'!C174)</f>
        <v/>
      </c>
      <c r="D174" s="74">
        <f>IF('REGISTRO NO PAGAR'!B174="","",'REGISTRO NO PAGAR'!D174)</f>
        <v/>
      </c>
      <c r="E174" s="74">
        <f>IF('REGISTRO NO PAGAR'!B174="","",'REGISTRO NO PAGAR'!E174)</f>
        <v/>
      </c>
      <c r="F174" s="74">
        <f>IF('REGISTRO NO PAGAR'!B174="","",'REGISTRO NO PAGAR'!F174)</f>
        <v/>
      </c>
      <c r="G174" s="74">
        <f>IF('REGISTRO NO PAGAR'!B174="","",'REGISTRO NO PAGAR'!G174)</f>
        <v/>
      </c>
      <c r="H174" s="74">
        <f>IF('REGISTRO NO PAGAR'!B174="","",'REGISTRO NO PAGAR'!I174)</f>
        <v/>
      </c>
      <c r="I174" s="74">
        <f>IF('REGISTRO NO PAGAR'!B174="","",'REGISTRO NO PAGAR'!J174)</f>
        <v/>
      </c>
      <c r="J174" s="74">
        <f>IF('REGISTRO NO PAGAR'!B174="","",'REGISTRO NO PAGAR'!K174)</f>
        <v/>
      </c>
      <c r="K174" s="74">
        <f>IF('REGISTRO NO PAGAR'!B174="","",'REGISTRO NO PAGAR'!M174)</f>
        <v/>
      </c>
      <c r="L174" s="75">
        <f>IF('REGISTRO NO PAGAR'!B174="","",'REGISTRO NO PAGAR'!N174)</f>
        <v/>
      </c>
      <c r="M174" s="74">
        <f>IF('REGISTRO NO PAGAR'!B174="","",'REGISTRO NO PAGAR'!T174)</f>
        <v/>
      </c>
    </row>
    <row r="175">
      <c r="A175" s="74">
        <f>IF('REGISTRO NO PAGAR'!B175="","",'REGISTRO NO PAGAR'!A175)</f>
        <v/>
      </c>
      <c r="B175" s="74">
        <f>IF('REGISTRO NO PAGAR'!B175="","",'REGISTRO NO PAGAR'!B175)</f>
        <v/>
      </c>
      <c r="C175" s="74">
        <f>IF('REGISTRO NO PAGAR'!B175="","",'REGISTRO NO PAGAR'!C175)</f>
        <v/>
      </c>
      <c r="D175" s="74">
        <f>IF('REGISTRO NO PAGAR'!B175="","",'REGISTRO NO PAGAR'!D175)</f>
        <v/>
      </c>
      <c r="E175" s="74">
        <f>IF('REGISTRO NO PAGAR'!B175="","",'REGISTRO NO PAGAR'!E175)</f>
        <v/>
      </c>
      <c r="F175" s="74">
        <f>IF('REGISTRO NO PAGAR'!B175="","",'REGISTRO NO PAGAR'!F175)</f>
        <v/>
      </c>
      <c r="G175" s="74">
        <f>IF('REGISTRO NO PAGAR'!B175="","",'REGISTRO NO PAGAR'!G175)</f>
        <v/>
      </c>
      <c r="H175" s="74">
        <f>IF('REGISTRO NO PAGAR'!B175="","",'REGISTRO NO PAGAR'!I175)</f>
        <v/>
      </c>
      <c r="I175" s="74">
        <f>IF('REGISTRO NO PAGAR'!B175="","",'REGISTRO NO PAGAR'!J175)</f>
        <v/>
      </c>
      <c r="J175" s="74">
        <f>IF('REGISTRO NO PAGAR'!B175="","",'REGISTRO NO PAGAR'!K175)</f>
        <v/>
      </c>
      <c r="K175" s="74">
        <f>IF('REGISTRO NO PAGAR'!B175="","",'REGISTRO NO PAGAR'!M175)</f>
        <v/>
      </c>
      <c r="L175" s="75">
        <f>IF('REGISTRO NO PAGAR'!B175="","",'REGISTRO NO PAGAR'!N175)</f>
        <v/>
      </c>
      <c r="M175" s="74">
        <f>IF('REGISTRO NO PAGAR'!B175="","",'REGISTRO NO PAGAR'!T175)</f>
        <v/>
      </c>
    </row>
    <row r="176">
      <c r="A176" s="74">
        <f>IF('REGISTRO NO PAGAR'!B176="","",'REGISTRO NO PAGAR'!A176)</f>
        <v/>
      </c>
      <c r="B176" s="74">
        <f>IF('REGISTRO NO PAGAR'!B176="","",'REGISTRO NO PAGAR'!B176)</f>
        <v/>
      </c>
      <c r="C176" s="74">
        <f>IF('REGISTRO NO PAGAR'!B176="","",'REGISTRO NO PAGAR'!C176)</f>
        <v/>
      </c>
      <c r="D176" s="74">
        <f>IF('REGISTRO NO PAGAR'!B176="","",'REGISTRO NO PAGAR'!D176)</f>
        <v/>
      </c>
      <c r="E176" s="74">
        <f>IF('REGISTRO NO PAGAR'!B176="","",'REGISTRO NO PAGAR'!E176)</f>
        <v/>
      </c>
      <c r="F176" s="74">
        <f>IF('REGISTRO NO PAGAR'!B176="","",'REGISTRO NO PAGAR'!F176)</f>
        <v/>
      </c>
      <c r="G176" s="74">
        <f>IF('REGISTRO NO PAGAR'!B176="","",'REGISTRO NO PAGAR'!G176)</f>
        <v/>
      </c>
      <c r="H176" s="74">
        <f>IF('REGISTRO NO PAGAR'!B176="","",'REGISTRO NO PAGAR'!I176)</f>
        <v/>
      </c>
      <c r="I176" s="74">
        <f>IF('REGISTRO NO PAGAR'!B176="","",'REGISTRO NO PAGAR'!J176)</f>
        <v/>
      </c>
      <c r="J176" s="74">
        <f>IF('REGISTRO NO PAGAR'!B176="","",'REGISTRO NO PAGAR'!K176)</f>
        <v/>
      </c>
      <c r="K176" s="74">
        <f>IF('REGISTRO NO PAGAR'!B176="","",'REGISTRO NO PAGAR'!M176)</f>
        <v/>
      </c>
      <c r="L176" s="75">
        <f>IF('REGISTRO NO PAGAR'!B176="","",'REGISTRO NO PAGAR'!N176)</f>
        <v/>
      </c>
      <c r="M176" s="74">
        <f>IF('REGISTRO NO PAGAR'!B176="","",'REGISTRO NO PAGAR'!T176)</f>
        <v/>
      </c>
    </row>
    <row r="177">
      <c r="A177" s="74">
        <f>IF('REGISTRO NO PAGAR'!B177="","",'REGISTRO NO PAGAR'!A177)</f>
        <v/>
      </c>
      <c r="B177" s="74">
        <f>IF('REGISTRO NO PAGAR'!B177="","",'REGISTRO NO PAGAR'!B177)</f>
        <v/>
      </c>
      <c r="C177" s="74">
        <f>IF('REGISTRO NO PAGAR'!B177="","",'REGISTRO NO PAGAR'!C177)</f>
        <v/>
      </c>
      <c r="D177" s="74">
        <f>IF('REGISTRO NO PAGAR'!B177="","",'REGISTRO NO PAGAR'!D177)</f>
        <v/>
      </c>
      <c r="E177" s="74">
        <f>IF('REGISTRO NO PAGAR'!B177="","",'REGISTRO NO PAGAR'!E177)</f>
        <v/>
      </c>
      <c r="F177" s="74">
        <f>IF('REGISTRO NO PAGAR'!B177="","",'REGISTRO NO PAGAR'!F177)</f>
        <v/>
      </c>
      <c r="G177" s="74">
        <f>IF('REGISTRO NO PAGAR'!B177="","",'REGISTRO NO PAGAR'!G177)</f>
        <v/>
      </c>
      <c r="H177" s="74">
        <f>IF('REGISTRO NO PAGAR'!B177="","",'REGISTRO NO PAGAR'!I177)</f>
        <v/>
      </c>
      <c r="I177" s="74">
        <f>IF('REGISTRO NO PAGAR'!B177="","",'REGISTRO NO PAGAR'!J177)</f>
        <v/>
      </c>
      <c r="J177" s="74">
        <f>IF('REGISTRO NO PAGAR'!B177="","",'REGISTRO NO PAGAR'!K177)</f>
        <v/>
      </c>
      <c r="K177" s="74">
        <f>IF('REGISTRO NO PAGAR'!B177="","",'REGISTRO NO PAGAR'!M177)</f>
        <v/>
      </c>
      <c r="L177" s="75">
        <f>IF('REGISTRO NO PAGAR'!B177="","",'REGISTRO NO PAGAR'!N177)</f>
        <v/>
      </c>
      <c r="M177" s="74">
        <f>IF('REGISTRO NO PAGAR'!B177="","",'REGISTRO NO PAGAR'!T177)</f>
        <v/>
      </c>
    </row>
    <row r="178">
      <c r="A178" s="74">
        <f>IF('REGISTRO NO PAGAR'!B178="","",'REGISTRO NO PAGAR'!A178)</f>
        <v/>
      </c>
      <c r="B178" s="74">
        <f>IF('REGISTRO NO PAGAR'!B178="","",'REGISTRO NO PAGAR'!B178)</f>
        <v/>
      </c>
      <c r="C178" s="74">
        <f>IF('REGISTRO NO PAGAR'!B178="","",'REGISTRO NO PAGAR'!C178)</f>
        <v/>
      </c>
      <c r="D178" s="74">
        <f>IF('REGISTRO NO PAGAR'!B178="","",'REGISTRO NO PAGAR'!D178)</f>
        <v/>
      </c>
      <c r="E178" s="74">
        <f>IF('REGISTRO NO PAGAR'!B178="","",'REGISTRO NO PAGAR'!E178)</f>
        <v/>
      </c>
      <c r="F178" s="74">
        <f>IF('REGISTRO NO PAGAR'!B178="","",'REGISTRO NO PAGAR'!F178)</f>
        <v/>
      </c>
      <c r="G178" s="74">
        <f>IF('REGISTRO NO PAGAR'!B178="","",'REGISTRO NO PAGAR'!G178)</f>
        <v/>
      </c>
      <c r="H178" s="74">
        <f>IF('REGISTRO NO PAGAR'!B178="","",'REGISTRO NO PAGAR'!I178)</f>
        <v/>
      </c>
      <c r="I178" s="74">
        <f>IF('REGISTRO NO PAGAR'!B178="","",'REGISTRO NO PAGAR'!J178)</f>
        <v/>
      </c>
      <c r="J178" s="74">
        <f>IF('REGISTRO NO PAGAR'!B178="","",'REGISTRO NO PAGAR'!K178)</f>
        <v/>
      </c>
      <c r="K178" s="74">
        <f>IF('REGISTRO NO PAGAR'!B178="","",'REGISTRO NO PAGAR'!M178)</f>
        <v/>
      </c>
      <c r="L178" s="75">
        <f>IF('REGISTRO NO PAGAR'!B178="","",'REGISTRO NO PAGAR'!N178)</f>
        <v/>
      </c>
      <c r="M178" s="74">
        <f>IF('REGISTRO NO PAGAR'!B178="","",'REGISTRO NO PAGAR'!T178)</f>
        <v/>
      </c>
    </row>
    <row r="179">
      <c r="A179" s="74">
        <f>IF('REGISTRO NO PAGAR'!B179="","",'REGISTRO NO PAGAR'!A179)</f>
        <v/>
      </c>
      <c r="B179" s="74">
        <f>IF('REGISTRO NO PAGAR'!B179="","",'REGISTRO NO PAGAR'!B179)</f>
        <v/>
      </c>
      <c r="C179" s="74">
        <f>IF('REGISTRO NO PAGAR'!B179="","",'REGISTRO NO PAGAR'!C179)</f>
        <v/>
      </c>
      <c r="D179" s="74">
        <f>IF('REGISTRO NO PAGAR'!B179="","",'REGISTRO NO PAGAR'!D179)</f>
        <v/>
      </c>
      <c r="E179" s="74">
        <f>IF('REGISTRO NO PAGAR'!B179="","",'REGISTRO NO PAGAR'!E179)</f>
        <v/>
      </c>
      <c r="F179" s="74">
        <f>IF('REGISTRO NO PAGAR'!B179="","",'REGISTRO NO PAGAR'!F179)</f>
        <v/>
      </c>
      <c r="G179" s="74">
        <f>IF('REGISTRO NO PAGAR'!B179="","",'REGISTRO NO PAGAR'!G179)</f>
        <v/>
      </c>
      <c r="H179" s="74">
        <f>IF('REGISTRO NO PAGAR'!B179="","",'REGISTRO NO PAGAR'!I179)</f>
        <v/>
      </c>
      <c r="I179" s="74">
        <f>IF('REGISTRO NO PAGAR'!B179="","",'REGISTRO NO PAGAR'!J179)</f>
        <v/>
      </c>
      <c r="J179" s="74">
        <f>IF('REGISTRO NO PAGAR'!B179="","",'REGISTRO NO PAGAR'!K179)</f>
        <v/>
      </c>
      <c r="K179" s="74">
        <f>IF('REGISTRO NO PAGAR'!B179="","",'REGISTRO NO PAGAR'!M179)</f>
        <v/>
      </c>
      <c r="L179" s="75">
        <f>IF('REGISTRO NO PAGAR'!B179="","",'REGISTRO NO PAGAR'!N179)</f>
        <v/>
      </c>
      <c r="M179" s="74">
        <f>IF('REGISTRO NO PAGAR'!B179="","",'REGISTRO NO PAGAR'!T179)</f>
        <v/>
      </c>
    </row>
    <row r="180">
      <c r="A180" s="74">
        <f>IF('REGISTRO NO PAGAR'!B180="","",'REGISTRO NO PAGAR'!A180)</f>
        <v/>
      </c>
      <c r="B180" s="74">
        <f>IF('REGISTRO NO PAGAR'!B180="","",'REGISTRO NO PAGAR'!B180)</f>
        <v/>
      </c>
      <c r="C180" s="74">
        <f>IF('REGISTRO NO PAGAR'!B180="","",'REGISTRO NO PAGAR'!C180)</f>
        <v/>
      </c>
      <c r="D180" s="74">
        <f>IF('REGISTRO NO PAGAR'!B180="","",'REGISTRO NO PAGAR'!D180)</f>
        <v/>
      </c>
      <c r="E180" s="74">
        <f>IF('REGISTRO NO PAGAR'!B180="","",'REGISTRO NO PAGAR'!E180)</f>
        <v/>
      </c>
      <c r="F180" s="74">
        <f>IF('REGISTRO NO PAGAR'!B180="","",'REGISTRO NO PAGAR'!F180)</f>
        <v/>
      </c>
      <c r="G180" s="74">
        <f>IF('REGISTRO NO PAGAR'!B180="","",'REGISTRO NO PAGAR'!G180)</f>
        <v/>
      </c>
      <c r="H180" s="74">
        <f>IF('REGISTRO NO PAGAR'!B180="","",'REGISTRO NO PAGAR'!I180)</f>
        <v/>
      </c>
      <c r="I180" s="74">
        <f>IF('REGISTRO NO PAGAR'!B180="","",'REGISTRO NO PAGAR'!J180)</f>
        <v/>
      </c>
      <c r="J180" s="74">
        <f>IF('REGISTRO NO PAGAR'!B180="","",'REGISTRO NO PAGAR'!K180)</f>
        <v/>
      </c>
      <c r="K180" s="74">
        <f>IF('REGISTRO NO PAGAR'!B180="","",'REGISTRO NO PAGAR'!M180)</f>
        <v/>
      </c>
      <c r="L180" s="75">
        <f>IF('REGISTRO NO PAGAR'!B180="","",'REGISTRO NO PAGAR'!N180)</f>
        <v/>
      </c>
      <c r="M180" s="74">
        <f>IF('REGISTRO NO PAGAR'!B180="","",'REGISTRO NO PAGAR'!T180)</f>
        <v/>
      </c>
    </row>
    <row r="181">
      <c r="A181" s="74">
        <f>IF('REGISTRO NO PAGAR'!B181="","",'REGISTRO NO PAGAR'!A181)</f>
        <v/>
      </c>
      <c r="B181" s="74">
        <f>IF('REGISTRO NO PAGAR'!B181="","",'REGISTRO NO PAGAR'!B181)</f>
        <v/>
      </c>
      <c r="C181" s="74">
        <f>IF('REGISTRO NO PAGAR'!B181="","",'REGISTRO NO PAGAR'!C181)</f>
        <v/>
      </c>
      <c r="D181" s="74">
        <f>IF('REGISTRO NO PAGAR'!B181="","",'REGISTRO NO PAGAR'!D181)</f>
        <v/>
      </c>
      <c r="E181" s="74">
        <f>IF('REGISTRO NO PAGAR'!B181="","",'REGISTRO NO PAGAR'!E181)</f>
        <v/>
      </c>
      <c r="F181" s="74">
        <f>IF('REGISTRO NO PAGAR'!B181="","",'REGISTRO NO PAGAR'!F181)</f>
        <v/>
      </c>
      <c r="G181" s="74">
        <f>IF('REGISTRO NO PAGAR'!B181="","",'REGISTRO NO PAGAR'!G181)</f>
        <v/>
      </c>
      <c r="H181" s="74">
        <f>IF('REGISTRO NO PAGAR'!B181="","",'REGISTRO NO PAGAR'!I181)</f>
        <v/>
      </c>
      <c r="I181" s="74">
        <f>IF('REGISTRO NO PAGAR'!B181="","",'REGISTRO NO PAGAR'!J181)</f>
        <v/>
      </c>
      <c r="J181" s="74">
        <f>IF('REGISTRO NO PAGAR'!B181="","",'REGISTRO NO PAGAR'!K181)</f>
        <v/>
      </c>
      <c r="K181" s="74">
        <f>IF('REGISTRO NO PAGAR'!B181="","",'REGISTRO NO PAGAR'!M181)</f>
        <v/>
      </c>
      <c r="L181" s="75">
        <f>IF('REGISTRO NO PAGAR'!B181="","",'REGISTRO NO PAGAR'!N181)</f>
        <v/>
      </c>
      <c r="M181" s="74">
        <f>IF('REGISTRO NO PAGAR'!B181="","",'REGISTRO NO PAGAR'!T181)</f>
        <v/>
      </c>
    </row>
    <row r="182">
      <c r="A182" s="74">
        <f>IF('REGISTRO NO PAGAR'!B182="","",'REGISTRO NO PAGAR'!A182)</f>
        <v/>
      </c>
      <c r="B182" s="74">
        <f>IF('REGISTRO NO PAGAR'!B182="","",'REGISTRO NO PAGAR'!B182)</f>
        <v/>
      </c>
      <c r="C182" s="74">
        <f>IF('REGISTRO NO PAGAR'!B182="","",'REGISTRO NO PAGAR'!C182)</f>
        <v/>
      </c>
      <c r="D182" s="74">
        <f>IF('REGISTRO NO PAGAR'!B182="","",'REGISTRO NO PAGAR'!D182)</f>
        <v/>
      </c>
      <c r="E182" s="74">
        <f>IF('REGISTRO NO PAGAR'!B182="","",'REGISTRO NO PAGAR'!E182)</f>
        <v/>
      </c>
      <c r="F182" s="74">
        <f>IF('REGISTRO NO PAGAR'!B182="","",'REGISTRO NO PAGAR'!F182)</f>
        <v/>
      </c>
      <c r="G182" s="74">
        <f>IF('REGISTRO NO PAGAR'!B182="","",'REGISTRO NO PAGAR'!G182)</f>
        <v/>
      </c>
      <c r="H182" s="74">
        <f>IF('REGISTRO NO PAGAR'!B182="","",'REGISTRO NO PAGAR'!I182)</f>
        <v/>
      </c>
      <c r="I182" s="74">
        <f>IF('REGISTRO NO PAGAR'!B182="","",'REGISTRO NO PAGAR'!J182)</f>
        <v/>
      </c>
      <c r="J182" s="74">
        <f>IF('REGISTRO NO PAGAR'!B182="","",'REGISTRO NO PAGAR'!K182)</f>
        <v/>
      </c>
      <c r="K182" s="74">
        <f>IF('REGISTRO NO PAGAR'!B182="","",'REGISTRO NO PAGAR'!M182)</f>
        <v/>
      </c>
      <c r="L182" s="75">
        <f>IF('REGISTRO NO PAGAR'!B182="","",'REGISTRO NO PAGAR'!N182)</f>
        <v/>
      </c>
      <c r="M182" s="74">
        <f>IF('REGISTRO NO PAGAR'!B182="","",'REGISTRO NO PAGAR'!T182)</f>
        <v/>
      </c>
    </row>
    <row r="183">
      <c r="A183" s="74">
        <f>IF('REGISTRO NO PAGAR'!B183="","",'REGISTRO NO PAGAR'!A183)</f>
        <v/>
      </c>
      <c r="B183" s="74">
        <f>IF('REGISTRO NO PAGAR'!B183="","",'REGISTRO NO PAGAR'!B183)</f>
        <v/>
      </c>
      <c r="C183" s="74">
        <f>IF('REGISTRO NO PAGAR'!B183="","",'REGISTRO NO PAGAR'!C183)</f>
        <v/>
      </c>
      <c r="D183" s="74">
        <f>IF('REGISTRO NO PAGAR'!B183="","",'REGISTRO NO PAGAR'!D183)</f>
        <v/>
      </c>
      <c r="E183" s="74">
        <f>IF('REGISTRO NO PAGAR'!B183="","",'REGISTRO NO PAGAR'!E183)</f>
        <v/>
      </c>
      <c r="F183" s="74">
        <f>IF('REGISTRO NO PAGAR'!B183="","",'REGISTRO NO PAGAR'!F183)</f>
        <v/>
      </c>
      <c r="G183" s="74">
        <f>IF('REGISTRO NO PAGAR'!B183="","",'REGISTRO NO PAGAR'!G183)</f>
        <v/>
      </c>
      <c r="H183" s="74">
        <f>IF('REGISTRO NO PAGAR'!B183="","",'REGISTRO NO PAGAR'!I183)</f>
        <v/>
      </c>
      <c r="I183" s="74">
        <f>IF('REGISTRO NO PAGAR'!B183="","",'REGISTRO NO PAGAR'!J183)</f>
        <v/>
      </c>
      <c r="J183" s="74">
        <f>IF('REGISTRO NO PAGAR'!B183="","",'REGISTRO NO PAGAR'!K183)</f>
        <v/>
      </c>
      <c r="K183" s="74">
        <f>IF('REGISTRO NO PAGAR'!B183="","",'REGISTRO NO PAGAR'!M183)</f>
        <v/>
      </c>
      <c r="L183" s="75">
        <f>IF('REGISTRO NO PAGAR'!B183="","",'REGISTRO NO PAGAR'!N183)</f>
        <v/>
      </c>
      <c r="M183" s="74">
        <f>IF('REGISTRO NO PAGAR'!B183="","",'REGISTRO NO PAGAR'!T183)</f>
        <v/>
      </c>
    </row>
    <row r="184">
      <c r="A184" s="74">
        <f>IF('REGISTRO NO PAGAR'!B184="","",'REGISTRO NO PAGAR'!A184)</f>
        <v/>
      </c>
      <c r="B184" s="74">
        <f>IF('REGISTRO NO PAGAR'!B184="","",'REGISTRO NO PAGAR'!B184)</f>
        <v/>
      </c>
      <c r="C184" s="74">
        <f>IF('REGISTRO NO PAGAR'!B184="","",'REGISTRO NO PAGAR'!C184)</f>
        <v/>
      </c>
      <c r="D184" s="74">
        <f>IF('REGISTRO NO PAGAR'!B184="","",'REGISTRO NO PAGAR'!D184)</f>
        <v/>
      </c>
      <c r="E184" s="74">
        <f>IF('REGISTRO NO PAGAR'!B184="","",'REGISTRO NO PAGAR'!E184)</f>
        <v/>
      </c>
      <c r="F184" s="74">
        <f>IF('REGISTRO NO PAGAR'!B184="","",'REGISTRO NO PAGAR'!F184)</f>
        <v/>
      </c>
      <c r="G184" s="74">
        <f>IF('REGISTRO NO PAGAR'!B184="","",'REGISTRO NO PAGAR'!G184)</f>
        <v/>
      </c>
      <c r="H184" s="74">
        <f>IF('REGISTRO NO PAGAR'!B184="","",'REGISTRO NO PAGAR'!I184)</f>
        <v/>
      </c>
      <c r="I184" s="74">
        <f>IF('REGISTRO NO PAGAR'!B184="","",'REGISTRO NO PAGAR'!J184)</f>
        <v/>
      </c>
      <c r="J184" s="74">
        <f>IF('REGISTRO NO PAGAR'!B184="","",'REGISTRO NO PAGAR'!K184)</f>
        <v/>
      </c>
      <c r="K184" s="74">
        <f>IF('REGISTRO NO PAGAR'!B184="","",'REGISTRO NO PAGAR'!M184)</f>
        <v/>
      </c>
      <c r="L184" s="75">
        <f>IF('REGISTRO NO PAGAR'!B184="","",'REGISTRO NO PAGAR'!N184)</f>
        <v/>
      </c>
      <c r="M184" s="74">
        <f>IF('REGISTRO NO PAGAR'!B184="","",'REGISTRO NO PAGAR'!T184)</f>
        <v/>
      </c>
    </row>
    <row r="185">
      <c r="A185" s="74">
        <f>IF('REGISTRO NO PAGAR'!B185="","",'REGISTRO NO PAGAR'!A185)</f>
        <v/>
      </c>
      <c r="B185" s="74">
        <f>IF('REGISTRO NO PAGAR'!B185="","",'REGISTRO NO PAGAR'!B185)</f>
        <v/>
      </c>
      <c r="C185" s="74">
        <f>IF('REGISTRO NO PAGAR'!B185="","",'REGISTRO NO PAGAR'!C185)</f>
        <v/>
      </c>
      <c r="D185" s="74">
        <f>IF('REGISTRO NO PAGAR'!B185="","",'REGISTRO NO PAGAR'!D185)</f>
        <v/>
      </c>
      <c r="E185" s="74">
        <f>IF('REGISTRO NO PAGAR'!B185="","",'REGISTRO NO PAGAR'!E185)</f>
        <v/>
      </c>
      <c r="F185" s="74">
        <f>IF('REGISTRO NO PAGAR'!B185="","",'REGISTRO NO PAGAR'!F185)</f>
        <v/>
      </c>
      <c r="G185" s="74">
        <f>IF('REGISTRO NO PAGAR'!B185="","",'REGISTRO NO PAGAR'!G185)</f>
        <v/>
      </c>
      <c r="H185" s="74">
        <f>IF('REGISTRO NO PAGAR'!B185="","",'REGISTRO NO PAGAR'!I185)</f>
        <v/>
      </c>
      <c r="I185" s="74">
        <f>IF('REGISTRO NO PAGAR'!B185="","",'REGISTRO NO PAGAR'!J185)</f>
        <v/>
      </c>
      <c r="J185" s="74">
        <f>IF('REGISTRO NO PAGAR'!B185="","",'REGISTRO NO PAGAR'!K185)</f>
        <v/>
      </c>
      <c r="K185" s="74">
        <f>IF('REGISTRO NO PAGAR'!B185="","",'REGISTRO NO PAGAR'!M185)</f>
        <v/>
      </c>
      <c r="L185" s="75">
        <f>IF('REGISTRO NO PAGAR'!B185="","",'REGISTRO NO PAGAR'!N185)</f>
        <v/>
      </c>
      <c r="M185" s="74">
        <f>IF('REGISTRO NO PAGAR'!B185="","",'REGISTRO NO PAGAR'!T185)</f>
        <v/>
      </c>
    </row>
    <row r="186">
      <c r="A186" s="74">
        <f>IF('REGISTRO NO PAGAR'!B186="","",'REGISTRO NO PAGAR'!A186)</f>
        <v/>
      </c>
      <c r="B186" s="74">
        <f>IF('REGISTRO NO PAGAR'!B186="","",'REGISTRO NO PAGAR'!B186)</f>
        <v/>
      </c>
      <c r="C186" s="74">
        <f>IF('REGISTRO NO PAGAR'!B186="","",'REGISTRO NO PAGAR'!C186)</f>
        <v/>
      </c>
      <c r="D186" s="74">
        <f>IF('REGISTRO NO PAGAR'!B186="","",'REGISTRO NO PAGAR'!D186)</f>
        <v/>
      </c>
      <c r="E186" s="74">
        <f>IF('REGISTRO NO PAGAR'!B186="","",'REGISTRO NO PAGAR'!E186)</f>
        <v/>
      </c>
      <c r="F186" s="74">
        <f>IF('REGISTRO NO PAGAR'!B186="","",'REGISTRO NO PAGAR'!F186)</f>
        <v/>
      </c>
      <c r="G186" s="74">
        <f>IF('REGISTRO NO PAGAR'!B186="","",'REGISTRO NO PAGAR'!G186)</f>
        <v/>
      </c>
      <c r="H186" s="74">
        <f>IF('REGISTRO NO PAGAR'!B186="","",'REGISTRO NO PAGAR'!I186)</f>
        <v/>
      </c>
      <c r="I186" s="74">
        <f>IF('REGISTRO NO PAGAR'!B186="","",'REGISTRO NO PAGAR'!J186)</f>
        <v/>
      </c>
      <c r="J186" s="74">
        <f>IF('REGISTRO NO PAGAR'!B186="","",'REGISTRO NO PAGAR'!K186)</f>
        <v/>
      </c>
      <c r="K186" s="74">
        <f>IF('REGISTRO NO PAGAR'!B186="","",'REGISTRO NO PAGAR'!M186)</f>
        <v/>
      </c>
      <c r="L186" s="75">
        <f>IF('REGISTRO NO PAGAR'!B186="","",'REGISTRO NO PAGAR'!N186)</f>
        <v/>
      </c>
      <c r="M186" s="74">
        <f>IF('REGISTRO NO PAGAR'!B186="","",'REGISTRO NO PAGAR'!T186)</f>
        <v/>
      </c>
    </row>
    <row r="187">
      <c r="A187" s="74">
        <f>IF('REGISTRO NO PAGAR'!B187="","",'REGISTRO NO PAGAR'!A187)</f>
        <v/>
      </c>
      <c r="B187" s="74">
        <f>IF('REGISTRO NO PAGAR'!B187="","",'REGISTRO NO PAGAR'!B187)</f>
        <v/>
      </c>
      <c r="C187" s="74">
        <f>IF('REGISTRO NO PAGAR'!B187="","",'REGISTRO NO PAGAR'!C187)</f>
        <v/>
      </c>
      <c r="D187" s="74">
        <f>IF('REGISTRO NO PAGAR'!B187="","",'REGISTRO NO PAGAR'!D187)</f>
        <v/>
      </c>
      <c r="E187" s="74">
        <f>IF('REGISTRO NO PAGAR'!B187="","",'REGISTRO NO PAGAR'!E187)</f>
        <v/>
      </c>
      <c r="F187" s="74">
        <f>IF('REGISTRO NO PAGAR'!B187="","",'REGISTRO NO PAGAR'!F187)</f>
        <v/>
      </c>
      <c r="G187" s="74">
        <f>IF('REGISTRO NO PAGAR'!B187="","",'REGISTRO NO PAGAR'!G187)</f>
        <v/>
      </c>
      <c r="H187" s="74">
        <f>IF('REGISTRO NO PAGAR'!B187="","",'REGISTRO NO PAGAR'!I187)</f>
        <v/>
      </c>
      <c r="I187" s="74">
        <f>IF('REGISTRO NO PAGAR'!B187="","",'REGISTRO NO PAGAR'!J187)</f>
        <v/>
      </c>
      <c r="J187" s="74">
        <f>IF('REGISTRO NO PAGAR'!B187="","",'REGISTRO NO PAGAR'!K187)</f>
        <v/>
      </c>
      <c r="K187" s="74">
        <f>IF('REGISTRO NO PAGAR'!B187="","",'REGISTRO NO PAGAR'!M187)</f>
        <v/>
      </c>
      <c r="L187" s="75">
        <f>IF('REGISTRO NO PAGAR'!B187="","",'REGISTRO NO PAGAR'!N187)</f>
        <v/>
      </c>
      <c r="M187" s="74">
        <f>IF('REGISTRO NO PAGAR'!B187="","",'REGISTRO NO PAGAR'!T187)</f>
        <v/>
      </c>
    </row>
    <row r="188">
      <c r="A188" s="74">
        <f>IF('REGISTRO NO PAGAR'!B188="","",'REGISTRO NO PAGAR'!A188)</f>
        <v/>
      </c>
      <c r="B188" s="74">
        <f>IF('REGISTRO NO PAGAR'!B188="","",'REGISTRO NO PAGAR'!B188)</f>
        <v/>
      </c>
      <c r="C188" s="74">
        <f>IF('REGISTRO NO PAGAR'!B188="","",'REGISTRO NO PAGAR'!C188)</f>
        <v/>
      </c>
      <c r="D188" s="74">
        <f>IF('REGISTRO NO PAGAR'!B188="","",'REGISTRO NO PAGAR'!D188)</f>
        <v/>
      </c>
      <c r="E188" s="74">
        <f>IF('REGISTRO NO PAGAR'!B188="","",'REGISTRO NO PAGAR'!E188)</f>
        <v/>
      </c>
      <c r="F188" s="74">
        <f>IF('REGISTRO NO PAGAR'!B188="","",'REGISTRO NO PAGAR'!F188)</f>
        <v/>
      </c>
      <c r="G188" s="74">
        <f>IF('REGISTRO NO PAGAR'!B188="","",'REGISTRO NO PAGAR'!G188)</f>
        <v/>
      </c>
      <c r="H188" s="74">
        <f>IF('REGISTRO NO PAGAR'!B188="","",'REGISTRO NO PAGAR'!I188)</f>
        <v/>
      </c>
      <c r="I188" s="74">
        <f>IF('REGISTRO NO PAGAR'!B188="","",'REGISTRO NO PAGAR'!J188)</f>
        <v/>
      </c>
      <c r="J188" s="74">
        <f>IF('REGISTRO NO PAGAR'!B188="","",'REGISTRO NO PAGAR'!K188)</f>
        <v/>
      </c>
      <c r="K188" s="74">
        <f>IF('REGISTRO NO PAGAR'!B188="","",'REGISTRO NO PAGAR'!M188)</f>
        <v/>
      </c>
      <c r="L188" s="75">
        <f>IF('REGISTRO NO PAGAR'!B188="","",'REGISTRO NO PAGAR'!N188)</f>
        <v/>
      </c>
      <c r="M188" s="74">
        <f>IF('REGISTRO NO PAGAR'!B188="","",'REGISTRO NO PAGAR'!T188)</f>
        <v/>
      </c>
    </row>
    <row r="189">
      <c r="A189" s="74">
        <f>IF('REGISTRO NO PAGAR'!B189="","",'REGISTRO NO PAGAR'!A189)</f>
        <v/>
      </c>
      <c r="B189" s="74">
        <f>IF('REGISTRO NO PAGAR'!B189="","",'REGISTRO NO PAGAR'!B189)</f>
        <v/>
      </c>
      <c r="C189" s="74">
        <f>IF('REGISTRO NO PAGAR'!B189="","",'REGISTRO NO PAGAR'!C189)</f>
        <v/>
      </c>
      <c r="D189" s="74">
        <f>IF('REGISTRO NO PAGAR'!B189="","",'REGISTRO NO PAGAR'!D189)</f>
        <v/>
      </c>
      <c r="E189" s="74">
        <f>IF('REGISTRO NO PAGAR'!B189="","",'REGISTRO NO PAGAR'!E189)</f>
        <v/>
      </c>
      <c r="F189" s="74">
        <f>IF('REGISTRO NO PAGAR'!B189="","",'REGISTRO NO PAGAR'!F189)</f>
        <v/>
      </c>
      <c r="G189" s="74">
        <f>IF('REGISTRO NO PAGAR'!B189="","",'REGISTRO NO PAGAR'!G189)</f>
        <v/>
      </c>
      <c r="H189" s="74">
        <f>IF('REGISTRO NO PAGAR'!B189="","",'REGISTRO NO PAGAR'!I189)</f>
        <v/>
      </c>
      <c r="I189" s="74">
        <f>IF('REGISTRO NO PAGAR'!B189="","",'REGISTRO NO PAGAR'!J189)</f>
        <v/>
      </c>
      <c r="J189" s="74">
        <f>IF('REGISTRO NO PAGAR'!B189="","",'REGISTRO NO PAGAR'!K189)</f>
        <v/>
      </c>
      <c r="K189" s="74">
        <f>IF('REGISTRO NO PAGAR'!B189="","",'REGISTRO NO PAGAR'!M189)</f>
        <v/>
      </c>
      <c r="L189" s="75">
        <f>IF('REGISTRO NO PAGAR'!B189="","",'REGISTRO NO PAGAR'!N189)</f>
        <v/>
      </c>
      <c r="M189" s="74">
        <f>IF('REGISTRO NO PAGAR'!B189="","",'REGISTRO NO PAGAR'!T189)</f>
        <v/>
      </c>
    </row>
    <row r="190">
      <c r="A190" s="74">
        <f>IF('REGISTRO NO PAGAR'!B190="","",'REGISTRO NO PAGAR'!A190)</f>
        <v/>
      </c>
      <c r="B190" s="74">
        <f>IF('REGISTRO NO PAGAR'!B190="","",'REGISTRO NO PAGAR'!B190)</f>
        <v/>
      </c>
      <c r="C190" s="74">
        <f>IF('REGISTRO NO PAGAR'!B190="","",'REGISTRO NO PAGAR'!C190)</f>
        <v/>
      </c>
      <c r="D190" s="74">
        <f>IF('REGISTRO NO PAGAR'!B190="","",'REGISTRO NO PAGAR'!D190)</f>
        <v/>
      </c>
      <c r="E190" s="74">
        <f>IF('REGISTRO NO PAGAR'!B190="","",'REGISTRO NO PAGAR'!E190)</f>
        <v/>
      </c>
      <c r="F190" s="74">
        <f>IF('REGISTRO NO PAGAR'!B190="","",'REGISTRO NO PAGAR'!F190)</f>
        <v/>
      </c>
      <c r="G190" s="74">
        <f>IF('REGISTRO NO PAGAR'!B190="","",'REGISTRO NO PAGAR'!G190)</f>
        <v/>
      </c>
      <c r="H190" s="74">
        <f>IF('REGISTRO NO PAGAR'!B190="","",'REGISTRO NO PAGAR'!I190)</f>
        <v/>
      </c>
      <c r="I190" s="74">
        <f>IF('REGISTRO NO PAGAR'!B190="","",'REGISTRO NO PAGAR'!J190)</f>
        <v/>
      </c>
      <c r="J190" s="74">
        <f>IF('REGISTRO NO PAGAR'!B190="","",'REGISTRO NO PAGAR'!K190)</f>
        <v/>
      </c>
      <c r="K190" s="74">
        <f>IF('REGISTRO NO PAGAR'!B190="","",'REGISTRO NO PAGAR'!M190)</f>
        <v/>
      </c>
      <c r="L190" s="75">
        <f>IF('REGISTRO NO PAGAR'!B190="","",'REGISTRO NO PAGAR'!N190)</f>
        <v/>
      </c>
      <c r="M190" s="74">
        <f>IF('REGISTRO NO PAGAR'!B190="","",'REGISTRO NO PAGAR'!T190)</f>
        <v/>
      </c>
    </row>
    <row r="191">
      <c r="A191" s="74">
        <f>IF('REGISTRO NO PAGAR'!B191="","",'REGISTRO NO PAGAR'!A191)</f>
        <v/>
      </c>
      <c r="B191" s="74">
        <f>IF('REGISTRO NO PAGAR'!B191="","",'REGISTRO NO PAGAR'!B191)</f>
        <v/>
      </c>
      <c r="C191" s="74">
        <f>IF('REGISTRO NO PAGAR'!B191="","",'REGISTRO NO PAGAR'!C191)</f>
        <v/>
      </c>
      <c r="D191" s="74">
        <f>IF('REGISTRO NO PAGAR'!B191="","",'REGISTRO NO PAGAR'!D191)</f>
        <v/>
      </c>
      <c r="E191" s="74">
        <f>IF('REGISTRO NO PAGAR'!B191="","",'REGISTRO NO PAGAR'!E191)</f>
        <v/>
      </c>
      <c r="F191" s="74">
        <f>IF('REGISTRO NO PAGAR'!B191="","",'REGISTRO NO PAGAR'!F191)</f>
        <v/>
      </c>
      <c r="G191" s="74">
        <f>IF('REGISTRO NO PAGAR'!B191="","",'REGISTRO NO PAGAR'!G191)</f>
        <v/>
      </c>
      <c r="H191" s="74">
        <f>IF('REGISTRO NO PAGAR'!B191="","",'REGISTRO NO PAGAR'!I191)</f>
        <v/>
      </c>
      <c r="I191" s="74">
        <f>IF('REGISTRO NO PAGAR'!B191="","",'REGISTRO NO PAGAR'!J191)</f>
        <v/>
      </c>
      <c r="J191" s="74">
        <f>IF('REGISTRO NO PAGAR'!B191="","",'REGISTRO NO PAGAR'!K191)</f>
        <v/>
      </c>
      <c r="K191" s="74">
        <f>IF('REGISTRO NO PAGAR'!B191="","",'REGISTRO NO PAGAR'!M191)</f>
        <v/>
      </c>
      <c r="L191" s="75">
        <f>IF('REGISTRO NO PAGAR'!B191="","",'REGISTRO NO PAGAR'!N191)</f>
        <v/>
      </c>
      <c r="M191" s="74">
        <f>IF('REGISTRO NO PAGAR'!B191="","",'REGISTRO NO PAGAR'!T191)</f>
        <v/>
      </c>
    </row>
    <row r="192">
      <c r="A192" s="74">
        <f>IF('REGISTRO NO PAGAR'!B192="","",'REGISTRO NO PAGAR'!A192)</f>
        <v/>
      </c>
      <c r="B192" s="74">
        <f>IF('REGISTRO NO PAGAR'!B192="","",'REGISTRO NO PAGAR'!B192)</f>
        <v/>
      </c>
      <c r="C192" s="74">
        <f>IF('REGISTRO NO PAGAR'!B192="","",'REGISTRO NO PAGAR'!C192)</f>
        <v/>
      </c>
      <c r="D192" s="74">
        <f>IF('REGISTRO NO PAGAR'!B192="","",'REGISTRO NO PAGAR'!D192)</f>
        <v/>
      </c>
      <c r="E192" s="74">
        <f>IF('REGISTRO NO PAGAR'!B192="","",'REGISTRO NO PAGAR'!E192)</f>
        <v/>
      </c>
      <c r="F192" s="74">
        <f>IF('REGISTRO NO PAGAR'!B192="","",'REGISTRO NO PAGAR'!F192)</f>
        <v/>
      </c>
      <c r="G192" s="74">
        <f>IF('REGISTRO NO PAGAR'!B192="","",'REGISTRO NO PAGAR'!G192)</f>
        <v/>
      </c>
      <c r="H192" s="74">
        <f>IF('REGISTRO NO PAGAR'!B192="","",'REGISTRO NO PAGAR'!I192)</f>
        <v/>
      </c>
      <c r="I192" s="74">
        <f>IF('REGISTRO NO PAGAR'!B192="","",'REGISTRO NO PAGAR'!J192)</f>
        <v/>
      </c>
      <c r="J192" s="74">
        <f>IF('REGISTRO NO PAGAR'!B192="","",'REGISTRO NO PAGAR'!K192)</f>
        <v/>
      </c>
      <c r="K192" s="74">
        <f>IF('REGISTRO NO PAGAR'!B192="","",'REGISTRO NO PAGAR'!M192)</f>
        <v/>
      </c>
      <c r="L192" s="75">
        <f>IF('REGISTRO NO PAGAR'!B192="","",'REGISTRO NO PAGAR'!N192)</f>
        <v/>
      </c>
      <c r="M192" s="74">
        <f>IF('REGISTRO NO PAGAR'!B192="","",'REGISTRO NO PAGAR'!T192)</f>
        <v/>
      </c>
    </row>
    <row r="193">
      <c r="A193" s="74">
        <f>IF('REGISTRO NO PAGAR'!B193="","",'REGISTRO NO PAGAR'!A193)</f>
        <v/>
      </c>
      <c r="B193" s="74">
        <f>IF('REGISTRO NO PAGAR'!B193="","",'REGISTRO NO PAGAR'!B193)</f>
        <v/>
      </c>
      <c r="C193" s="74">
        <f>IF('REGISTRO NO PAGAR'!B193="","",'REGISTRO NO PAGAR'!C193)</f>
        <v/>
      </c>
      <c r="D193" s="74">
        <f>IF('REGISTRO NO PAGAR'!B193="","",'REGISTRO NO PAGAR'!D193)</f>
        <v/>
      </c>
      <c r="E193" s="74">
        <f>IF('REGISTRO NO PAGAR'!B193="","",'REGISTRO NO PAGAR'!E193)</f>
        <v/>
      </c>
      <c r="F193" s="74">
        <f>IF('REGISTRO NO PAGAR'!B193="","",'REGISTRO NO PAGAR'!F193)</f>
        <v/>
      </c>
      <c r="G193" s="74">
        <f>IF('REGISTRO NO PAGAR'!B193="","",'REGISTRO NO PAGAR'!G193)</f>
        <v/>
      </c>
      <c r="H193" s="74">
        <f>IF('REGISTRO NO PAGAR'!B193="","",'REGISTRO NO PAGAR'!I193)</f>
        <v/>
      </c>
      <c r="I193" s="74">
        <f>IF('REGISTRO NO PAGAR'!B193="","",'REGISTRO NO PAGAR'!J193)</f>
        <v/>
      </c>
      <c r="J193" s="74">
        <f>IF('REGISTRO NO PAGAR'!B193="","",'REGISTRO NO PAGAR'!K193)</f>
        <v/>
      </c>
      <c r="K193" s="74">
        <f>IF('REGISTRO NO PAGAR'!B193="","",'REGISTRO NO PAGAR'!M193)</f>
        <v/>
      </c>
      <c r="L193" s="75">
        <f>IF('REGISTRO NO PAGAR'!B193="","",'REGISTRO NO PAGAR'!N193)</f>
        <v/>
      </c>
      <c r="M193" s="74">
        <f>IF('REGISTRO NO PAGAR'!B193="","",'REGISTRO NO PAGAR'!T193)</f>
        <v/>
      </c>
    </row>
    <row r="194">
      <c r="A194" s="74">
        <f>IF('REGISTRO NO PAGAR'!B194="","",'REGISTRO NO PAGAR'!A194)</f>
        <v/>
      </c>
      <c r="B194" s="74">
        <f>IF('REGISTRO NO PAGAR'!B194="","",'REGISTRO NO PAGAR'!B194)</f>
        <v/>
      </c>
      <c r="C194" s="74">
        <f>IF('REGISTRO NO PAGAR'!B194="","",'REGISTRO NO PAGAR'!C194)</f>
        <v/>
      </c>
      <c r="D194" s="74">
        <f>IF('REGISTRO NO PAGAR'!B194="","",'REGISTRO NO PAGAR'!D194)</f>
        <v/>
      </c>
      <c r="E194" s="74">
        <f>IF('REGISTRO NO PAGAR'!B194="","",'REGISTRO NO PAGAR'!E194)</f>
        <v/>
      </c>
      <c r="F194" s="74">
        <f>IF('REGISTRO NO PAGAR'!B194="","",'REGISTRO NO PAGAR'!F194)</f>
        <v/>
      </c>
      <c r="G194" s="74">
        <f>IF('REGISTRO NO PAGAR'!B194="","",'REGISTRO NO PAGAR'!G194)</f>
        <v/>
      </c>
      <c r="H194" s="74">
        <f>IF('REGISTRO NO PAGAR'!B194="","",'REGISTRO NO PAGAR'!I194)</f>
        <v/>
      </c>
      <c r="I194" s="74">
        <f>IF('REGISTRO NO PAGAR'!B194="","",'REGISTRO NO PAGAR'!J194)</f>
        <v/>
      </c>
      <c r="J194" s="74">
        <f>IF('REGISTRO NO PAGAR'!B194="","",'REGISTRO NO PAGAR'!K194)</f>
        <v/>
      </c>
      <c r="K194" s="74">
        <f>IF('REGISTRO NO PAGAR'!B194="","",'REGISTRO NO PAGAR'!M194)</f>
        <v/>
      </c>
      <c r="L194" s="75">
        <f>IF('REGISTRO NO PAGAR'!B194="","",'REGISTRO NO PAGAR'!N194)</f>
        <v/>
      </c>
      <c r="M194" s="74">
        <f>IF('REGISTRO NO PAGAR'!B194="","",'REGISTRO NO PAGAR'!T194)</f>
        <v/>
      </c>
    </row>
    <row r="195">
      <c r="A195" s="74">
        <f>IF('REGISTRO NO PAGAR'!B195="","",'REGISTRO NO PAGAR'!A195)</f>
        <v/>
      </c>
      <c r="B195" s="74">
        <f>IF('REGISTRO NO PAGAR'!B195="","",'REGISTRO NO PAGAR'!B195)</f>
        <v/>
      </c>
      <c r="C195" s="74">
        <f>IF('REGISTRO NO PAGAR'!B195="","",'REGISTRO NO PAGAR'!C195)</f>
        <v/>
      </c>
      <c r="D195" s="74">
        <f>IF('REGISTRO NO PAGAR'!B195="","",'REGISTRO NO PAGAR'!D195)</f>
        <v/>
      </c>
      <c r="E195" s="74">
        <f>IF('REGISTRO NO PAGAR'!B195="","",'REGISTRO NO PAGAR'!E195)</f>
        <v/>
      </c>
      <c r="F195" s="74">
        <f>IF('REGISTRO NO PAGAR'!B195="","",'REGISTRO NO PAGAR'!F195)</f>
        <v/>
      </c>
      <c r="G195" s="74">
        <f>IF('REGISTRO NO PAGAR'!B195="","",'REGISTRO NO PAGAR'!G195)</f>
        <v/>
      </c>
      <c r="H195" s="74">
        <f>IF('REGISTRO NO PAGAR'!B195="","",'REGISTRO NO PAGAR'!I195)</f>
        <v/>
      </c>
      <c r="I195" s="74">
        <f>IF('REGISTRO NO PAGAR'!B195="","",'REGISTRO NO PAGAR'!J195)</f>
        <v/>
      </c>
      <c r="J195" s="74">
        <f>IF('REGISTRO NO PAGAR'!B195="","",'REGISTRO NO PAGAR'!K195)</f>
        <v/>
      </c>
      <c r="K195" s="74">
        <f>IF('REGISTRO NO PAGAR'!B195="","",'REGISTRO NO PAGAR'!M195)</f>
        <v/>
      </c>
      <c r="L195" s="75">
        <f>IF('REGISTRO NO PAGAR'!B195="","",'REGISTRO NO PAGAR'!N195)</f>
        <v/>
      </c>
      <c r="M195" s="74">
        <f>IF('REGISTRO NO PAGAR'!B195="","",'REGISTRO NO PAGAR'!T195)</f>
        <v/>
      </c>
    </row>
    <row r="196">
      <c r="A196" s="74">
        <f>IF('REGISTRO NO PAGAR'!B196="","",'REGISTRO NO PAGAR'!A196)</f>
        <v/>
      </c>
      <c r="B196" s="74">
        <f>IF('REGISTRO NO PAGAR'!B196="","",'REGISTRO NO PAGAR'!B196)</f>
        <v/>
      </c>
      <c r="C196" s="74">
        <f>IF('REGISTRO NO PAGAR'!B196="","",'REGISTRO NO PAGAR'!C196)</f>
        <v/>
      </c>
      <c r="D196" s="74">
        <f>IF('REGISTRO NO PAGAR'!B196="","",'REGISTRO NO PAGAR'!D196)</f>
        <v/>
      </c>
      <c r="E196" s="74">
        <f>IF('REGISTRO NO PAGAR'!B196="","",'REGISTRO NO PAGAR'!E196)</f>
        <v/>
      </c>
      <c r="F196" s="74">
        <f>IF('REGISTRO NO PAGAR'!B196="","",'REGISTRO NO PAGAR'!F196)</f>
        <v/>
      </c>
      <c r="G196" s="74">
        <f>IF('REGISTRO NO PAGAR'!B196="","",'REGISTRO NO PAGAR'!G196)</f>
        <v/>
      </c>
      <c r="H196" s="74">
        <f>IF('REGISTRO NO PAGAR'!B196="","",'REGISTRO NO PAGAR'!I196)</f>
        <v/>
      </c>
      <c r="I196" s="74">
        <f>IF('REGISTRO NO PAGAR'!B196="","",'REGISTRO NO PAGAR'!J196)</f>
        <v/>
      </c>
      <c r="J196" s="74">
        <f>IF('REGISTRO NO PAGAR'!B196="","",'REGISTRO NO PAGAR'!K196)</f>
        <v/>
      </c>
      <c r="K196" s="74">
        <f>IF('REGISTRO NO PAGAR'!B196="","",'REGISTRO NO PAGAR'!M196)</f>
        <v/>
      </c>
      <c r="L196" s="75">
        <f>IF('REGISTRO NO PAGAR'!B196="","",'REGISTRO NO PAGAR'!N196)</f>
        <v/>
      </c>
      <c r="M196" s="74">
        <f>IF('REGISTRO NO PAGAR'!B196="","",'REGISTRO NO PAGAR'!T196)</f>
        <v/>
      </c>
    </row>
    <row r="197">
      <c r="A197" s="74">
        <f>IF('REGISTRO NO PAGAR'!B197="","",'REGISTRO NO PAGAR'!A197)</f>
        <v/>
      </c>
      <c r="B197" s="74">
        <f>IF('REGISTRO NO PAGAR'!B197="","",'REGISTRO NO PAGAR'!B197)</f>
        <v/>
      </c>
      <c r="C197" s="74">
        <f>IF('REGISTRO NO PAGAR'!B197="","",'REGISTRO NO PAGAR'!C197)</f>
        <v/>
      </c>
      <c r="D197" s="74">
        <f>IF('REGISTRO NO PAGAR'!B197="","",'REGISTRO NO PAGAR'!D197)</f>
        <v/>
      </c>
      <c r="E197" s="74">
        <f>IF('REGISTRO NO PAGAR'!B197="","",'REGISTRO NO PAGAR'!E197)</f>
        <v/>
      </c>
      <c r="F197" s="74">
        <f>IF('REGISTRO NO PAGAR'!B197="","",'REGISTRO NO PAGAR'!F197)</f>
        <v/>
      </c>
      <c r="G197" s="74">
        <f>IF('REGISTRO NO PAGAR'!B197="","",'REGISTRO NO PAGAR'!G197)</f>
        <v/>
      </c>
      <c r="H197" s="74">
        <f>IF('REGISTRO NO PAGAR'!B197="","",'REGISTRO NO PAGAR'!I197)</f>
        <v/>
      </c>
      <c r="I197" s="74">
        <f>IF('REGISTRO NO PAGAR'!B197="","",'REGISTRO NO PAGAR'!J197)</f>
        <v/>
      </c>
      <c r="J197" s="74">
        <f>IF('REGISTRO NO PAGAR'!B197="","",'REGISTRO NO PAGAR'!K197)</f>
        <v/>
      </c>
      <c r="K197" s="74">
        <f>IF('REGISTRO NO PAGAR'!B197="","",'REGISTRO NO PAGAR'!M197)</f>
        <v/>
      </c>
      <c r="L197" s="75">
        <f>IF('REGISTRO NO PAGAR'!B197="","",'REGISTRO NO PAGAR'!N197)</f>
        <v/>
      </c>
      <c r="M197" s="74">
        <f>IF('REGISTRO NO PAGAR'!B197="","",'REGISTRO NO PAGAR'!T197)</f>
        <v/>
      </c>
    </row>
    <row r="198">
      <c r="A198" s="74">
        <f>IF('REGISTRO NO PAGAR'!B198="","",'REGISTRO NO PAGAR'!A198)</f>
        <v/>
      </c>
      <c r="B198" s="74">
        <f>IF('REGISTRO NO PAGAR'!B198="","",'REGISTRO NO PAGAR'!B198)</f>
        <v/>
      </c>
      <c r="C198" s="74">
        <f>IF('REGISTRO NO PAGAR'!B198="","",'REGISTRO NO PAGAR'!C198)</f>
        <v/>
      </c>
      <c r="D198" s="74">
        <f>IF('REGISTRO NO PAGAR'!B198="","",'REGISTRO NO PAGAR'!D198)</f>
        <v/>
      </c>
      <c r="E198" s="74">
        <f>IF('REGISTRO NO PAGAR'!B198="","",'REGISTRO NO PAGAR'!E198)</f>
        <v/>
      </c>
      <c r="F198" s="74">
        <f>IF('REGISTRO NO PAGAR'!B198="","",'REGISTRO NO PAGAR'!F198)</f>
        <v/>
      </c>
      <c r="G198" s="74">
        <f>IF('REGISTRO NO PAGAR'!B198="","",'REGISTRO NO PAGAR'!G198)</f>
        <v/>
      </c>
      <c r="H198" s="74">
        <f>IF('REGISTRO NO PAGAR'!B198="","",'REGISTRO NO PAGAR'!I198)</f>
        <v/>
      </c>
      <c r="I198" s="74">
        <f>IF('REGISTRO NO PAGAR'!B198="","",'REGISTRO NO PAGAR'!J198)</f>
        <v/>
      </c>
      <c r="J198" s="74">
        <f>IF('REGISTRO NO PAGAR'!B198="","",'REGISTRO NO PAGAR'!K198)</f>
        <v/>
      </c>
      <c r="K198" s="74">
        <f>IF('REGISTRO NO PAGAR'!B198="","",'REGISTRO NO PAGAR'!M198)</f>
        <v/>
      </c>
      <c r="L198" s="75">
        <f>IF('REGISTRO NO PAGAR'!B198="","",'REGISTRO NO PAGAR'!N198)</f>
        <v/>
      </c>
      <c r="M198" s="74">
        <f>IF('REGISTRO NO PAGAR'!B198="","",'REGISTRO NO PAGAR'!T198)</f>
        <v/>
      </c>
    </row>
    <row r="199">
      <c r="A199" s="74">
        <f>IF('REGISTRO NO PAGAR'!B199="","",'REGISTRO NO PAGAR'!A199)</f>
        <v/>
      </c>
      <c r="B199" s="74">
        <f>IF('REGISTRO NO PAGAR'!B199="","",'REGISTRO NO PAGAR'!B199)</f>
        <v/>
      </c>
      <c r="C199" s="74">
        <f>IF('REGISTRO NO PAGAR'!B199="","",'REGISTRO NO PAGAR'!C199)</f>
        <v/>
      </c>
      <c r="D199" s="74">
        <f>IF('REGISTRO NO PAGAR'!B199="","",'REGISTRO NO PAGAR'!D199)</f>
        <v/>
      </c>
      <c r="E199" s="74">
        <f>IF('REGISTRO NO PAGAR'!B199="","",'REGISTRO NO PAGAR'!E199)</f>
        <v/>
      </c>
      <c r="F199" s="74">
        <f>IF('REGISTRO NO PAGAR'!B199="","",'REGISTRO NO PAGAR'!F199)</f>
        <v/>
      </c>
      <c r="G199" s="74">
        <f>IF('REGISTRO NO PAGAR'!B199="","",'REGISTRO NO PAGAR'!G199)</f>
        <v/>
      </c>
      <c r="H199" s="74">
        <f>IF('REGISTRO NO PAGAR'!B199="","",'REGISTRO NO PAGAR'!I199)</f>
        <v/>
      </c>
      <c r="I199" s="74">
        <f>IF('REGISTRO NO PAGAR'!B199="","",'REGISTRO NO PAGAR'!J199)</f>
        <v/>
      </c>
      <c r="J199" s="74">
        <f>IF('REGISTRO NO PAGAR'!B199="","",'REGISTRO NO PAGAR'!K199)</f>
        <v/>
      </c>
      <c r="K199" s="74">
        <f>IF('REGISTRO NO PAGAR'!B199="","",'REGISTRO NO PAGAR'!M199)</f>
        <v/>
      </c>
      <c r="L199" s="75">
        <f>IF('REGISTRO NO PAGAR'!B199="","",'REGISTRO NO PAGAR'!N199)</f>
        <v/>
      </c>
      <c r="M199" s="74">
        <f>IF('REGISTRO NO PAGAR'!B199="","",'REGISTRO NO PAGAR'!T199)</f>
        <v/>
      </c>
    </row>
    <row r="200">
      <c r="A200" s="74">
        <f>IF('REGISTRO NO PAGAR'!B200="","",'REGISTRO NO PAGAR'!A200)</f>
        <v/>
      </c>
      <c r="B200" s="74">
        <f>IF('REGISTRO NO PAGAR'!B200="","",'REGISTRO NO PAGAR'!B200)</f>
        <v/>
      </c>
      <c r="C200" s="74">
        <f>IF('REGISTRO NO PAGAR'!B200="","",'REGISTRO NO PAGAR'!C200)</f>
        <v/>
      </c>
      <c r="D200" s="74">
        <f>IF('REGISTRO NO PAGAR'!B200="","",'REGISTRO NO PAGAR'!D200)</f>
        <v/>
      </c>
      <c r="E200" s="74">
        <f>IF('REGISTRO NO PAGAR'!B200="","",'REGISTRO NO PAGAR'!E200)</f>
        <v/>
      </c>
      <c r="F200" s="74">
        <f>IF('REGISTRO NO PAGAR'!B200="","",'REGISTRO NO PAGAR'!F200)</f>
        <v/>
      </c>
      <c r="G200" s="74">
        <f>IF('REGISTRO NO PAGAR'!B200="","",'REGISTRO NO PAGAR'!G200)</f>
        <v/>
      </c>
      <c r="H200" s="74">
        <f>IF('REGISTRO NO PAGAR'!B200="","",'REGISTRO NO PAGAR'!I200)</f>
        <v/>
      </c>
      <c r="I200" s="74">
        <f>IF('REGISTRO NO PAGAR'!B200="","",'REGISTRO NO PAGAR'!J200)</f>
        <v/>
      </c>
      <c r="J200" s="74">
        <f>IF('REGISTRO NO PAGAR'!B200="","",'REGISTRO NO PAGAR'!K200)</f>
        <v/>
      </c>
      <c r="K200" s="74">
        <f>IF('REGISTRO NO PAGAR'!B200="","",'REGISTRO NO PAGAR'!M200)</f>
        <v/>
      </c>
      <c r="L200" s="75">
        <f>IF('REGISTRO NO PAGAR'!B200="","",'REGISTRO NO PAGAR'!N200)</f>
        <v/>
      </c>
      <c r="M200" s="74">
        <f>IF('REGISTRO NO PAGAR'!B200="","",'REGISTRO NO PAGAR'!T200)</f>
        <v/>
      </c>
    </row>
    <row r="201">
      <c r="A201" s="74">
        <f>IF('REGISTRO NO PAGAR'!B201="","",'REGISTRO NO PAGAR'!A201)</f>
        <v/>
      </c>
      <c r="B201" s="74">
        <f>IF('REGISTRO NO PAGAR'!B201="","",'REGISTRO NO PAGAR'!B201)</f>
        <v/>
      </c>
      <c r="C201" s="74">
        <f>IF('REGISTRO NO PAGAR'!B201="","",'REGISTRO NO PAGAR'!C201)</f>
        <v/>
      </c>
      <c r="D201" s="74">
        <f>IF('REGISTRO NO PAGAR'!B201="","",'REGISTRO NO PAGAR'!D201)</f>
        <v/>
      </c>
      <c r="E201" s="74">
        <f>IF('REGISTRO NO PAGAR'!B201="","",'REGISTRO NO PAGAR'!E201)</f>
        <v/>
      </c>
      <c r="F201" s="74">
        <f>IF('REGISTRO NO PAGAR'!B201="","",'REGISTRO NO PAGAR'!F201)</f>
        <v/>
      </c>
      <c r="G201" s="74">
        <f>IF('REGISTRO NO PAGAR'!B201="","",'REGISTRO NO PAGAR'!G201)</f>
        <v/>
      </c>
      <c r="H201" s="74">
        <f>IF('REGISTRO NO PAGAR'!B201="","",'REGISTRO NO PAGAR'!I201)</f>
        <v/>
      </c>
      <c r="I201" s="74">
        <f>IF('REGISTRO NO PAGAR'!B201="","",'REGISTRO NO PAGAR'!J201)</f>
        <v/>
      </c>
      <c r="J201" s="74">
        <f>IF('REGISTRO NO PAGAR'!B201="","",'REGISTRO NO PAGAR'!K201)</f>
        <v/>
      </c>
      <c r="K201" s="74">
        <f>IF('REGISTRO NO PAGAR'!B201="","",'REGISTRO NO PAGAR'!M201)</f>
        <v/>
      </c>
      <c r="L201" s="75">
        <f>IF('REGISTRO NO PAGAR'!B201="","",'REGISTRO NO PAGAR'!N201)</f>
        <v/>
      </c>
      <c r="M201" s="74">
        <f>IF('REGISTRO NO PAGAR'!B201="","",'REGISTRO NO PAGAR'!T201)</f>
        <v/>
      </c>
    </row>
    <row r="202">
      <c r="A202" s="74">
        <f>IF('REGISTRO NO PAGAR'!B202="","",'REGISTRO NO PAGAR'!A202)</f>
        <v/>
      </c>
      <c r="B202" s="74">
        <f>IF('REGISTRO NO PAGAR'!B202="","",'REGISTRO NO PAGAR'!B202)</f>
        <v/>
      </c>
      <c r="C202" s="74">
        <f>IF('REGISTRO NO PAGAR'!B202="","",'REGISTRO NO PAGAR'!C202)</f>
        <v/>
      </c>
      <c r="D202" s="74">
        <f>IF('REGISTRO NO PAGAR'!B202="","",'REGISTRO NO PAGAR'!D202)</f>
        <v/>
      </c>
      <c r="E202" s="74">
        <f>IF('REGISTRO NO PAGAR'!B202="","",'REGISTRO NO PAGAR'!E202)</f>
        <v/>
      </c>
      <c r="F202" s="74">
        <f>IF('REGISTRO NO PAGAR'!B202="","",'REGISTRO NO PAGAR'!F202)</f>
        <v/>
      </c>
      <c r="G202" s="74">
        <f>IF('REGISTRO NO PAGAR'!B202="","",'REGISTRO NO PAGAR'!G202)</f>
        <v/>
      </c>
      <c r="H202" s="74">
        <f>IF('REGISTRO NO PAGAR'!B202="","",'REGISTRO NO PAGAR'!I202)</f>
        <v/>
      </c>
      <c r="I202" s="74">
        <f>IF('REGISTRO NO PAGAR'!B202="","",'REGISTRO NO PAGAR'!J202)</f>
        <v/>
      </c>
      <c r="J202" s="74">
        <f>IF('REGISTRO NO PAGAR'!B202="","",'REGISTRO NO PAGAR'!K202)</f>
        <v/>
      </c>
      <c r="K202" s="74">
        <f>IF('REGISTRO NO PAGAR'!B202="","",'REGISTRO NO PAGAR'!M202)</f>
        <v/>
      </c>
      <c r="L202" s="75">
        <f>IF('REGISTRO NO PAGAR'!B202="","",'REGISTRO NO PAGAR'!N202)</f>
        <v/>
      </c>
      <c r="M202" s="74">
        <f>IF('REGISTRO NO PAGAR'!B202="","",'REGISTRO NO PAGAR'!T202)</f>
        <v/>
      </c>
    </row>
    <row r="203">
      <c r="A203" s="74">
        <f>IF('REGISTRO NO PAGAR'!B203="","",'REGISTRO NO PAGAR'!A203)</f>
        <v/>
      </c>
      <c r="B203" s="74">
        <f>IF('REGISTRO NO PAGAR'!B203="","",'REGISTRO NO PAGAR'!B203)</f>
        <v/>
      </c>
      <c r="C203" s="74">
        <f>IF('REGISTRO NO PAGAR'!B203="","",'REGISTRO NO PAGAR'!C203)</f>
        <v/>
      </c>
      <c r="D203" s="74">
        <f>IF('REGISTRO NO PAGAR'!B203="","",'REGISTRO NO PAGAR'!D203)</f>
        <v/>
      </c>
      <c r="E203" s="74">
        <f>IF('REGISTRO NO PAGAR'!B203="","",'REGISTRO NO PAGAR'!E203)</f>
        <v/>
      </c>
      <c r="F203" s="74">
        <f>IF('REGISTRO NO PAGAR'!B203="","",'REGISTRO NO PAGAR'!F203)</f>
        <v/>
      </c>
      <c r="G203" s="74">
        <f>IF('REGISTRO NO PAGAR'!B203="","",'REGISTRO NO PAGAR'!G203)</f>
        <v/>
      </c>
      <c r="H203" s="74">
        <f>IF('REGISTRO NO PAGAR'!B203="","",'REGISTRO NO PAGAR'!I203)</f>
        <v/>
      </c>
      <c r="I203" s="74">
        <f>IF('REGISTRO NO PAGAR'!B203="","",'REGISTRO NO PAGAR'!J203)</f>
        <v/>
      </c>
      <c r="J203" s="74">
        <f>IF('REGISTRO NO PAGAR'!B203="","",'REGISTRO NO PAGAR'!K203)</f>
        <v/>
      </c>
      <c r="K203" s="74">
        <f>IF('REGISTRO NO PAGAR'!B203="","",'REGISTRO NO PAGAR'!M203)</f>
        <v/>
      </c>
      <c r="L203" s="75">
        <f>IF('REGISTRO NO PAGAR'!B203="","",'REGISTRO NO PAGAR'!N203)</f>
        <v/>
      </c>
      <c r="M203" s="74">
        <f>IF('REGISTRO NO PAGAR'!B203="","",'REGISTRO NO PAGAR'!T203)</f>
        <v/>
      </c>
    </row>
    <row r="204">
      <c r="A204" s="74">
        <f>IF('REGISTRO NO PAGAR'!B204="","",'REGISTRO NO PAGAR'!A204)</f>
        <v/>
      </c>
      <c r="B204" s="74">
        <f>IF('REGISTRO NO PAGAR'!B204="","",'REGISTRO NO PAGAR'!B204)</f>
        <v/>
      </c>
      <c r="C204" s="74">
        <f>IF('REGISTRO NO PAGAR'!B204="","",'REGISTRO NO PAGAR'!C204)</f>
        <v/>
      </c>
      <c r="D204" s="74">
        <f>IF('REGISTRO NO PAGAR'!B204="","",'REGISTRO NO PAGAR'!D204)</f>
        <v/>
      </c>
      <c r="E204" s="74">
        <f>IF('REGISTRO NO PAGAR'!B204="","",'REGISTRO NO PAGAR'!E204)</f>
        <v/>
      </c>
      <c r="F204" s="74">
        <f>IF('REGISTRO NO PAGAR'!B204="","",'REGISTRO NO PAGAR'!F204)</f>
        <v/>
      </c>
      <c r="G204" s="74">
        <f>IF('REGISTRO NO PAGAR'!B204="","",'REGISTRO NO PAGAR'!G204)</f>
        <v/>
      </c>
      <c r="H204" s="74">
        <f>IF('REGISTRO NO PAGAR'!B204="","",'REGISTRO NO PAGAR'!I204)</f>
        <v/>
      </c>
      <c r="I204" s="74">
        <f>IF('REGISTRO NO PAGAR'!B204="","",'REGISTRO NO PAGAR'!J204)</f>
        <v/>
      </c>
      <c r="J204" s="74">
        <f>IF('REGISTRO NO PAGAR'!B204="","",'REGISTRO NO PAGAR'!K204)</f>
        <v/>
      </c>
      <c r="K204" s="74">
        <f>IF('REGISTRO NO PAGAR'!B204="","",'REGISTRO NO PAGAR'!M204)</f>
        <v/>
      </c>
      <c r="L204" s="75">
        <f>IF('REGISTRO NO PAGAR'!B204="","",'REGISTRO NO PAGAR'!N204)</f>
        <v/>
      </c>
      <c r="M204" s="74">
        <f>IF('REGISTRO NO PAGAR'!B204="","",'REGISTRO NO PAGAR'!T204)</f>
        <v/>
      </c>
    </row>
    <row r="205">
      <c r="A205" s="74">
        <f>IF('REGISTRO NO PAGAR'!B205="","",'REGISTRO NO PAGAR'!A205)</f>
        <v/>
      </c>
      <c r="B205" s="74">
        <f>IF('REGISTRO NO PAGAR'!B205="","",'REGISTRO NO PAGAR'!B205)</f>
        <v/>
      </c>
      <c r="C205" s="74">
        <f>IF('REGISTRO NO PAGAR'!B205="","",'REGISTRO NO PAGAR'!C205)</f>
        <v/>
      </c>
      <c r="D205" s="74">
        <f>IF('REGISTRO NO PAGAR'!B205="","",'REGISTRO NO PAGAR'!D205)</f>
        <v/>
      </c>
      <c r="E205" s="74">
        <f>IF('REGISTRO NO PAGAR'!B205="","",'REGISTRO NO PAGAR'!E205)</f>
        <v/>
      </c>
      <c r="F205" s="74">
        <f>IF('REGISTRO NO PAGAR'!B205="","",'REGISTRO NO PAGAR'!F205)</f>
        <v/>
      </c>
      <c r="G205" s="74">
        <f>IF('REGISTRO NO PAGAR'!B205="","",'REGISTRO NO PAGAR'!G205)</f>
        <v/>
      </c>
      <c r="H205" s="74">
        <f>IF('REGISTRO NO PAGAR'!B205="","",'REGISTRO NO PAGAR'!I205)</f>
        <v/>
      </c>
      <c r="I205" s="74">
        <f>IF('REGISTRO NO PAGAR'!B205="","",'REGISTRO NO PAGAR'!J205)</f>
        <v/>
      </c>
      <c r="J205" s="74">
        <f>IF('REGISTRO NO PAGAR'!B205="","",'REGISTRO NO PAGAR'!K205)</f>
        <v/>
      </c>
      <c r="K205" s="74">
        <f>IF('REGISTRO NO PAGAR'!B205="","",'REGISTRO NO PAGAR'!M205)</f>
        <v/>
      </c>
      <c r="L205" s="75">
        <f>IF('REGISTRO NO PAGAR'!B205="","",'REGISTRO NO PAGAR'!N205)</f>
        <v/>
      </c>
      <c r="M205" s="74">
        <f>IF('REGISTRO NO PAGAR'!B205="","",'REGISTRO NO PAGAR'!T205)</f>
        <v/>
      </c>
    </row>
    <row r="206">
      <c r="A206" s="74">
        <f>IF('REGISTRO NO PAGAR'!B206="","",'REGISTRO NO PAGAR'!A206)</f>
        <v/>
      </c>
      <c r="B206" s="74">
        <f>IF('REGISTRO NO PAGAR'!B206="","",'REGISTRO NO PAGAR'!B206)</f>
        <v/>
      </c>
      <c r="C206" s="74">
        <f>IF('REGISTRO NO PAGAR'!B206="","",'REGISTRO NO PAGAR'!C206)</f>
        <v/>
      </c>
      <c r="D206" s="74">
        <f>IF('REGISTRO NO PAGAR'!B206="","",'REGISTRO NO PAGAR'!D206)</f>
        <v/>
      </c>
      <c r="E206" s="74">
        <f>IF('REGISTRO NO PAGAR'!B206="","",'REGISTRO NO PAGAR'!E206)</f>
        <v/>
      </c>
      <c r="F206" s="74">
        <f>IF('REGISTRO NO PAGAR'!B206="","",'REGISTRO NO PAGAR'!F206)</f>
        <v/>
      </c>
      <c r="G206" s="74">
        <f>IF('REGISTRO NO PAGAR'!B206="","",'REGISTRO NO PAGAR'!G206)</f>
        <v/>
      </c>
      <c r="H206" s="74">
        <f>IF('REGISTRO NO PAGAR'!B206="","",'REGISTRO NO PAGAR'!I206)</f>
        <v/>
      </c>
      <c r="I206" s="74">
        <f>IF('REGISTRO NO PAGAR'!B206="","",'REGISTRO NO PAGAR'!J206)</f>
        <v/>
      </c>
      <c r="J206" s="74">
        <f>IF('REGISTRO NO PAGAR'!B206="","",'REGISTRO NO PAGAR'!K206)</f>
        <v/>
      </c>
      <c r="K206" s="74">
        <f>IF('REGISTRO NO PAGAR'!B206="","",'REGISTRO NO PAGAR'!M206)</f>
        <v/>
      </c>
      <c r="L206" s="75">
        <f>IF('REGISTRO NO PAGAR'!B206="","",'REGISTRO NO PAGAR'!N206)</f>
        <v/>
      </c>
      <c r="M206" s="74">
        <f>IF('REGISTRO NO PAGAR'!B206="","",'REGISTRO NO PAGAR'!T206)</f>
        <v/>
      </c>
    </row>
    <row r="207">
      <c r="A207" s="74">
        <f>IF('REGISTRO NO PAGAR'!B207="","",'REGISTRO NO PAGAR'!A207)</f>
        <v/>
      </c>
      <c r="B207" s="74">
        <f>IF('REGISTRO NO PAGAR'!B207="","",'REGISTRO NO PAGAR'!B207)</f>
        <v/>
      </c>
      <c r="C207" s="74">
        <f>IF('REGISTRO NO PAGAR'!B207="","",'REGISTRO NO PAGAR'!C207)</f>
        <v/>
      </c>
      <c r="D207" s="74">
        <f>IF('REGISTRO NO PAGAR'!B207="","",'REGISTRO NO PAGAR'!D207)</f>
        <v/>
      </c>
      <c r="E207" s="74">
        <f>IF('REGISTRO NO PAGAR'!B207="","",'REGISTRO NO PAGAR'!E207)</f>
        <v/>
      </c>
      <c r="F207" s="74">
        <f>IF('REGISTRO NO PAGAR'!B207="","",'REGISTRO NO PAGAR'!F207)</f>
        <v/>
      </c>
      <c r="G207" s="74">
        <f>IF('REGISTRO NO PAGAR'!B207="","",'REGISTRO NO PAGAR'!G207)</f>
        <v/>
      </c>
      <c r="H207" s="74">
        <f>IF('REGISTRO NO PAGAR'!B207="","",'REGISTRO NO PAGAR'!I207)</f>
        <v/>
      </c>
      <c r="I207" s="74">
        <f>IF('REGISTRO NO PAGAR'!B207="","",'REGISTRO NO PAGAR'!J207)</f>
        <v/>
      </c>
      <c r="J207" s="74">
        <f>IF('REGISTRO NO PAGAR'!B207="","",'REGISTRO NO PAGAR'!K207)</f>
        <v/>
      </c>
      <c r="K207" s="74">
        <f>IF('REGISTRO NO PAGAR'!B207="","",'REGISTRO NO PAGAR'!M207)</f>
        <v/>
      </c>
      <c r="L207" s="75">
        <f>IF('REGISTRO NO PAGAR'!B207="","",'REGISTRO NO PAGAR'!N207)</f>
        <v/>
      </c>
      <c r="M207" s="74">
        <f>IF('REGISTRO NO PAGAR'!B207="","",'REGISTRO NO PAGAR'!T207)</f>
        <v/>
      </c>
    </row>
    <row r="208">
      <c r="A208" s="74">
        <f>IF('REGISTRO NO PAGAR'!B208="","",'REGISTRO NO PAGAR'!A208)</f>
        <v/>
      </c>
      <c r="B208" s="74">
        <f>IF('REGISTRO NO PAGAR'!B208="","",'REGISTRO NO PAGAR'!B208)</f>
        <v/>
      </c>
      <c r="C208" s="74">
        <f>IF('REGISTRO NO PAGAR'!B208="","",'REGISTRO NO PAGAR'!C208)</f>
        <v/>
      </c>
      <c r="D208" s="74">
        <f>IF('REGISTRO NO PAGAR'!B208="","",'REGISTRO NO PAGAR'!D208)</f>
        <v/>
      </c>
      <c r="E208" s="74">
        <f>IF('REGISTRO NO PAGAR'!B208="","",'REGISTRO NO PAGAR'!E208)</f>
        <v/>
      </c>
      <c r="F208" s="74">
        <f>IF('REGISTRO NO PAGAR'!B208="","",'REGISTRO NO PAGAR'!F208)</f>
        <v/>
      </c>
      <c r="G208" s="74">
        <f>IF('REGISTRO NO PAGAR'!B208="","",'REGISTRO NO PAGAR'!G208)</f>
        <v/>
      </c>
      <c r="H208" s="74">
        <f>IF('REGISTRO NO PAGAR'!B208="","",'REGISTRO NO PAGAR'!I208)</f>
        <v/>
      </c>
      <c r="I208" s="74">
        <f>IF('REGISTRO NO PAGAR'!B208="","",'REGISTRO NO PAGAR'!J208)</f>
        <v/>
      </c>
      <c r="J208" s="74">
        <f>IF('REGISTRO NO PAGAR'!B208="","",'REGISTRO NO PAGAR'!K208)</f>
        <v/>
      </c>
      <c r="K208" s="74">
        <f>IF('REGISTRO NO PAGAR'!B208="","",'REGISTRO NO PAGAR'!M208)</f>
        <v/>
      </c>
      <c r="L208" s="75">
        <f>IF('REGISTRO NO PAGAR'!B208="","",'REGISTRO NO PAGAR'!N208)</f>
        <v/>
      </c>
      <c r="M208" s="74">
        <f>IF('REGISTRO NO PAGAR'!B208="","",'REGISTRO NO PAGAR'!T208)</f>
        <v/>
      </c>
    </row>
    <row r="209">
      <c r="A209" s="74">
        <f>IF('REGISTRO NO PAGAR'!B209="","",'REGISTRO NO PAGAR'!A209)</f>
        <v/>
      </c>
      <c r="B209" s="74">
        <f>IF('REGISTRO NO PAGAR'!B209="","",'REGISTRO NO PAGAR'!B209)</f>
        <v/>
      </c>
      <c r="C209" s="74">
        <f>IF('REGISTRO NO PAGAR'!B209="","",'REGISTRO NO PAGAR'!C209)</f>
        <v/>
      </c>
      <c r="D209" s="74">
        <f>IF('REGISTRO NO PAGAR'!B209="","",'REGISTRO NO PAGAR'!D209)</f>
        <v/>
      </c>
      <c r="E209" s="74">
        <f>IF('REGISTRO NO PAGAR'!B209="","",'REGISTRO NO PAGAR'!E209)</f>
        <v/>
      </c>
      <c r="F209" s="74">
        <f>IF('REGISTRO NO PAGAR'!B209="","",'REGISTRO NO PAGAR'!F209)</f>
        <v/>
      </c>
      <c r="G209" s="74">
        <f>IF('REGISTRO NO PAGAR'!B209="","",'REGISTRO NO PAGAR'!G209)</f>
        <v/>
      </c>
      <c r="H209" s="74">
        <f>IF('REGISTRO NO PAGAR'!B209="","",'REGISTRO NO PAGAR'!I209)</f>
        <v/>
      </c>
      <c r="I209" s="74">
        <f>IF('REGISTRO NO PAGAR'!B209="","",'REGISTRO NO PAGAR'!J209)</f>
        <v/>
      </c>
      <c r="J209" s="74">
        <f>IF('REGISTRO NO PAGAR'!B209="","",'REGISTRO NO PAGAR'!K209)</f>
        <v/>
      </c>
      <c r="K209" s="74">
        <f>IF('REGISTRO NO PAGAR'!B209="","",'REGISTRO NO PAGAR'!M209)</f>
        <v/>
      </c>
      <c r="L209" s="75">
        <f>IF('REGISTRO NO PAGAR'!B209="","",'REGISTRO NO PAGAR'!N209)</f>
        <v/>
      </c>
      <c r="M209" s="74">
        <f>IF('REGISTRO NO PAGAR'!B209="","",'REGISTRO NO PAGAR'!T209)</f>
        <v/>
      </c>
    </row>
    <row r="210">
      <c r="A210" s="74">
        <f>IF('REGISTRO NO PAGAR'!B210="","",'REGISTRO NO PAGAR'!A210)</f>
        <v/>
      </c>
      <c r="B210" s="74">
        <f>IF('REGISTRO NO PAGAR'!B210="","",'REGISTRO NO PAGAR'!B210)</f>
        <v/>
      </c>
      <c r="C210" s="74">
        <f>IF('REGISTRO NO PAGAR'!B210="","",'REGISTRO NO PAGAR'!C210)</f>
        <v/>
      </c>
      <c r="D210" s="74">
        <f>IF('REGISTRO NO PAGAR'!B210="","",'REGISTRO NO PAGAR'!D210)</f>
        <v/>
      </c>
      <c r="E210" s="74">
        <f>IF('REGISTRO NO PAGAR'!B210="","",'REGISTRO NO PAGAR'!E210)</f>
        <v/>
      </c>
      <c r="F210" s="74">
        <f>IF('REGISTRO NO PAGAR'!B210="","",'REGISTRO NO PAGAR'!F210)</f>
        <v/>
      </c>
      <c r="G210" s="74">
        <f>IF('REGISTRO NO PAGAR'!B210="","",'REGISTRO NO PAGAR'!G210)</f>
        <v/>
      </c>
      <c r="H210" s="74">
        <f>IF('REGISTRO NO PAGAR'!B210="","",'REGISTRO NO PAGAR'!I210)</f>
        <v/>
      </c>
      <c r="I210" s="74">
        <f>IF('REGISTRO NO PAGAR'!B210="","",'REGISTRO NO PAGAR'!J210)</f>
        <v/>
      </c>
      <c r="J210" s="74">
        <f>IF('REGISTRO NO PAGAR'!B210="","",'REGISTRO NO PAGAR'!K210)</f>
        <v/>
      </c>
      <c r="K210" s="74">
        <f>IF('REGISTRO NO PAGAR'!B210="","",'REGISTRO NO PAGAR'!M210)</f>
        <v/>
      </c>
      <c r="L210" s="75">
        <f>IF('REGISTRO NO PAGAR'!B210="","",'REGISTRO NO PAGAR'!N210)</f>
        <v/>
      </c>
      <c r="M210" s="74">
        <f>IF('REGISTRO NO PAGAR'!B210="","",'REGISTRO NO PAGAR'!T210)</f>
        <v/>
      </c>
    </row>
    <row r="211">
      <c r="A211" s="74">
        <f>IF('REGISTRO NO PAGAR'!B211="","",'REGISTRO NO PAGAR'!A211)</f>
        <v/>
      </c>
      <c r="B211" s="74">
        <f>IF('REGISTRO NO PAGAR'!B211="","",'REGISTRO NO PAGAR'!B211)</f>
        <v/>
      </c>
      <c r="C211" s="74">
        <f>IF('REGISTRO NO PAGAR'!B211="","",'REGISTRO NO PAGAR'!C211)</f>
        <v/>
      </c>
      <c r="D211" s="74">
        <f>IF('REGISTRO NO PAGAR'!B211="","",'REGISTRO NO PAGAR'!D211)</f>
        <v/>
      </c>
      <c r="E211" s="74">
        <f>IF('REGISTRO NO PAGAR'!B211="","",'REGISTRO NO PAGAR'!E211)</f>
        <v/>
      </c>
      <c r="F211" s="74">
        <f>IF('REGISTRO NO PAGAR'!B211="","",'REGISTRO NO PAGAR'!F211)</f>
        <v/>
      </c>
      <c r="G211" s="74">
        <f>IF('REGISTRO NO PAGAR'!B211="","",'REGISTRO NO PAGAR'!G211)</f>
        <v/>
      </c>
      <c r="H211" s="74">
        <f>IF('REGISTRO NO PAGAR'!B211="","",'REGISTRO NO PAGAR'!I211)</f>
        <v/>
      </c>
      <c r="I211" s="74">
        <f>IF('REGISTRO NO PAGAR'!B211="","",'REGISTRO NO PAGAR'!J211)</f>
        <v/>
      </c>
      <c r="J211" s="74">
        <f>IF('REGISTRO NO PAGAR'!B211="","",'REGISTRO NO PAGAR'!K211)</f>
        <v/>
      </c>
      <c r="K211" s="74">
        <f>IF('REGISTRO NO PAGAR'!B211="","",'REGISTRO NO PAGAR'!M211)</f>
        <v/>
      </c>
      <c r="L211" s="75">
        <f>IF('REGISTRO NO PAGAR'!B211="","",'REGISTRO NO PAGAR'!N211)</f>
        <v/>
      </c>
      <c r="M211" s="74">
        <f>IF('REGISTRO NO PAGAR'!B211="","",'REGISTRO NO PAGAR'!T211)</f>
        <v/>
      </c>
    </row>
    <row r="212">
      <c r="A212" s="74">
        <f>IF('REGISTRO NO PAGAR'!B212="","",'REGISTRO NO PAGAR'!A212)</f>
        <v/>
      </c>
      <c r="B212" s="74">
        <f>IF('REGISTRO NO PAGAR'!B212="","",'REGISTRO NO PAGAR'!B212)</f>
        <v/>
      </c>
      <c r="C212" s="74">
        <f>IF('REGISTRO NO PAGAR'!B212="","",'REGISTRO NO PAGAR'!C212)</f>
        <v/>
      </c>
      <c r="D212" s="74">
        <f>IF('REGISTRO NO PAGAR'!B212="","",'REGISTRO NO PAGAR'!D212)</f>
        <v/>
      </c>
      <c r="E212" s="74">
        <f>IF('REGISTRO NO PAGAR'!B212="","",'REGISTRO NO PAGAR'!E212)</f>
        <v/>
      </c>
      <c r="F212" s="74">
        <f>IF('REGISTRO NO PAGAR'!B212="","",'REGISTRO NO PAGAR'!F212)</f>
        <v/>
      </c>
      <c r="G212" s="74">
        <f>IF('REGISTRO NO PAGAR'!B212="","",'REGISTRO NO PAGAR'!G212)</f>
        <v/>
      </c>
      <c r="H212" s="74">
        <f>IF('REGISTRO NO PAGAR'!B212="","",'REGISTRO NO PAGAR'!I212)</f>
        <v/>
      </c>
      <c r="I212" s="74">
        <f>IF('REGISTRO NO PAGAR'!B212="","",'REGISTRO NO PAGAR'!J212)</f>
        <v/>
      </c>
      <c r="J212" s="74">
        <f>IF('REGISTRO NO PAGAR'!B212="","",'REGISTRO NO PAGAR'!K212)</f>
        <v/>
      </c>
      <c r="K212" s="74">
        <f>IF('REGISTRO NO PAGAR'!B212="","",'REGISTRO NO PAGAR'!M212)</f>
        <v/>
      </c>
      <c r="L212" s="75">
        <f>IF('REGISTRO NO PAGAR'!B212="","",'REGISTRO NO PAGAR'!N212)</f>
        <v/>
      </c>
      <c r="M212" s="74">
        <f>IF('REGISTRO NO PAGAR'!B212="","",'REGISTRO NO PAGAR'!T212)</f>
        <v/>
      </c>
    </row>
    <row r="213">
      <c r="A213" s="74">
        <f>IF('REGISTRO NO PAGAR'!B213="","",'REGISTRO NO PAGAR'!A213)</f>
        <v/>
      </c>
      <c r="B213" s="74">
        <f>IF('REGISTRO NO PAGAR'!B213="","",'REGISTRO NO PAGAR'!B213)</f>
        <v/>
      </c>
      <c r="C213" s="74">
        <f>IF('REGISTRO NO PAGAR'!B213="","",'REGISTRO NO PAGAR'!C213)</f>
        <v/>
      </c>
      <c r="D213" s="74">
        <f>IF('REGISTRO NO PAGAR'!B213="","",'REGISTRO NO PAGAR'!D213)</f>
        <v/>
      </c>
      <c r="E213" s="74">
        <f>IF('REGISTRO NO PAGAR'!B213="","",'REGISTRO NO PAGAR'!E213)</f>
        <v/>
      </c>
      <c r="F213" s="74">
        <f>IF('REGISTRO NO PAGAR'!B213="","",'REGISTRO NO PAGAR'!F213)</f>
        <v/>
      </c>
      <c r="G213" s="74">
        <f>IF('REGISTRO NO PAGAR'!B213="","",'REGISTRO NO PAGAR'!G213)</f>
        <v/>
      </c>
      <c r="H213" s="74">
        <f>IF('REGISTRO NO PAGAR'!B213="","",'REGISTRO NO PAGAR'!I213)</f>
        <v/>
      </c>
      <c r="I213" s="74">
        <f>IF('REGISTRO NO PAGAR'!B213="","",'REGISTRO NO PAGAR'!J213)</f>
        <v/>
      </c>
      <c r="J213" s="74">
        <f>IF('REGISTRO NO PAGAR'!B213="","",'REGISTRO NO PAGAR'!K213)</f>
        <v/>
      </c>
      <c r="K213" s="74">
        <f>IF('REGISTRO NO PAGAR'!B213="","",'REGISTRO NO PAGAR'!M213)</f>
        <v/>
      </c>
      <c r="L213" s="75">
        <f>IF('REGISTRO NO PAGAR'!B213="","",'REGISTRO NO PAGAR'!N213)</f>
        <v/>
      </c>
      <c r="M213" s="74">
        <f>IF('REGISTRO NO PAGAR'!B213="","",'REGISTRO NO PAGAR'!T213)</f>
        <v/>
      </c>
    </row>
    <row r="214">
      <c r="A214" s="74">
        <f>IF('REGISTRO NO PAGAR'!B214="","",'REGISTRO NO PAGAR'!A214)</f>
        <v/>
      </c>
      <c r="B214" s="74">
        <f>IF('REGISTRO NO PAGAR'!B214="","",'REGISTRO NO PAGAR'!B214)</f>
        <v/>
      </c>
      <c r="C214" s="74">
        <f>IF('REGISTRO NO PAGAR'!B214="","",'REGISTRO NO PAGAR'!C214)</f>
        <v/>
      </c>
      <c r="D214" s="74">
        <f>IF('REGISTRO NO PAGAR'!B214="","",'REGISTRO NO PAGAR'!D214)</f>
        <v/>
      </c>
      <c r="E214" s="74">
        <f>IF('REGISTRO NO PAGAR'!B214="","",'REGISTRO NO PAGAR'!E214)</f>
        <v/>
      </c>
      <c r="F214" s="74">
        <f>IF('REGISTRO NO PAGAR'!B214="","",'REGISTRO NO PAGAR'!F214)</f>
        <v/>
      </c>
      <c r="G214" s="74">
        <f>IF('REGISTRO NO PAGAR'!B214="","",'REGISTRO NO PAGAR'!G214)</f>
        <v/>
      </c>
      <c r="H214" s="74">
        <f>IF('REGISTRO NO PAGAR'!B214="","",'REGISTRO NO PAGAR'!I214)</f>
        <v/>
      </c>
      <c r="I214" s="74">
        <f>IF('REGISTRO NO PAGAR'!B214="","",'REGISTRO NO PAGAR'!J214)</f>
        <v/>
      </c>
      <c r="J214" s="74">
        <f>IF('REGISTRO NO PAGAR'!B214="","",'REGISTRO NO PAGAR'!K214)</f>
        <v/>
      </c>
      <c r="K214" s="74">
        <f>IF('REGISTRO NO PAGAR'!B214="","",'REGISTRO NO PAGAR'!M214)</f>
        <v/>
      </c>
      <c r="L214" s="75">
        <f>IF('REGISTRO NO PAGAR'!B214="","",'REGISTRO NO PAGAR'!N214)</f>
        <v/>
      </c>
      <c r="M214" s="74">
        <f>IF('REGISTRO NO PAGAR'!B214="","",'REGISTRO NO PAGAR'!T214)</f>
        <v/>
      </c>
    </row>
    <row r="215">
      <c r="A215" s="74">
        <f>IF('REGISTRO NO PAGAR'!B215="","",'REGISTRO NO PAGAR'!A215)</f>
        <v/>
      </c>
      <c r="B215" s="74">
        <f>IF('REGISTRO NO PAGAR'!B215="","",'REGISTRO NO PAGAR'!B215)</f>
        <v/>
      </c>
      <c r="C215" s="74">
        <f>IF('REGISTRO NO PAGAR'!B215="","",'REGISTRO NO PAGAR'!C215)</f>
        <v/>
      </c>
      <c r="D215" s="74">
        <f>IF('REGISTRO NO PAGAR'!B215="","",'REGISTRO NO PAGAR'!D215)</f>
        <v/>
      </c>
      <c r="E215" s="74">
        <f>IF('REGISTRO NO PAGAR'!B215="","",'REGISTRO NO PAGAR'!E215)</f>
        <v/>
      </c>
      <c r="F215" s="74">
        <f>IF('REGISTRO NO PAGAR'!B215="","",'REGISTRO NO PAGAR'!F215)</f>
        <v/>
      </c>
      <c r="G215" s="74">
        <f>IF('REGISTRO NO PAGAR'!B215="","",'REGISTRO NO PAGAR'!G215)</f>
        <v/>
      </c>
      <c r="H215" s="74">
        <f>IF('REGISTRO NO PAGAR'!B215="","",'REGISTRO NO PAGAR'!I215)</f>
        <v/>
      </c>
      <c r="I215" s="74">
        <f>IF('REGISTRO NO PAGAR'!B215="","",'REGISTRO NO PAGAR'!J215)</f>
        <v/>
      </c>
      <c r="J215" s="74">
        <f>IF('REGISTRO NO PAGAR'!B215="","",'REGISTRO NO PAGAR'!K215)</f>
        <v/>
      </c>
      <c r="K215" s="74">
        <f>IF('REGISTRO NO PAGAR'!B215="","",'REGISTRO NO PAGAR'!M215)</f>
        <v/>
      </c>
      <c r="L215" s="75">
        <f>IF('REGISTRO NO PAGAR'!B215="","",'REGISTRO NO PAGAR'!N215)</f>
        <v/>
      </c>
      <c r="M215" s="74">
        <f>IF('REGISTRO NO PAGAR'!B215="","",'REGISTRO NO PAGAR'!T215)</f>
        <v/>
      </c>
    </row>
    <row r="216">
      <c r="A216" s="74">
        <f>IF('REGISTRO NO PAGAR'!B216="","",'REGISTRO NO PAGAR'!A216)</f>
        <v/>
      </c>
      <c r="B216" s="74">
        <f>IF('REGISTRO NO PAGAR'!B216="","",'REGISTRO NO PAGAR'!B216)</f>
        <v/>
      </c>
      <c r="C216" s="74">
        <f>IF('REGISTRO NO PAGAR'!B216="","",'REGISTRO NO PAGAR'!C216)</f>
        <v/>
      </c>
      <c r="D216" s="74">
        <f>IF('REGISTRO NO PAGAR'!B216="","",'REGISTRO NO PAGAR'!D216)</f>
        <v/>
      </c>
      <c r="E216" s="74">
        <f>IF('REGISTRO NO PAGAR'!B216="","",'REGISTRO NO PAGAR'!E216)</f>
        <v/>
      </c>
      <c r="F216" s="74">
        <f>IF('REGISTRO NO PAGAR'!B216="","",'REGISTRO NO PAGAR'!F216)</f>
        <v/>
      </c>
      <c r="G216" s="74">
        <f>IF('REGISTRO NO PAGAR'!B216="","",'REGISTRO NO PAGAR'!G216)</f>
        <v/>
      </c>
      <c r="H216" s="74">
        <f>IF('REGISTRO NO PAGAR'!B216="","",'REGISTRO NO PAGAR'!I216)</f>
        <v/>
      </c>
      <c r="I216" s="74">
        <f>IF('REGISTRO NO PAGAR'!B216="","",'REGISTRO NO PAGAR'!J216)</f>
        <v/>
      </c>
      <c r="J216" s="74">
        <f>IF('REGISTRO NO PAGAR'!B216="","",'REGISTRO NO PAGAR'!K216)</f>
        <v/>
      </c>
      <c r="K216" s="74">
        <f>IF('REGISTRO NO PAGAR'!B216="","",'REGISTRO NO PAGAR'!M216)</f>
        <v/>
      </c>
      <c r="L216" s="75">
        <f>IF('REGISTRO NO PAGAR'!B216="","",'REGISTRO NO PAGAR'!N216)</f>
        <v/>
      </c>
      <c r="M216" s="74">
        <f>IF('REGISTRO NO PAGAR'!B216="","",'REGISTRO NO PAGAR'!T216)</f>
        <v/>
      </c>
    </row>
    <row r="217">
      <c r="A217" s="74">
        <f>IF('REGISTRO NO PAGAR'!B217="","",'REGISTRO NO PAGAR'!A217)</f>
        <v/>
      </c>
      <c r="B217" s="74">
        <f>IF('REGISTRO NO PAGAR'!B217="","",'REGISTRO NO PAGAR'!B217)</f>
        <v/>
      </c>
      <c r="C217" s="74">
        <f>IF('REGISTRO NO PAGAR'!B217="","",'REGISTRO NO PAGAR'!C217)</f>
        <v/>
      </c>
      <c r="D217" s="74">
        <f>IF('REGISTRO NO PAGAR'!B217="","",'REGISTRO NO PAGAR'!D217)</f>
        <v/>
      </c>
      <c r="E217" s="74">
        <f>IF('REGISTRO NO PAGAR'!B217="","",'REGISTRO NO PAGAR'!E217)</f>
        <v/>
      </c>
      <c r="F217" s="74">
        <f>IF('REGISTRO NO PAGAR'!B217="","",'REGISTRO NO PAGAR'!F217)</f>
        <v/>
      </c>
      <c r="G217" s="74">
        <f>IF('REGISTRO NO PAGAR'!B217="","",'REGISTRO NO PAGAR'!G217)</f>
        <v/>
      </c>
      <c r="H217" s="74">
        <f>IF('REGISTRO NO PAGAR'!B217="","",'REGISTRO NO PAGAR'!I217)</f>
        <v/>
      </c>
      <c r="I217" s="74">
        <f>IF('REGISTRO NO PAGAR'!B217="","",'REGISTRO NO PAGAR'!J217)</f>
        <v/>
      </c>
      <c r="J217" s="74">
        <f>IF('REGISTRO NO PAGAR'!B217="","",'REGISTRO NO PAGAR'!K217)</f>
        <v/>
      </c>
      <c r="K217" s="74">
        <f>IF('REGISTRO NO PAGAR'!B217="","",'REGISTRO NO PAGAR'!M217)</f>
        <v/>
      </c>
      <c r="L217" s="75">
        <f>IF('REGISTRO NO PAGAR'!B217="","",'REGISTRO NO PAGAR'!N217)</f>
        <v/>
      </c>
      <c r="M217" s="74">
        <f>IF('REGISTRO NO PAGAR'!B217="","",'REGISTRO NO PAGAR'!T217)</f>
        <v/>
      </c>
    </row>
    <row r="218">
      <c r="A218" s="74">
        <f>IF('REGISTRO NO PAGAR'!B218="","",'REGISTRO NO PAGAR'!A218)</f>
        <v/>
      </c>
      <c r="B218" s="74">
        <f>IF('REGISTRO NO PAGAR'!B218="","",'REGISTRO NO PAGAR'!B218)</f>
        <v/>
      </c>
      <c r="C218" s="74">
        <f>IF('REGISTRO NO PAGAR'!B218="","",'REGISTRO NO PAGAR'!C218)</f>
        <v/>
      </c>
      <c r="D218" s="74">
        <f>IF('REGISTRO NO PAGAR'!B218="","",'REGISTRO NO PAGAR'!D218)</f>
        <v/>
      </c>
      <c r="E218" s="74">
        <f>IF('REGISTRO NO PAGAR'!B218="","",'REGISTRO NO PAGAR'!E218)</f>
        <v/>
      </c>
      <c r="F218" s="74">
        <f>IF('REGISTRO NO PAGAR'!B218="","",'REGISTRO NO PAGAR'!F218)</f>
        <v/>
      </c>
      <c r="G218" s="74">
        <f>IF('REGISTRO NO PAGAR'!B218="","",'REGISTRO NO PAGAR'!G218)</f>
        <v/>
      </c>
      <c r="H218" s="74">
        <f>IF('REGISTRO NO PAGAR'!B218="","",'REGISTRO NO PAGAR'!I218)</f>
        <v/>
      </c>
      <c r="I218" s="74">
        <f>IF('REGISTRO NO PAGAR'!B218="","",'REGISTRO NO PAGAR'!J218)</f>
        <v/>
      </c>
      <c r="J218" s="74">
        <f>IF('REGISTRO NO PAGAR'!B218="","",'REGISTRO NO PAGAR'!K218)</f>
        <v/>
      </c>
      <c r="K218" s="74">
        <f>IF('REGISTRO NO PAGAR'!B218="","",'REGISTRO NO PAGAR'!M218)</f>
        <v/>
      </c>
      <c r="L218" s="75">
        <f>IF('REGISTRO NO PAGAR'!B218="","",'REGISTRO NO PAGAR'!N218)</f>
        <v/>
      </c>
      <c r="M218" s="74">
        <f>IF('REGISTRO NO PAGAR'!B218="","",'REGISTRO NO PAGAR'!T218)</f>
        <v/>
      </c>
    </row>
    <row r="219">
      <c r="A219" s="74">
        <f>IF('REGISTRO NO PAGAR'!B219="","",'REGISTRO NO PAGAR'!A219)</f>
        <v/>
      </c>
      <c r="B219" s="74">
        <f>IF('REGISTRO NO PAGAR'!B219="","",'REGISTRO NO PAGAR'!B219)</f>
        <v/>
      </c>
      <c r="C219" s="74">
        <f>IF('REGISTRO NO PAGAR'!B219="","",'REGISTRO NO PAGAR'!C219)</f>
        <v/>
      </c>
      <c r="D219" s="74">
        <f>IF('REGISTRO NO PAGAR'!B219="","",'REGISTRO NO PAGAR'!D219)</f>
        <v/>
      </c>
      <c r="E219" s="74">
        <f>IF('REGISTRO NO PAGAR'!B219="","",'REGISTRO NO PAGAR'!E219)</f>
        <v/>
      </c>
      <c r="F219" s="74">
        <f>IF('REGISTRO NO PAGAR'!B219="","",'REGISTRO NO PAGAR'!F219)</f>
        <v/>
      </c>
      <c r="G219" s="74">
        <f>IF('REGISTRO NO PAGAR'!B219="","",'REGISTRO NO PAGAR'!G219)</f>
        <v/>
      </c>
      <c r="H219" s="74">
        <f>IF('REGISTRO NO PAGAR'!B219="","",'REGISTRO NO PAGAR'!I219)</f>
        <v/>
      </c>
      <c r="I219" s="74">
        <f>IF('REGISTRO NO PAGAR'!B219="","",'REGISTRO NO PAGAR'!J219)</f>
        <v/>
      </c>
      <c r="J219" s="74">
        <f>IF('REGISTRO NO PAGAR'!B219="","",'REGISTRO NO PAGAR'!K219)</f>
        <v/>
      </c>
      <c r="K219" s="74">
        <f>IF('REGISTRO NO PAGAR'!B219="","",'REGISTRO NO PAGAR'!M219)</f>
        <v/>
      </c>
      <c r="L219" s="75">
        <f>IF('REGISTRO NO PAGAR'!B219="","",'REGISTRO NO PAGAR'!N219)</f>
        <v/>
      </c>
      <c r="M219" s="74">
        <f>IF('REGISTRO NO PAGAR'!B219="","",'REGISTRO NO PAGAR'!T219)</f>
        <v/>
      </c>
    </row>
    <row r="220">
      <c r="A220" s="74">
        <f>IF('REGISTRO NO PAGAR'!B220="","",'REGISTRO NO PAGAR'!A220)</f>
        <v/>
      </c>
      <c r="B220" s="74">
        <f>IF('REGISTRO NO PAGAR'!B220="","",'REGISTRO NO PAGAR'!B220)</f>
        <v/>
      </c>
      <c r="C220" s="74">
        <f>IF('REGISTRO NO PAGAR'!B220="","",'REGISTRO NO PAGAR'!C220)</f>
        <v/>
      </c>
      <c r="D220" s="74">
        <f>IF('REGISTRO NO PAGAR'!B220="","",'REGISTRO NO PAGAR'!D220)</f>
        <v/>
      </c>
      <c r="E220" s="74">
        <f>IF('REGISTRO NO PAGAR'!B220="","",'REGISTRO NO PAGAR'!E220)</f>
        <v/>
      </c>
      <c r="F220" s="74">
        <f>IF('REGISTRO NO PAGAR'!B220="","",'REGISTRO NO PAGAR'!F220)</f>
        <v/>
      </c>
      <c r="G220" s="74">
        <f>IF('REGISTRO NO PAGAR'!B220="","",'REGISTRO NO PAGAR'!G220)</f>
        <v/>
      </c>
      <c r="H220" s="74">
        <f>IF('REGISTRO NO PAGAR'!B220="","",'REGISTRO NO PAGAR'!I220)</f>
        <v/>
      </c>
      <c r="I220" s="74">
        <f>IF('REGISTRO NO PAGAR'!B220="","",'REGISTRO NO PAGAR'!J220)</f>
        <v/>
      </c>
      <c r="J220" s="74">
        <f>IF('REGISTRO NO PAGAR'!B220="","",'REGISTRO NO PAGAR'!K220)</f>
        <v/>
      </c>
      <c r="K220" s="74">
        <f>IF('REGISTRO NO PAGAR'!B220="","",'REGISTRO NO PAGAR'!M220)</f>
        <v/>
      </c>
      <c r="L220" s="75">
        <f>IF('REGISTRO NO PAGAR'!B220="","",'REGISTRO NO PAGAR'!N220)</f>
        <v/>
      </c>
      <c r="M220" s="74">
        <f>IF('REGISTRO NO PAGAR'!B220="","",'REGISTRO NO PAGAR'!T220)</f>
        <v/>
      </c>
    </row>
    <row r="221">
      <c r="A221" s="74">
        <f>IF('REGISTRO NO PAGAR'!B221="","",'REGISTRO NO PAGAR'!A221)</f>
        <v/>
      </c>
      <c r="B221" s="74">
        <f>IF('REGISTRO NO PAGAR'!B221="","",'REGISTRO NO PAGAR'!B221)</f>
        <v/>
      </c>
      <c r="C221" s="74">
        <f>IF('REGISTRO NO PAGAR'!B221="","",'REGISTRO NO PAGAR'!C221)</f>
        <v/>
      </c>
      <c r="D221" s="74">
        <f>IF('REGISTRO NO PAGAR'!B221="","",'REGISTRO NO PAGAR'!D221)</f>
        <v/>
      </c>
      <c r="E221" s="74">
        <f>IF('REGISTRO NO PAGAR'!B221="","",'REGISTRO NO PAGAR'!E221)</f>
        <v/>
      </c>
      <c r="F221" s="74">
        <f>IF('REGISTRO NO PAGAR'!B221="","",'REGISTRO NO PAGAR'!F221)</f>
        <v/>
      </c>
      <c r="G221" s="74">
        <f>IF('REGISTRO NO PAGAR'!B221="","",'REGISTRO NO PAGAR'!G221)</f>
        <v/>
      </c>
      <c r="H221" s="74">
        <f>IF('REGISTRO NO PAGAR'!B221="","",'REGISTRO NO PAGAR'!I221)</f>
        <v/>
      </c>
      <c r="I221" s="74">
        <f>IF('REGISTRO NO PAGAR'!B221="","",'REGISTRO NO PAGAR'!J221)</f>
        <v/>
      </c>
      <c r="J221" s="74">
        <f>IF('REGISTRO NO PAGAR'!B221="","",'REGISTRO NO PAGAR'!K221)</f>
        <v/>
      </c>
      <c r="K221" s="74">
        <f>IF('REGISTRO NO PAGAR'!B221="","",'REGISTRO NO PAGAR'!M221)</f>
        <v/>
      </c>
      <c r="L221" s="75">
        <f>IF('REGISTRO NO PAGAR'!B221="","",'REGISTRO NO PAGAR'!N221)</f>
        <v/>
      </c>
      <c r="M221" s="74">
        <f>IF('REGISTRO NO PAGAR'!B221="","",'REGISTRO NO PAGAR'!T221)</f>
        <v/>
      </c>
    </row>
    <row r="222">
      <c r="A222" s="74">
        <f>IF('REGISTRO NO PAGAR'!B222="","",'REGISTRO NO PAGAR'!A222)</f>
        <v/>
      </c>
      <c r="B222" s="74">
        <f>IF('REGISTRO NO PAGAR'!B222="","",'REGISTRO NO PAGAR'!B222)</f>
        <v/>
      </c>
      <c r="C222" s="74">
        <f>IF('REGISTRO NO PAGAR'!B222="","",'REGISTRO NO PAGAR'!C222)</f>
        <v/>
      </c>
      <c r="D222" s="74">
        <f>IF('REGISTRO NO PAGAR'!B222="","",'REGISTRO NO PAGAR'!D222)</f>
        <v/>
      </c>
      <c r="E222" s="74">
        <f>IF('REGISTRO NO PAGAR'!B222="","",'REGISTRO NO PAGAR'!E222)</f>
        <v/>
      </c>
      <c r="F222" s="74">
        <f>IF('REGISTRO NO PAGAR'!B222="","",'REGISTRO NO PAGAR'!F222)</f>
        <v/>
      </c>
      <c r="G222" s="74">
        <f>IF('REGISTRO NO PAGAR'!B222="","",'REGISTRO NO PAGAR'!G222)</f>
        <v/>
      </c>
      <c r="H222" s="74">
        <f>IF('REGISTRO NO PAGAR'!B222="","",'REGISTRO NO PAGAR'!I222)</f>
        <v/>
      </c>
      <c r="I222" s="74">
        <f>IF('REGISTRO NO PAGAR'!B222="","",'REGISTRO NO PAGAR'!J222)</f>
        <v/>
      </c>
      <c r="J222" s="74">
        <f>IF('REGISTRO NO PAGAR'!B222="","",'REGISTRO NO PAGAR'!K222)</f>
        <v/>
      </c>
      <c r="K222" s="74">
        <f>IF('REGISTRO NO PAGAR'!B222="","",'REGISTRO NO PAGAR'!M222)</f>
        <v/>
      </c>
      <c r="L222" s="75">
        <f>IF('REGISTRO NO PAGAR'!B222="","",'REGISTRO NO PAGAR'!N222)</f>
        <v/>
      </c>
      <c r="M222" s="74">
        <f>IF('REGISTRO NO PAGAR'!B222="","",'REGISTRO NO PAGAR'!T222)</f>
        <v/>
      </c>
    </row>
    <row r="223">
      <c r="A223" s="74">
        <f>IF('REGISTRO NO PAGAR'!B223="","",'REGISTRO NO PAGAR'!A223)</f>
        <v/>
      </c>
      <c r="B223" s="74">
        <f>IF('REGISTRO NO PAGAR'!B223="","",'REGISTRO NO PAGAR'!B223)</f>
        <v/>
      </c>
      <c r="C223" s="74">
        <f>IF('REGISTRO NO PAGAR'!B223="","",'REGISTRO NO PAGAR'!C223)</f>
        <v/>
      </c>
      <c r="D223" s="74">
        <f>IF('REGISTRO NO PAGAR'!B223="","",'REGISTRO NO PAGAR'!D223)</f>
        <v/>
      </c>
      <c r="E223" s="74">
        <f>IF('REGISTRO NO PAGAR'!B223="","",'REGISTRO NO PAGAR'!E223)</f>
        <v/>
      </c>
      <c r="F223" s="74">
        <f>IF('REGISTRO NO PAGAR'!B223="","",'REGISTRO NO PAGAR'!F223)</f>
        <v/>
      </c>
      <c r="G223" s="74">
        <f>IF('REGISTRO NO PAGAR'!B223="","",'REGISTRO NO PAGAR'!G223)</f>
        <v/>
      </c>
      <c r="H223" s="74">
        <f>IF('REGISTRO NO PAGAR'!B223="","",'REGISTRO NO PAGAR'!I223)</f>
        <v/>
      </c>
      <c r="I223" s="74">
        <f>IF('REGISTRO NO PAGAR'!B223="","",'REGISTRO NO PAGAR'!J223)</f>
        <v/>
      </c>
      <c r="J223" s="74">
        <f>IF('REGISTRO NO PAGAR'!B223="","",'REGISTRO NO PAGAR'!K223)</f>
        <v/>
      </c>
      <c r="K223" s="74">
        <f>IF('REGISTRO NO PAGAR'!B223="","",'REGISTRO NO PAGAR'!M223)</f>
        <v/>
      </c>
      <c r="L223" s="75">
        <f>IF('REGISTRO NO PAGAR'!B223="","",'REGISTRO NO PAGAR'!N223)</f>
        <v/>
      </c>
      <c r="M223" s="74">
        <f>IF('REGISTRO NO PAGAR'!B223="","",'REGISTRO NO PAGAR'!T223)</f>
        <v/>
      </c>
    </row>
    <row r="224">
      <c r="A224" s="74">
        <f>IF('REGISTRO NO PAGAR'!B224="","",'REGISTRO NO PAGAR'!A224)</f>
        <v/>
      </c>
      <c r="B224" s="74">
        <f>IF('REGISTRO NO PAGAR'!B224="","",'REGISTRO NO PAGAR'!B224)</f>
        <v/>
      </c>
      <c r="C224" s="74">
        <f>IF('REGISTRO NO PAGAR'!B224="","",'REGISTRO NO PAGAR'!C224)</f>
        <v/>
      </c>
      <c r="D224" s="74">
        <f>IF('REGISTRO NO PAGAR'!B224="","",'REGISTRO NO PAGAR'!D224)</f>
        <v/>
      </c>
      <c r="E224" s="74">
        <f>IF('REGISTRO NO PAGAR'!B224="","",'REGISTRO NO PAGAR'!E224)</f>
        <v/>
      </c>
      <c r="F224" s="74">
        <f>IF('REGISTRO NO PAGAR'!B224="","",'REGISTRO NO PAGAR'!F224)</f>
        <v/>
      </c>
      <c r="G224" s="74">
        <f>IF('REGISTRO NO PAGAR'!B224="","",'REGISTRO NO PAGAR'!G224)</f>
        <v/>
      </c>
      <c r="H224" s="74">
        <f>IF('REGISTRO NO PAGAR'!B224="","",'REGISTRO NO PAGAR'!I224)</f>
        <v/>
      </c>
      <c r="I224" s="74">
        <f>IF('REGISTRO NO PAGAR'!B224="","",'REGISTRO NO PAGAR'!J224)</f>
        <v/>
      </c>
      <c r="J224" s="74">
        <f>IF('REGISTRO NO PAGAR'!B224="","",'REGISTRO NO PAGAR'!K224)</f>
        <v/>
      </c>
      <c r="K224" s="74">
        <f>IF('REGISTRO NO PAGAR'!B224="","",'REGISTRO NO PAGAR'!M224)</f>
        <v/>
      </c>
      <c r="L224" s="75">
        <f>IF('REGISTRO NO PAGAR'!B224="","",'REGISTRO NO PAGAR'!N224)</f>
        <v/>
      </c>
      <c r="M224" s="74">
        <f>IF('REGISTRO NO PAGAR'!B224="","",'REGISTRO NO PAGAR'!T224)</f>
        <v/>
      </c>
    </row>
    <row r="225">
      <c r="A225" s="74">
        <f>IF('REGISTRO NO PAGAR'!B225="","",'REGISTRO NO PAGAR'!A225)</f>
        <v/>
      </c>
      <c r="B225" s="74">
        <f>IF('REGISTRO NO PAGAR'!B225="","",'REGISTRO NO PAGAR'!B225)</f>
        <v/>
      </c>
      <c r="C225" s="74">
        <f>IF('REGISTRO NO PAGAR'!B225="","",'REGISTRO NO PAGAR'!C225)</f>
        <v/>
      </c>
      <c r="D225" s="74">
        <f>IF('REGISTRO NO PAGAR'!B225="","",'REGISTRO NO PAGAR'!D225)</f>
        <v/>
      </c>
      <c r="E225" s="74">
        <f>IF('REGISTRO NO PAGAR'!B225="","",'REGISTRO NO PAGAR'!E225)</f>
        <v/>
      </c>
      <c r="F225" s="74">
        <f>IF('REGISTRO NO PAGAR'!B225="","",'REGISTRO NO PAGAR'!F225)</f>
        <v/>
      </c>
      <c r="G225" s="74">
        <f>IF('REGISTRO NO PAGAR'!B225="","",'REGISTRO NO PAGAR'!G225)</f>
        <v/>
      </c>
      <c r="H225" s="74">
        <f>IF('REGISTRO NO PAGAR'!B225="","",'REGISTRO NO PAGAR'!I225)</f>
        <v/>
      </c>
      <c r="I225" s="74">
        <f>IF('REGISTRO NO PAGAR'!B225="","",'REGISTRO NO PAGAR'!J225)</f>
        <v/>
      </c>
      <c r="J225" s="74">
        <f>IF('REGISTRO NO PAGAR'!B225="","",'REGISTRO NO PAGAR'!K225)</f>
        <v/>
      </c>
      <c r="K225" s="74">
        <f>IF('REGISTRO NO PAGAR'!B225="","",'REGISTRO NO PAGAR'!M225)</f>
        <v/>
      </c>
      <c r="L225" s="75">
        <f>IF('REGISTRO NO PAGAR'!B225="","",'REGISTRO NO PAGAR'!N225)</f>
        <v/>
      </c>
      <c r="M225" s="74">
        <f>IF('REGISTRO NO PAGAR'!B225="","",'REGISTRO NO PAGAR'!T225)</f>
        <v/>
      </c>
    </row>
    <row r="226">
      <c r="A226" s="74">
        <f>IF('REGISTRO NO PAGAR'!B226="","",'REGISTRO NO PAGAR'!A226)</f>
        <v/>
      </c>
      <c r="B226" s="74">
        <f>IF('REGISTRO NO PAGAR'!B226="","",'REGISTRO NO PAGAR'!B226)</f>
        <v/>
      </c>
      <c r="C226" s="74">
        <f>IF('REGISTRO NO PAGAR'!B226="","",'REGISTRO NO PAGAR'!C226)</f>
        <v/>
      </c>
      <c r="D226" s="74">
        <f>IF('REGISTRO NO PAGAR'!B226="","",'REGISTRO NO PAGAR'!D226)</f>
        <v/>
      </c>
      <c r="E226" s="74">
        <f>IF('REGISTRO NO PAGAR'!B226="","",'REGISTRO NO PAGAR'!E226)</f>
        <v/>
      </c>
      <c r="F226" s="74">
        <f>IF('REGISTRO NO PAGAR'!B226="","",'REGISTRO NO PAGAR'!F226)</f>
        <v/>
      </c>
      <c r="G226" s="74">
        <f>IF('REGISTRO NO PAGAR'!B226="","",'REGISTRO NO PAGAR'!G226)</f>
        <v/>
      </c>
      <c r="H226" s="74">
        <f>IF('REGISTRO NO PAGAR'!B226="","",'REGISTRO NO PAGAR'!I226)</f>
        <v/>
      </c>
      <c r="I226" s="74">
        <f>IF('REGISTRO NO PAGAR'!B226="","",'REGISTRO NO PAGAR'!J226)</f>
        <v/>
      </c>
      <c r="J226" s="74">
        <f>IF('REGISTRO NO PAGAR'!B226="","",'REGISTRO NO PAGAR'!K226)</f>
        <v/>
      </c>
      <c r="K226" s="74">
        <f>IF('REGISTRO NO PAGAR'!B226="","",'REGISTRO NO PAGAR'!M226)</f>
        <v/>
      </c>
      <c r="L226" s="75">
        <f>IF('REGISTRO NO PAGAR'!B226="","",'REGISTRO NO PAGAR'!N226)</f>
        <v/>
      </c>
      <c r="M226" s="74">
        <f>IF('REGISTRO NO PAGAR'!B226="","",'REGISTRO NO PAGAR'!T226)</f>
        <v/>
      </c>
    </row>
    <row r="227">
      <c r="A227" s="74">
        <f>IF('REGISTRO NO PAGAR'!B227="","",'REGISTRO NO PAGAR'!A227)</f>
        <v/>
      </c>
      <c r="B227" s="74">
        <f>IF('REGISTRO NO PAGAR'!B227="","",'REGISTRO NO PAGAR'!B227)</f>
        <v/>
      </c>
      <c r="C227" s="74">
        <f>IF('REGISTRO NO PAGAR'!B227="","",'REGISTRO NO PAGAR'!C227)</f>
        <v/>
      </c>
      <c r="D227" s="74">
        <f>IF('REGISTRO NO PAGAR'!B227="","",'REGISTRO NO PAGAR'!D227)</f>
        <v/>
      </c>
      <c r="E227" s="74">
        <f>IF('REGISTRO NO PAGAR'!B227="","",'REGISTRO NO PAGAR'!E227)</f>
        <v/>
      </c>
      <c r="F227" s="74">
        <f>IF('REGISTRO NO PAGAR'!B227="","",'REGISTRO NO PAGAR'!F227)</f>
        <v/>
      </c>
      <c r="G227" s="74">
        <f>IF('REGISTRO NO PAGAR'!B227="","",'REGISTRO NO PAGAR'!G227)</f>
        <v/>
      </c>
      <c r="H227" s="74">
        <f>IF('REGISTRO NO PAGAR'!B227="","",'REGISTRO NO PAGAR'!I227)</f>
        <v/>
      </c>
      <c r="I227" s="74">
        <f>IF('REGISTRO NO PAGAR'!B227="","",'REGISTRO NO PAGAR'!J227)</f>
        <v/>
      </c>
      <c r="J227" s="74">
        <f>IF('REGISTRO NO PAGAR'!B227="","",'REGISTRO NO PAGAR'!K227)</f>
        <v/>
      </c>
      <c r="K227" s="74">
        <f>IF('REGISTRO NO PAGAR'!B227="","",'REGISTRO NO PAGAR'!M227)</f>
        <v/>
      </c>
      <c r="L227" s="75">
        <f>IF('REGISTRO NO PAGAR'!B227="","",'REGISTRO NO PAGAR'!N227)</f>
        <v/>
      </c>
      <c r="M227" s="74">
        <f>IF('REGISTRO NO PAGAR'!B227="","",'REGISTRO NO PAGAR'!T227)</f>
        <v/>
      </c>
    </row>
    <row r="228">
      <c r="A228" s="74">
        <f>IF('REGISTRO NO PAGAR'!B228="","",'REGISTRO NO PAGAR'!A228)</f>
        <v/>
      </c>
      <c r="B228" s="74">
        <f>IF('REGISTRO NO PAGAR'!B228="","",'REGISTRO NO PAGAR'!B228)</f>
        <v/>
      </c>
      <c r="C228" s="74">
        <f>IF('REGISTRO NO PAGAR'!B228="","",'REGISTRO NO PAGAR'!C228)</f>
        <v/>
      </c>
      <c r="D228" s="74">
        <f>IF('REGISTRO NO PAGAR'!B228="","",'REGISTRO NO PAGAR'!D228)</f>
        <v/>
      </c>
      <c r="E228" s="74">
        <f>IF('REGISTRO NO PAGAR'!B228="","",'REGISTRO NO PAGAR'!E228)</f>
        <v/>
      </c>
      <c r="F228" s="74">
        <f>IF('REGISTRO NO PAGAR'!B228="","",'REGISTRO NO PAGAR'!F228)</f>
        <v/>
      </c>
      <c r="G228" s="74">
        <f>IF('REGISTRO NO PAGAR'!B228="","",'REGISTRO NO PAGAR'!G228)</f>
        <v/>
      </c>
      <c r="H228" s="74">
        <f>IF('REGISTRO NO PAGAR'!B228="","",'REGISTRO NO PAGAR'!I228)</f>
        <v/>
      </c>
      <c r="I228" s="74">
        <f>IF('REGISTRO NO PAGAR'!B228="","",'REGISTRO NO PAGAR'!J228)</f>
        <v/>
      </c>
      <c r="J228" s="74">
        <f>IF('REGISTRO NO PAGAR'!B228="","",'REGISTRO NO PAGAR'!K228)</f>
        <v/>
      </c>
      <c r="K228" s="74">
        <f>IF('REGISTRO NO PAGAR'!B228="","",'REGISTRO NO PAGAR'!M228)</f>
        <v/>
      </c>
      <c r="L228" s="75">
        <f>IF('REGISTRO NO PAGAR'!B228="","",'REGISTRO NO PAGAR'!N228)</f>
        <v/>
      </c>
      <c r="M228" s="74">
        <f>IF('REGISTRO NO PAGAR'!B228="","",'REGISTRO NO PAGAR'!T228)</f>
        <v/>
      </c>
    </row>
    <row r="229">
      <c r="A229" s="74">
        <f>IF('REGISTRO NO PAGAR'!B229="","",'REGISTRO NO PAGAR'!A229)</f>
        <v/>
      </c>
      <c r="B229" s="74">
        <f>IF('REGISTRO NO PAGAR'!B229="","",'REGISTRO NO PAGAR'!B229)</f>
        <v/>
      </c>
      <c r="C229" s="74">
        <f>IF('REGISTRO NO PAGAR'!B229="","",'REGISTRO NO PAGAR'!C229)</f>
        <v/>
      </c>
      <c r="D229" s="74">
        <f>IF('REGISTRO NO PAGAR'!B229="","",'REGISTRO NO PAGAR'!D229)</f>
        <v/>
      </c>
      <c r="E229" s="74">
        <f>IF('REGISTRO NO PAGAR'!B229="","",'REGISTRO NO PAGAR'!E229)</f>
        <v/>
      </c>
      <c r="F229" s="74">
        <f>IF('REGISTRO NO PAGAR'!B229="","",'REGISTRO NO PAGAR'!F229)</f>
        <v/>
      </c>
      <c r="G229" s="74">
        <f>IF('REGISTRO NO PAGAR'!B229="","",'REGISTRO NO PAGAR'!G229)</f>
        <v/>
      </c>
      <c r="H229" s="74">
        <f>IF('REGISTRO NO PAGAR'!B229="","",'REGISTRO NO PAGAR'!I229)</f>
        <v/>
      </c>
      <c r="I229" s="74">
        <f>IF('REGISTRO NO PAGAR'!B229="","",'REGISTRO NO PAGAR'!J229)</f>
        <v/>
      </c>
      <c r="J229" s="74">
        <f>IF('REGISTRO NO PAGAR'!B229="","",'REGISTRO NO PAGAR'!K229)</f>
        <v/>
      </c>
      <c r="K229" s="74">
        <f>IF('REGISTRO NO PAGAR'!B229="","",'REGISTRO NO PAGAR'!M229)</f>
        <v/>
      </c>
      <c r="L229" s="75">
        <f>IF('REGISTRO NO PAGAR'!B229="","",'REGISTRO NO PAGAR'!N229)</f>
        <v/>
      </c>
      <c r="M229" s="74">
        <f>IF('REGISTRO NO PAGAR'!B229="","",'REGISTRO NO PAGAR'!T229)</f>
        <v/>
      </c>
    </row>
    <row r="230">
      <c r="A230" s="74">
        <f>IF('REGISTRO NO PAGAR'!B230="","",'REGISTRO NO PAGAR'!A230)</f>
        <v/>
      </c>
      <c r="B230" s="74">
        <f>IF('REGISTRO NO PAGAR'!B230="","",'REGISTRO NO PAGAR'!B230)</f>
        <v/>
      </c>
      <c r="C230" s="74">
        <f>IF('REGISTRO NO PAGAR'!B230="","",'REGISTRO NO PAGAR'!C230)</f>
        <v/>
      </c>
      <c r="D230" s="74">
        <f>IF('REGISTRO NO PAGAR'!B230="","",'REGISTRO NO PAGAR'!D230)</f>
        <v/>
      </c>
      <c r="E230" s="74">
        <f>IF('REGISTRO NO PAGAR'!B230="","",'REGISTRO NO PAGAR'!E230)</f>
        <v/>
      </c>
      <c r="F230" s="74">
        <f>IF('REGISTRO NO PAGAR'!B230="","",'REGISTRO NO PAGAR'!F230)</f>
        <v/>
      </c>
      <c r="G230" s="74">
        <f>IF('REGISTRO NO PAGAR'!B230="","",'REGISTRO NO PAGAR'!G230)</f>
        <v/>
      </c>
      <c r="H230" s="74">
        <f>IF('REGISTRO NO PAGAR'!B230="","",'REGISTRO NO PAGAR'!I230)</f>
        <v/>
      </c>
      <c r="I230" s="74">
        <f>IF('REGISTRO NO PAGAR'!B230="","",'REGISTRO NO PAGAR'!J230)</f>
        <v/>
      </c>
      <c r="J230" s="74">
        <f>IF('REGISTRO NO PAGAR'!B230="","",'REGISTRO NO PAGAR'!K230)</f>
        <v/>
      </c>
      <c r="K230" s="74">
        <f>IF('REGISTRO NO PAGAR'!B230="","",'REGISTRO NO PAGAR'!M230)</f>
        <v/>
      </c>
      <c r="L230" s="75">
        <f>IF('REGISTRO NO PAGAR'!B230="","",'REGISTRO NO PAGAR'!N230)</f>
        <v/>
      </c>
      <c r="M230" s="74">
        <f>IF('REGISTRO NO PAGAR'!B230="","",'REGISTRO NO PAGAR'!T230)</f>
        <v/>
      </c>
    </row>
    <row r="231">
      <c r="A231" s="74">
        <f>IF('REGISTRO NO PAGAR'!B231="","",'REGISTRO NO PAGAR'!A231)</f>
        <v/>
      </c>
      <c r="B231" s="74">
        <f>IF('REGISTRO NO PAGAR'!B231="","",'REGISTRO NO PAGAR'!B231)</f>
        <v/>
      </c>
      <c r="C231" s="74">
        <f>IF('REGISTRO NO PAGAR'!B231="","",'REGISTRO NO PAGAR'!C231)</f>
        <v/>
      </c>
      <c r="D231" s="74">
        <f>IF('REGISTRO NO PAGAR'!B231="","",'REGISTRO NO PAGAR'!D231)</f>
        <v/>
      </c>
      <c r="E231" s="74">
        <f>IF('REGISTRO NO PAGAR'!B231="","",'REGISTRO NO PAGAR'!E231)</f>
        <v/>
      </c>
      <c r="F231" s="74">
        <f>IF('REGISTRO NO PAGAR'!B231="","",'REGISTRO NO PAGAR'!F231)</f>
        <v/>
      </c>
      <c r="G231" s="74">
        <f>IF('REGISTRO NO PAGAR'!B231="","",'REGISTRO NO PAGAR'!G231)</f>
        <v/>
      </c>
      <c r="H231" s="74">
        <f>IF('REGISTRO NO PAGAR'!B231="","",'REGISTRO NO PAGAR'!I231)</f>
        <v/>
      </c>
      <c r="I231" s="74">
        <f>IF('REGISTRO NO PAGAR'!B231="","",'REGISTRO NO PAGAR'!J231)</f>
        <v/>
      </c>
      <c r="J231" s="74">
        <f>IF('REGISTRO NO PAGAR'!B231="","",'REGISTRO NO PAGAR'!K231)</f>
        <v/>
      </c>
      <c r="K231" s="74">
        <f>IF('REGISTRO NO PAGAR'!B231="","",'REGISTRO NO PAGAR'!M231)</f>
        <v/>
      </c>
      <c r="L231" s="75">
        <f>IF('REGISTRO NO PAGAR'!B231="","",'REGISTRO NO PAGAR'!N231)</f>
        <v/>
      </c>
      <c r="M231" s="74">
        <f>IF('REGISTRO NO PAGAR'!B231="","",'REGISTRO NO PAGAR'!T231)</f>
        <v/>
      </c>
    </row>
    <row r="232">
      <c r="A232" s="74">
        <f>IF('REGISTRO NO PAGAR'!B232="","",'REGISTRO NO PAGAR'!A232)</f>
        <v/>
      </c>
      <c r="B232" s="74">
        <f>IF('REGISTRO NO PAGAR'!B232="","",'REGISTRO NO PAGAR'!B232)</f>
        <v/>
      </c>
      <c r="C232" s="74">
        <f>IF('REGISTRO NO PAGAR'!B232="","",'REGISTRO NO PAGAR'!C232)</f>
        <v/>
      </c>
      <c r="D232" s="74">
        <f>IF('REGISTRO NO PAGAR'!B232="","",'REGISTRO NO PAGAR'!D232)</f>
        <v/>
      </c>
      <c r="E232" s="74">
        <f>IF('REGISTRO NO PAGAR'!B232="","",'REGISTRO NO PAGAR'!E232)</f>
        <v/>
      </c>
      <c r="F232" s="74">
        <f>IF('REGISTRO NO PAGAR'!B232="","",'REGISTRO NO PAGAR'!F232)</f>
        <v/>
      </c>
      <c r="G232" s="74">
        <f>IF('REGISTRO NO PAGAR'!B232="","",'REGISTRO NO PAGAR'!G232)</f>
        <v/>
      </c>
      <c r="H232" s="74">
        <f>IF('REGISTRO NO PAGAR'!B232="","",'REGISTRO NO PAGAR'!I232)</f>
        <v/>
      </c>
      <c r="I232" s="74">
        <f>IF('REGISTRO NO PAGAR'!B232="","",'REGISTRO NO PAGAR'!J232)</f>
        <v/>
      </c>
      <c r="J232" s="74">
        <f>IF('REGISTRO NO PAGAR'!B232="","",'REGISTRO NO PAGAR'!K232)</f>
        <v/>
      </c>
      <c r="K232" s="74">
        <f>IF('REGISTRO NO PAGAR'!B232="","",'REGISTRO NO PAGAR'!M232)</f>
        <v/>
      </c>
      <c r="L232" s="75">
        <f>IF('REGISTRO NO PAGAR'!B232="","",'REGISTRO NO PAGAR'!N232)</f>
        <v/>
      </c>
      <c r="M232" s="74">
        <f>IF('REGISTRO NO PAGAR'!B232="","",'REGISTRO NO PAGAR'!T232)</f>
        <v/>
      </c>
    </row>
    <row r="233">
      <c r="A233" s="74">
        <f>IF('REGISTRO NO PAGAR'!B233="","",'REGISTRO NO PAGAR'!A233)</f>
        <v/>
      </c>
      <c r="B233" s="74">
        <f>IF('REGISTRO NO PAGAR'!B233="","",'REGISTRO NO PAGAR'!B233)</f>
        <v/>
      </c>
      <c r="C233" s="74">
        <f>IF('REGISTRO NO PAGAR'!B233="","",'REGISTRO NO PAGAR'!C233)</f>
        <v/>
      </c>
      <c r="D233" s="74">
        <f>IF('REGISTRO NO PAGAR'!B233="","",'REGISTRO NO PAGAR'!D233)</f>
        <v/>
      </c>
      <c r="E233" s="74">
        <f>IF('REGISTRO NO PAGAR'!B233="","",'REGISTRO NO PAGAR'!E233)</f>
        <v/>
      </c>
      <c r="F233" s="74">
        <f>IF('REGISTRO NO PAGAR'!B233="","",'REGISTRO NO PAGAR'!F233)</f>
        <v/>
      </c>
      <c r="G233" s="74">
        <f>IF('REGISTRO NO PAGAR'!B233="","",'REGISTRO NO PAGAR'!G233)</f>
        <v/>
      </c>
      <c r="H233" s="74">
        <f>IF('REGISTRO NO PAGAR'!B233="","",'REGISTRO NO PAGAR'!I233)</f>
        <v/>
      </c>
      <c r="I233" s="74">
        <f>IF('REGISTRO NO PAGAR'!B233="","",'REGISTRO NO PAGAR'!J233)</f>
        <v/>
      </c>
      <c r="J233" s="74">
        <f>IF('REGISTRO NO PAGAR'!B233="","",'REGISTRO NO PAGAR'!K233)</f>
        <v/>
      </c>
      <c r="K233" s="74">
        <f>IF('REGISTRO NO PAGAR'!B233="","",'REGISTRO NO PAGAR'!M233)</f>
        <v/>
      </c>
      <c r="L233" s="75">
        <f>IF('REGISTRO NO PAGAR'!B233="","",'REGISTRO NO PAGAR'!N233)</f>
        <v/>
      </c>
      <c r="M233" s="74">
        <f>IF('REGISTRO NO PAGAR'!B233="","",'REGISTRO NO PAGAR'!T233)</f>
        <v/>
      </c>
    </row>
    <row r="234">
      <c r="A234" s="74">
        <f>IF('REGISTRO NO PAGAR'!B234="","",'REGISTRO NO PAGAR'!A234)</f>
        <v/>
      </c>
      <c r="B234" s="74">
        <f>IF('REGISTRO NO PAGAR'!B234="","",'REGISTRO NO PAGAR'!B234)</f>
        <v/>
      </c>
      <c r="C234" s="74">
        <f>IF('REGISTRO NO PAGAR'!B234="","",'REGISTRO NO PAGAR'!C234)</f>
        <v/>
      </c>
      <c r="D234" s="74">
        <f>IF('REGISTRO NO PAGAR'!B234="","",'REGISTRO NO PAGAR'!D234)</f>
        <v/>
      </c>
      <c r="E234" s="74">
        <f>IF('REGISTRO NO PAGAR'!B234="","",'REGISTRO NO PAGAR'!E234)</f>
        <v/>
      </c>
      <c r="F234" s="74">
        <f>IF('REGISTRO NO PAGAR'!B234="","",'REGISTRO NO PAGAR'!F234)</f>
        <v/>
      </c>
      <c r="G234" s="74">
        <f>IF('REGISTRO NO PAGAR'!B234="","",'REGISTRO NO PAGAR'!G234)</f>
        <v/>
      </c>
      <c r="H234" s="74">
        <f>IF('REGISTRO NO PAGAR'!B234="","",'REGISTRO NO PAGAR'!I234)</f>
        <v/>
      </c>
      <c r="I234" s="74">
        <f>IF('REGISTRO NO PAGAR'!B234="","",'REGISTRO NO PAGAR'!J234)</f>
        <v/>
      </c>
      <c r="J234" s="74">
        <f>IF('REGISTRO NO PAGAR'!B234="","",'REGISTRO NO PAGAR'!K234)</f>
        <v/>
      </c>
      <c r="K234" s="74">
        <f>IF('REGISTRO NO PAGAR'!B234="","",'REGISTRO NO PAGAR'!M234)</f>
        <v/>
      </c>
      <c r="L234" s="75">
        <f>IF('REGISTRO NO PAGAR'!B234="","",'REGISTRO NO PAGAR'!N234)</f>
        <v/>
      </c>
      <c r="M234" s="74">
        <f>IF('REGISTRO NO PAGAR'!B234="","",'REGISTRO NO PAGAR'!T234)</f>
        <v/>
      </c>
    </row>
    <row r="235">
      <c r="A235" s="74">
        <f>IF('REGISTRO NO PAGAR'!B235="","",'REGISTRO NO PAGAR'!A235)</f>
        <v/>
      </c>
      <c r="B235" s="74">
        <f>IF('REGISTRO NO PAGAR'!B235="","",'REGISTRO NO PAGAR'!B235)</f>
        <v/>
      </c>
      <c r="C235" s="74">
        <f>IF('REGISTRO NO PAGAR'!B235="","",'REGISTRO NO PAGAR'!C235)</f>
        <v/>
      </c>
      <c r="D235" s="74">
        <f>IF('REGISTRO NO PAGAR'!B235="","",'REGISTRO NO PAGAR'!D235)</f>
        <v/>
      </c>
      <c r="E235" s="74">
        <f>IF('REGISTRO NO PAGAR'!B235="","",'REGISTRO NO PAGAR'!E235)</f>
        <v/>
      </c>
      <c r="F235" s="74">
        <f>IF('REGISTRO NO PAGAR'!B235="","",'REGISTRO NO PAGAR'!F235)</f>
        <v/>
      </c>
      <c r="G235" s="74">
        <f>IF('REGISTRO NO PAGAR'!B235="","",'REGISTRO NO PAGAR'!G235)</f>
        <v/>
      </c>
      <c r="H235" s="74">
        <f>IF('REGISTRO NO PAGAR'!B235="","",'REGISTRO NO PAGAR'!I235)</f>
        <v/>
      </c>
      <c r="I235" s="74">
        <f>IF('REGISTRO NO PAGAR'!B235="","",'REGISTRO NO PAGAR'!J235)</f>
        <v/>
      </c>
      <c r="J235" s="74">
        <f>IF('REGISTRO NO PAGAR'!B235="","",'REGISTRO NO PAGAR'!K235)</f>
        <v/>
      </c>
      <c r="K235" s="74">
        <f>IF('REGISTRO NO PAGAR'!B235="","",'REGISTRO NO PAGAR'!M235)</f>
        <v/>
      </c>
      <c r="L235" s="75">
        <f>IF('REGISTRO NO PAGAR'!B235="","",'REGISTRO NO PAGAR'!N235)</f>
        <v/>
      </c>
      <c r="M235" s="74">
        <f>IF('REGISTRO NO PAGAR'!B235="","",'REGISTRO NO PAGAR'!T235)</f>
        <v/>
      </c>
    </row>
    <row r="236">
      <c r="A236" s="74">
        <f>IF('REGISTRO NO PAGAR'!B236="","",'REGISTRO NO PAGAR'!A236)</f>
        <v/>
      </c>
      <c r="B236" s="74">
        <f>IF('REGISTRO NO PAGAR'!B236="","",'REGISTRO NO PAGAR'!B236)</f>
        <v/>
      </c>
      <c r="C236" s="74">
        <f>IF('REGISTRO NO PAGAR'!B236="","",'REGISTRO NO PAGAR'!C236)</f>
        <v/>
      </c>
      <c r="D236" s="74">
        <f>IF('REGISTRO NO PAGAR'!B236="","",'REGISTRO NO PAGAR'!D236)</f>
        <v/>
      </c>
      <c r="E236" s="74">
        <f>IF('REGISTRO NO PAGAR'!B236="","",'REGISTRO NO PAGAR'!E236)</f>
        <v/>
      </c>
      <c r="F236" s="74">
        <f>IF('REGISTRO NO PAGAR'!B236="","",'REGISTRO NO PAGAR'!F236)</f>
        <v/>
      </c>
      <c r="G236" s="74">
        <f>IF('REGISTRO NO PAGAR'!B236="","",'REGISTRO NO PAGAR'!G236)</f>
        <v/>
      </c>
      <c r="H236" s="74">
        <f>IF('REGISTRO NO PAGAR'!B236="","",'REGISTRO NO PAGAR'!I236)</f>
        <v/>
      </c>
      <c r="I236" s="74">
        <f>IF('REGISTRO NO PAGAR'!B236="","",'REGISTRO NO PAGAR'!J236)</f>
        <v/>
      </c>
      <c r="J236" s="74">
        <f>IF('REGISTRO NO PAGAR'!B236="","",'REGISTRO NO PAGAR'!K236)</f>
        <v/>
      </c>
      <c r="K236" s="74">
        <f>IF('REGISTRO NO PAGAR'!B236="","",'REGISTRO NO PAGAR'!M236)</f>
        <v/>
      </c>
      <c r="L236" s="75">
        <f>IF('REGISTRO NO PAGAR'!B236="","",'REGISTRO NO PAGAR'!N236)</f>
        <v/>
      </c>
      <c r="M236" s="74">
        <f>IF('REGISTRO NO PAGAR'!B236="","",'REGISTRO NO PAGAR'!T236)</f>
        <v/>
      </c>
    </row>
    <row r="237">
      <c r="A237" s="74">
        <f>IF('REGISTRO NO PAGAR'!B237="","",'REGISTRO NO PAGAR'!A237)</f>
        <v/>
      </c>
      <c r="B237" s="74">
        <f>IF('REGISTRO NO PAGAR'!B237="","",'REGISTRO NO PAGAR'!B237)</f>
        <v/>
      </c>
      <c r="C237" s="74">
        <f>IF('REGISTRO NO PAGAR'!B237="","",'REGISTRO NO PAGAR'!C237)</f>
        <v/>
      </c>
      <c r="D237" s="74">
        <f>IF('REGISTRO NO PAGAR'!B237="","",'REGISTRO NO PAGAR'!D237)</f>
        <v/>
      </c>
      <c r="E237" s="74">
        <f>IF('REGISTRO NO PAGAR'!B237="","",'REGISTRO NO PAGAR'!E237)</f>
        <v/>
      </c>
      <c r="F237" s="74">
        <f>IF('REGISTRO NO PAGAR'!B237="","",'REGISTRO NO PAGAR'!F237)</f>
        <v/>
      </c>
      <c r="G237" s="74">
        <f>IF('REGISTRO NO PAGAR'!B237="","",'REGISTRO NO PAGAR'!G237)</f>
        <v/>
      </c>
      <c r="H237" s="74">
        <f>IF('REGISTRO NO PAGAR'!B237="","",'REGISTRO NO PAGAR'!I237)</f>
        <v/>
      </c>
      <c r="I237" s="74">
        <f>IF('REGISTRO NO PAGAR'!B237="","",'REGISTRO NO PAGAR'!J237)</f>
        <v/>
      </c>
      <c r="J237" s="74">
        <f>IF('REGISTRO NO PAGAR'!B237="","",'REGISTRO NO PAGAR'!K237)</f>
        <v/>
      </c>
      <c r="K237" s="74">
        <f>IF('REGISTRO NO PAGAR'!B237="","",'REGISTRO NO PAGAR'!M237)</f>
        <v/>
      </c>
      <c r="L237" s="75">
        <f>IF('REGISTRO NO PAGAR'!B237="","",'REGISTRO NO PAGAR'!N237)</f>
        <v/>
      </c>
      <c r="M237" s="74">
        <f>IF('REGISTRO NO PAGAR'!B237="","",'REGISTRO NO PAGAR'!T237)</f>
        <v/>
      </c>
    </row>
    <row r="238">
      <c r="A238" s="74">
        <f>IF('REGISTRO NO PAGAR'!B238="","",'REGISTRO NO PAGAR'!A238)</f>
        <v/>
      </c>
      <c r="B238" s="74">
        <f>IF('REGISTRO NO PAGAR'!B238="","",'REGISTRO NO PAGAR'!B238)</f>
        <v/>
      </c>
      <c r="C238" s="74">
        <f>IF('REGISTRO NO PAGAR'!B238="","",'REGISTRO NO PAGAR'!C238)</f>
        <v/>
      </c>
      <c r="D238" s="74">
        <f>IF('REGISTRO NO PAGAR'!B238="","",'REGISTRO NO PAGAR'!D238)</f>
        <v/>
      </c>
      <c r="E238" s="74">
        <f>IF('REGISTRO NO PAGAR'!B238="","",'REGISTRO NO PAGAR'!E238)</f>
        <v/>
      </c>
      <c r="F238" s="74">
        <f>IF('REGISTRO NO PAGAR'!B238="","",'REGISTRO NO PAGAR'!F238)</f>
        <v/>
      </c>
      <c r="G238" s="74">
        <f>IF('REGISTRO NO PAGAR'!B238="","",'REGISTRO NO PAGAR'!G238)</f>
        <v/>
      </c>
      <c r="H238" s="74">
        <f>IF('REGISTRO NO PAGAR'!B238="","",'REGISTRO NO PAGAR'!I238)</f>
        <v/>
      </c>
      <c r="I238" s="74">
        <f>IF('REGISTRO NO PAGAR'!B238="","",'REGISTRO NO PAGAR'!J238)</f>
        <v/>
      </c>
      <c r="J238" s="74">
        <f>IF('REGISTRO NO PAGAR'!B238="","",'REGISTRO NO PAGAR'!K238)</f>
        <v/>
      </c>
      <c r="K238" s="74">
        <f>IF('REGISTRO NO PAGAR'!B238="","",'REGISTRO NO PAGAR'!M238)</f>
        <v/>
      </c>
      <c r="L238" s="75">
        <f>IF('REGISTRO NO PAGAR'!B238="","",'REGISTRO NO PAGAR'!N238)</f>
        <v/>
      </c>
      <c r="M238" s="74">
        <f>IF('REGISTRO NO PAGAR'!B238="","",'REGISTRO NO PAGAR'!T238)</f>
        <v/>
      </c>
    </row>
    <row r="239">
      <c r="A239" s="74">
        <f>IF('REGISTRO NO PAGAR'!B239="","",'REGISTRO NO PAGAR'!A239)</f>
        <v/>
      </c>
      <c r="B239" s="74">
        <f>IF('REGISTRO NO PAGAR'!B239="","",'REGISTRO NO PAGAR'!B239)</f>
        <v/>
      </c>
      <c r="C239" s="74">
        <f>IF('REGISTRO NO PAGAR'!B239="","",'REGISTRO NO PAGAR'!C239)</f>
        <v/>
      </c>
      <c r="D239" s="74">
        <f>IF('REGISTRO NO PAGAR'!B239="","",'REGISTRO NO PAGAR'!D239)</f>
        <v/>
      </c>
      <c r="E239" s="74">
        <f>IF('REGISTRO NO PAGAR'!B239="","",'REGISTRO NO PAGAR'!E239)</f>
        <v/>
      </c>
      <c r="F239" s="74">
        <f>IF('REGISTRO NO PAGAR'!B239="","",'REGISTRO NO PAGAR'!F239)</f>
        <v/>
      </c>
      <c r="G239" s="74">
        <f>IF('REGISTRO NO PAGAR'!B239="","",'REGISTRO NO PAGAR'!G239)</f>
        <v/>
      </c>
      <c r="H239" s="74">
        <f>IF('REGISTRO NO PAGAR'!B239="","",'REGISTRO NO PAGAR'!I239)</f>
        <v/>
      </c>
      <c r="I239" s="74">
        <f>IF('REGISTRO NO PAGAR'!B239="","",'REGISTRO NO PAGAR'!J239)</f>
        <v/>
      </c>
      <c r="J239" s="74">
        <f>IF('REGISTRO NO PAGAR'!B239="","",'REGISTRO NO PAGAR'!K239)</f>
        <v/>
      </c>
      <c r="K239" s="74">
        <f>IF('REGISTRO NO PAGAR'!B239="","",'REGISTRO NO PAGAR'!M239)</f>
        <v/>
      </c>
      <c r="L239" s="75">
        <f>IF('REGISTRO NO PAGAR'!B239="","",'REGISTRO NO PAGAR'!N239)</f>
        <v/>
      </c>
      <c r="M239" s="74">
        <f>IF('REGISTRO NO PAGAR'!B239="","",'REGISTRO NO PAGAR'!T239)</f>
        <v/>
      </c>
    </row>
    <row r="240">
      <c r="A240" s="74">
        <f>IF('REGISTRO NO PAGAR'!B240="","",'REGISTRO NO PAGAR'!A240)</f>
        <v/>
      </c>
      <c r="B240" s="74">
        <f>IF('REGISTRO NO PAGAR'!B240="","",'REGISTRO NO PAGAR'!B240)</f>
        <v/>
      </c>
      <c r="C240" s="74">
        <f>IF('REGISTRO NO PAGAR'!B240="","",'REGISTRO NO PAGAR'!C240)</f>
        <v/>
      </c>
      <c r="D240" s="74">
        <f>IF('REGISTRO NO PAGAR'!B240="","",'REGISTRO NO PAGAR'!D240)</f>
        <v/>
      </c>
      <c r="E240" s="74">
        <f>IF('REGISTRO NO PAGAR'!B240="","",'REGISTRO NO PAGAR'!E240)</f>
        <v/>
      </c>
      <c r="F240" s="74">
        <f>IF('REGISTRO NO PAGAR'!B240="","",'REGISTRO NO PAGAR'!F240)</f>
        <v/>
      </c>
      <c r="G240" s="74">
        <f>IF('REGISTRO NO PAGAR'!B240="","",'REGISTRO NO PAGAR'!G240)</f>
        <v/>
      </c>
      <c r="H240" s="74">
        <f>IF('REGISTRO NO PAGAR'!B240="","",'REGISTRO NO PAGAR'!I240)</f>
        <v/>
      </c>
      <c r="I240" s="74">
        <f>IF('REGISTRO NO PAGAR'!B240="","",'REGISTRO NO PAGAR'!J240)</f>
        <v/>
      </c>
      <c r="J240" s="74">
        <f>IF('REGISTRO NO PAGAR'!B240="","",'REGISTRO NO PAGAR'!K240)</f>
        <v/>
      </c>
      <c r="K240" s="74">
        <f>IF('REGISTRO NO PAGAR'!B240="","",'REGISTRO NO PAGAR'!M240)</f>
        <v/>
      </c>
      <c r="L240" s="75">
        <f>IF('REGISTRO NO PAGAR'!B240="","",'REGISTRO NO PAGAR'!N240)</f>
        <v/>
      </c>
      <c r="M240" s="74">
        <f>IF('REGISTRO NO PAGAR'!B240="","",'REGISTRO NO PAGAR'!T240)</f>
        <v/>
      </c>
    </row>
    <row r="241">
      <c r="A241" s="74">
        <f>IF('REGISTRO NO PAGAR'!B241="","",'REGISTRO NO PAGAR'!A241)</f>
        <v/>
      </c>
      <c r="B241" s="74">
        <f>IF('REGISTRO NO PAGAR'!B241="","",'REGISTRO NO PAGAR'!B241)</f>
        <v/>
      </c>
      <c r="C241" s="74">
        <f>IF('REGISTRO NO PAGAR'!B241="","",'REGISTRO NO PAGAR'!C241)</f>
        <v/>
      </c>
      <c r="D241" s="74">
        <f>IF('REGISTRO NO PAGAR'!B241="","",'REGISTRO NO PAGAR'!D241)</f>
        <v/>
      </c>
      <c r="E241" s="74">
        <f>IF('REGISTRO NO PAGAR'!B241="","",'REGISTRO NO PAGAR'!E241)</f>
        <v/>
      </c>
      <c r="F241" s="74">
        <f>IF('REGISTRO NO PAGAR'!B241="","",'REGISTRO NO PAGAR'!F241)</f>
        <v/>
      </c>
      <c r="G241" s="74">
        <f>IF('REGISTRO NO PAGAR'!B241="","",'REGISTRO NO PAGAR'!G241)</f>
        <v/>
      </c>
      <c r="H241" s="74">
        <f>IF('REGISTRO NO PAGAR'!B241="","",'REGISTRO NO PAGAR'!I241)</f>
        <v/>
      </c>
      <c r="I241" s="74">
        <f>IF('REGISTRO NO PAGAR'!B241="","",'REGISTRO NO PAGAR'!J241)</f>
        <v/>
      </c>
      <c r="J241" s="74">
        <f>IF('REGISTRO NO PAGAR'!B241="","",'REGISTRO NO PAGAR'!K241)</f>
        <v/>
      </c>
      <c r="K241" s="74">
        <f>IF('REGISTRO NO PAGAR'!B241="","",'REGISTRO NO PAGAR'!M241)</f>
        <v/>
      </c>
      <c r="L241" s="75">
        <f>IF('REGISTRO NO PAGAR'!B241="","",'REGISTRO NO PAGAR'!N241)</f>
        <v/>
      </c>
      <c r="M241" s="74">
        <f>IF('REGISTRO NO PAGAR'!B241="","",'REGISTRO NO PAGAR'!T241)</f>
        <v/>
      </c>
    </row>
    <row r="242">
      <c r="A242" s="74">
        <f>IF('REGISTRO NO PAGAR'!B242="","",'REGISTRO NO PAGAR'!A242)</f>
        <v/>
      </c>
      <c r="B242" s="74">
        <f>IF('REGISTRO NO PAGAR'!B242="","",'REGISTRO NO PAGAR'!B242)</f>
        <v/>
      </c>
      <c r="C242" s="74">
        <f>IF('REGISTRO NO PAGAR'!B242="","",'REGISTRO NO PAGAR'!C242)</f>
        <v/>
      </c>
      <c r="D242" s="74">
        <f>IF('REGISTRO NO PAGAR'!B242="","",'REGISTRO NO PAGAR'!D242)</f>
        <v/>
      </c>
      <c r="E242" s="74">
        <f>IF('REGISTRO NO PAGAR'!B242="","",'REGISTRO NO PAGAR'!E242)</f>
        <v/>
      </c>
      <c r="F242" s="74">
        <f>IF('REGISTRO NO PAGAR'!B242="","",'REGISTRO NO PAGAR'!F242)</f>
        <v/>
      </c>
      <c r="G242" s="74">
        <f>IF('REGISTRO NO PAGAR'!B242="","",'REGISTRO NO PAGAR'!G242)</f>
        <v/>
      </c>
      <c r="H242" s="74">
        <f>IF('REGISTRO NO PAGAR'!B242="","",'REGISTRO NO PAGAR'!I242)</f>
        <v/>
      </c>
      <c r="I242" s="74">
        <f>IF('REGISTRO NO PAGAR'!B242="","",'REGISTRO NO PAGAR'!J242)</f>
        <v/>
      </c>
      <c r="J242" s="74">
        <f>IF('REGISTRO NO PAGAR'!B242="","",'REGISTRO NO PAGAR'!K242)</f>
        <v/>
      </c>
      <c r="K242" s="74">
        <f>IF('REGISTRO NO PAGAR'!B242="","",'REGISTRO NO PAGAR'!M242)</f>
        <v/>
      </c>
      <c r="L242" s="75">
        <f>IF('REGISTRO NO PAGAR'!B242="","",'REGISTRO NO PAGAR'!N242)</f>
        <v/>
      </c>
      <c r="M242" s="74">
        <f>IF('REGISTRO NO PAGAR'!B242="","",'REGISTRO NO PAGAR'!T242)</f>
        <v/>
      </c>
    </row>
    <row r="243">
      <c r="A243" s="74">
        <f>IF('REGISTRO NO PAGAR'!B243="","",'REGISTRO NO PAGAR'!A243)</f>
        <v/>
      </c>
      <c r="B243" s="74">
        <f>IF('REGISTRO NO PAGAR'!B243="","",'REGISTRO NO PAGAR'!B243)</f>
        <v/>
      </c>
      <c r="C243" s="74">
        <f>IF('REGISTRO NO PAGAR'!B243="","",'REGISTRO NO PAGAR'!C243)</f>
        <v/>
      </c>
      <c r="D243" s="74">
        <f>IF('REGISTRO NO PAGAR'!B243="","",'REGISTRO NO PAGAR'!D243)</f>
        <v/>
      </c>
      <c r="E243" s="74">
        <f>IF('REGISTRO NO PAGAR'!B243="","",'REGISTRO NO PAGAR'!E243)</f>
        <v/>
      </c>
      <c r="F243" s="74">
        <f>IF('REGISTRO NO PAGAR'!B243="","",'REGISTRO NO PAGAR'!F243)</f>
        <v/>
      </c>
      <c r="G243" s="74">
        <f>IF('REGISTRO NO PAGAR'!B243="","",'REGISTRO NO PAGAR'!G243)</f>
        <v/>
      </c>
      <c r="H243" s="74">
        <f>IF('REGISTRO NO PAGAR'!B243="","",'REGISTRO NO PAGAR'!I243)</f>
        <v/>
      </c>
      <c r="I243" s="74">
        <f>IF('REGISTRO NO PAGAR'!B243="","",'REGISTRO NO PAGAR'!J243)</f>
        <v/>
      </c>
      <c r="J243" s="74">
        <f>IF('REGISTRO NO PAGAR'!B243="","",'REGISTRO NO PAGAR'!K243)</f>
        <v/>
      </c>
      <c r="K243" s="74">
        <f>IF('REGISTRO NO PAGAR'!B243="","",'REGISTRO NO PAGAR'!M243)</f>
        <v/>
      </c>
      <c r="L243" s="75">
        <f>IF('REGISTRO NO PAGAR'!B243="","",'REGISTRO NO PAGAR'!N243)</f>
        <v/>
      </c>
      <c r="M243" s="74">
        <f>IF('REGISTRO NO PAGAR'!B243="","",'REGISTRO NO PAGAR'!T243)</f>
        <v/>
      </c>
    </row>
    <row r="244">
      <c r="A244" s="74">
        <f>IF('REGISTRO NO PAGAR'!B244="","",'REGISTRO NO PAGAR'!A244)</f>
        <v/>
      </c>
      <c r="B244" s="74">
        <f>IF('REGISTRO NO PAGAR'!B244="","",'REGISTRO NO PAGAR'!B244)</f>
        <v/>
      </c>
      <c r="C244" s="74">
        <f>IF('REGISTRO NO PAGAR'!B244="","",'REGISTRO NO PAGAR'!C244)</f>
        <v/>
      </c>
      <c r="D244" s="74">
        <f>IF('REGISTRO NO PAGAR'!B244="","",'REGISTRO NO PAGAR'!D244)</f>
        <v/>
      </c>
      <c r="E244" s="74">
        <f>IF('REGISTRO NO PAGAR'!B244="","",'REGISTRO NO PAGAR'!E244)</f>
        <v/>
      </c>
      <c r="F244" s="74">
        <f>IF('REGISTRO NO PAGAR'!B244="","",'REGISTRO NO PAGAR'!F244)</f>
        <v/>
      </c>
      <c r="G244" s="74">
        <f>IF('REGISTRO NO PAGAR'!B244="","",'REGISTRO NO PAGAR'!G244)</f>
        <v/>
      </c>
      <c r="H244" s="74">
        <f>IF('REGISTRO NO PAGAR'!B244="","",'REGISTRO NO PAGAR'!I244)</f>
        <v/>
      </c>
      <c r="I244" s="74">
        <f>IF('REGISTRO NO PAGAR'!B244="","",'REGISTRO NO PAGAR'!J244)</f>
        <v/>
      </c>
      <c r="J244" s="74">
        <f>IF('REGISTRO NO PAGAR'!B244="","",'REGISTRO NO PAGAR'!K244)</f>
        <v/>
      </c>
      <c r="K244" s="74">
        <f>IF('REGISTRO NO PAGAR'!B244="","",'REGISTRO NO PAGAR'!M244)</f>
        <v/>
      </c>
      <c r="L244" s="75">
        <f>IF('REGISTRO NO PAGAR'!B244="","",'REGISTRO NO PAGAR'!N244)</f>
        <v/>
      </c>
      <c r="M244" s="74">
        <f>IF('REGISTRO NO PAGAR'!B244="","",'REGISTRO NO PAGAR'!T244)</f>
        <v/>
      </c>
    </row>
    <row r="245">
      <c r="A245" s="74">
        <f>IF('REGISTRO NO PAGAR'!B245="","",'REGISTRO NO PAGAR'!A245)</f>
        <v/>
      </c>
      <c r="B245" s="74">
        <f>IF('REGISTRO NO PAGAR'!B245="","",'REGISTRO NO PAGAR'!B245)</f>
        <v/>
      </c>
      <c r="C245" s="74">
        <f>IF('REGISTRO NO PAGAR'!B245="","",'REGISTRO NO PAGAR'!C245)</f>
        <v/>
      </c>
      <c r="D245" s="74">
        <f>IF('REGISTRO NO PAGAR'!B245="","",'REGISTRO NO PAGAR'!D245)</f>
        <v/>
      </c>
      <c r="E245" s="74">
        <f>IF('REGISTRO NO PAGAR'!B245="","",'REGISTRO NO PAGAR'!E245)</f>
        <v/>
      </c>
      <c r="F245" s="74">
        <f>IF('REGISTRO NO PAGAR'!B245="","",'REGISTRO NO PAGAR'!F245)</f>
        <v/>
      </c>
      <c r="G245" s="74">
        <f>IF('REGISTRO NO PAGAR'!B245="","",'REGISTRO NO PAGAR'!G245)</f>
        <v/>
      </c>
      <c r="H245" s="74">
        <f>IF('REGISTRO NO PAGAR'!B245="","",'REGISTRO NO PAGAR'!I245)</f>
        <v/>
      </c>
      <c r="I245" s="74">
        <f>IF('REGISTRO NO PAGAR'!B245="","",'REGISTRO NO PAGAR'!J245)</f>
        <v/>
      </c>
      <c r="J245" s="74">
        <f>IF('REGISTRO NO PAGAR'!B245="","",'REGISTRO NO PAGAR'!K245)</f>
        <v/>
      </c>
      <c r="K245" s="74">
        <f>IF('REGISTRO NO PAGAR'!B245="","",'REGISTRO NO PAGAR'!M245)</f>
        <v/>
      </c>
      <c r="L245" s="75">
        <f>IF('REGISTRO NO PAGAR'!B245="","",'REGISTRO NO PAGAR'!N245)</f>
        <v/>
      </c>
      <c r="M245" s="74">
        <f>IF('REGISTRO NO PAGAR'!B245="","",'REGISTRO NO PAGAR'!T245)</f>
        <v/>
      </c>
    </row>
    <row r="246">
      <c r="A246" s="74">
        <f>IF('REGISTRO NO PAGAR'!B246="","",'REGISTRO NO PAGAR'!A246)</f>
        <v/>
      </c>
      <c r="B246" s="74">
        <f>IF('REGISTRO NO PAGAR'!B246="","",'REGISTRO NO PAGAR'!B246)</f>
        <v/>
      </c>
      <c r="C246" s="74">
        <f>IF('REGISTRO NO PAGAR'!B246="","",'REGISTRO NO PAGAR'!C246)</f>
        <v/>
      </c>
      <c r="D246" s="74">
        <f>IF('REGISTRO NO PAGAR'!B246="","",'REGISTRO NO PAGAR'!D246)</f>
        <v/>
      </c>
      <c r="E246" s="74">
        <f>IF('REGISTRO NO PAGAR'!B246="","",'REGISTRO NO PAGAR'!E246)</f>
        <v/>
      </c>
      <c r="F246" s="74">
        <f>IF('REGISTRO NO PAGAR'!B246="","",'REGISTRO NO PAGAR'!F246)</f>
        <v/>
      </c>
      <c r="G246" s="74">
        <f>IF('REGISTRO NO PAGAR'!B246="","",'REGISTRO NO PAGAR'!G246)</f>
        <v/>
      </c>
      <c r="H246" s="74">
        <f>IF('REGISTRO NO PAGAR'!B246="","",'REGISTRO NO PAGAR'!I246)</f>
        <v/>
      </c>
      <c r="I246" s="74">
        <f>IF('REGISTRO NO PAGAR'!B246="","",'REGISTRO NO PAGAR'!J246)</f>
        <v/>
      </c>
      <c r="J246" s="74">
        <f>IF('REGISTRO NO PAGAR'!B246="","",'REGISTRO NO PAGAR'!K246)</f>
        <v/>
      </c>
      <c r="K246" s="74">
        <f>IF('REGISTRO NO PAGAR'!B246="","",'REGISTRO NO PAGAR'!M246)</f>
        <v/>
      </c>
      <c r="L246" s="75">
        <f>IF('REGISTRO NO PAGAR'!B246="","",'REGISTRO NO PAGAR'!N246)</f>
        <v/>
      </c>
      <c r="M246" s="74">
        <f>IF('REGISTRO NO PAGAR'!B246="","",'REGISTRO NO PAGAR'!T246)</f>
        <v/>
      </c>
    </row>
    <row r="247">
      <c r="A247" s="74">
        <f>IF('REGISTRO NO PAGAR'!B247="","",'REGISTRO NO PAGAR'!A247)</f>
        <v/>
      </c>
      <c r="B247" s="74">
        <f>IF('REGISTRO NO PAGAR'!B247="","",'REGISTRO NO PAGAR'!B247)</f>
        <v/>
      </c>
      <c r="C247" s="74">
        <f>IF('REGISTRO NO PAGAR'!B247="","",'REGISTRO NO PAGAR'!C247)</f>
        <v/>
      </c>
      <c r="D247" s="74">
        <f>IF('REGISTRO NO PAGAR'!B247="","",'REGISTRO NO PAGAR'!D247)</f>
        <v/>
      </c>
      <c r="E247" s="74">
        <f>IF('REGISTRO NO PAGAR'!B247="","",'REGISTRO NO PAGAR'!E247)</f>
        <v/>
      </c>
      <c r="F247" s="74">
        <f>IF('REGISTRO NO PAGAR'!B247="","",'REGISTRO NO PAGAR'!F247)</f>
        <v/>
      </c>
      <c r="G247" s="74">
        <f>IF('REGISTRO NO PAGAR'!B247="","",'REGISTRO NO PAGAR'!G247)</f>
        <v/>
      </c>
      <c r="H247" s="74">
        <f>IF('REGISTRO NO PAGAR'!B247="","",'REGISTRO NO PAGAR'!I247)</f>
        <v/>
      </c>
      <c r="I247" s="74">
        <f>IF('REGISTRO NO PAGAR'!B247="","",'REGISTRO NO PAGAR'!J247)</f>
        <v/>
      </c>
      <c r="J247" s="74">
        <f>IF('REGISTRO NO PAGAR'!B247="","",'REGISTRO NO PAGAR'!K247)</f>
        <v/>
      </c>
      <c r="K247" s="74">
        <f>IF('REGISTRO NO PAGAR'!B247="","",'REGISTRO NO PAGAR'!M247)</f>
        <v/>
      </c>
      <c r="L247" s="75">
        <f>IF('REGISTRO NO PAGAR'!B247="","",'REGISTRO NO PAGAR'!N247)</f>
        <v/>
      </c>
      <c r="M247" s="74">
        <f>IF('REGISTRO NO PAGAR'!B247="","",'REGISTRO NO PAGAR'!T247)</f>
        <v/>
      </c>
    </row>
    <row r="248">
      <c r="A248" s="74">
        <f>IF('REGISTRO NO PAGAR'!B248="","",'REGISTRO NO PAGAR'!A248)</f>
        <v/>
      </c>
      <c r="B248" s="74">
        <f>IF('REGISTRO NO PAGAR'!B248="","",'REGISTRO NO PAGAR'!B248)</f>
        <v/>
      </c>
      <c r="C248" s="74">
        <f>IF('REGISTRO NO PAGAR'!B248="","",'REGISTRO NO PAGAR'!C248)</f>
        <v/>
      </c>
      <c r="D248" s="74">
        <f>IF('REGISTRO NO PAGAR'!B248="","",'REGISTRO NO PAGAR'!D248)</f>
        <v/>
      </c>
      <c r="E248" s="74">
        <f>IF('REGISTRO NO PAGAR'!B248="","",'REGISTRO NO PAGAR'!E248)</f>
        <v/>
      </c>
      <c r="F248" s="74">
        <f>IF('REGISTRO NO PAGAR'!B248="","",'REGISTRO NO PAGAR'!F248)</f>
        <v/>
      </c>
      <c r="G248" s="74">
        <f>IF('REGISTRO NO PAGAR'!B248="","",'REGISTRO NO PAGAR'!G248)</f>
        <v/>
      </c>
      <c r="H248" s="74">
        <f>IF('REGISTRO NO PAGAR'!B248="","",'REGISTRO NO PAGAR'!I248)</f>
        <v/>
      </c>
      <c r="I248" s="74">
        <f>IF('REGISTRO NO PAGAR'!B248="","",'REGISTRO NO PAGAR'!J248)</f>
        <v/>
      </c>
      <c r="J248" s="74">
        <f>IF('REGISTRO NO PAGAR'!B248="","",'REGISTRO NO PAGAR'!K248)</f>
        <v/>
      </c>
      <c r="K248" s="74">
        <f>IF('REGISTRO NO PAGAR'!B248="","",'REGISTRO NO PAGAR'!M248)</f>
        <v/>
      </c>
      <c r="L248" s="75">
        <f>IF('REGISTRO NO PAGAR'!B248="","",'REGISTRO NO PAGAR'!N248)</f>
        <v/>
      </c>
      <c r="M248" s="74">
        <f>IF('REGISTRO NO PAGAR'!B248="","",'REGISTRO NO PAGAR'!T248)</f>
        <v/>
      </c>
    </row>
    <row r="249">
      <c r="A249" s="74">
        <f>IF('REGISTRO NO PAGAR'!B249="","",'REGISTRO NO PAGAR'!A249)</f>
        <v/>
      </c>
      <c r="B249" s="74">
        <f>IF('REGISTRO NO PAGAR'!B249="","",'REGISTRO NO PAGAR'!B249)</f>
        <v/>
      </c>
      <c r="C249" s="74">
        <f>IF('REGISTRO NO PAGAR'!B249="","",'REGISTRO NO PAGAR'!C249)</f>
        <v/>
      </c>
      <c r="D249" s="74">
        <f>IF('REGISTRO NO PAGAR'!B249="","",'REGISTRO NO PAGAR'!D249)</f>
        <v/>
      </c>
      <c r="E249" s="74">
        <f>IF('REGISTRO NO PAGAR'!B249="","",'REGISTRO NO PAGAR'!E249)</f>
        <v/>
      </c>
      <c r="F249" s="74">
        <f>IF('REGISTRO NO PAGAR'!B249="","",'REGISTRO NO PAGAR'!F249)</f>
        <v/>
      </c>
      <c r="G249" s="74">
        <f>IF('REGISTRO NO PAGAR'!B249="","",'REGISTRO NO PAGAR'!G249)</f>
        <v/>
      </c>
      <c r="H249" s="74">
        <f>IF('REGISTRO NO PAGAR'!B249="","",'REGISTRO NO PAGAR'!I249)</f>
        <v/>
      </c>
      <c r="I249" s="74">
        <f>IF('REGISTRO NO PAGAR'!B249="","",'REGISTRO NO PAGAR'!J249)</f>
        <v/>
      </c>
      <c r="J249" s="74">
        <f>IF('REGISTRO NO PAGAR'!B249="","",'REGISTRO NO PAGAR'!K249)</f>
        <v/>
      </c>
      <c r="K249" s="74">
        <f>IF('REGISTRO NO PAGAR'!B249="","",'REGISTRO NO PAGAR'!M249)</f>
        <v/>
      </c>
      <c r="L249" s="75">
        <f>IF('REGISTRO NO PAGAR'!B249="","",'REGISTRO NO PAGAR'!N249)</f>
        <v/>
      </c>
      <c r="M249" s="74">
        <f>IF('REGISTRO NO PAGAR'!B249="","",'REGISTRO NO PAGAR'!T249)</f>
        <v/>
      </c>
    </row>
    <row r="250">
      <c r="A250" s="74">
        <f>IF('REGISTRO NO PAGAR'!B250="","",'REGISTRO NO PAGAR'!A250)</f>
        <v/>
      </c>
      <c r="B250" s="74">
        <f>IF('REGISTRO NO PAGAR'!B250="","",'REGISTRO NO PAGAR'!B250)</f>
        <v/>
      </c>
      <c r="C250" s="74">
        <f>IF('REGISTRO NO PAGAR'!B250="","",'REGISTRO NO PAGAR'!C250)</f>
        <v/>
      </c>
      <c r="D250" s="74">
        <f>IF('REGISTRO NO PAGAR'!B250="","",'REGISTRO NO PAGAR'!D250)</f>
        <v/>
      </c>
      <c r="E250" s="74">
        <f>IF('REGISTRO NO PAGAR'!B250="","",'REGISTRO NO PAGAR'!E250)</f>
        <v/>
      </c>
      <c r="F250" s="74">
        <f>IF('REGISTRO NO PAGAR'!B250="","",'REGISTRO NO PAGAR'!F250)</f>
        <v/>
      </c>
      <c r="G250" s="74">
        <f>IF('REGISTRO NO PAGAR'!B250="","",'REGISTRO NO PAGAR'!G250)</f>
        <v/>
      </c>
      <c r="H250" s="74">
        <f>IF('REGISTRO NO PAGAR'!B250="","",'REGISTRO NO PAGAR'!I250)</f>
        <v/>
      </c>
      <c r="I250" s="74">
        <f>IF('REGISTRO NO PAGAR'!B250="","",'REGISTRO NO PAGAR'!J250)</f>
        <v/>
      </c>
      <c r="J250" s="74">
        <f>IF('REGISTRO NO PAGAR'!B250="","",'REGISTRO NO PAGAR'!K250)</f>
        <v/>
      </c>
      <c r="K250" s="74">
        <f>IF('REGISTRO NO PAGAR'!B250="","",'REGISTRO NO PAGAR'!M250)</f>
        <v/>
      </c>
      <c r="L250" s="75">
        <f>IF('REGISTRO NO PAGAR'!B250="","",'REGISTRO NO PAGAR'!N250)</f>
        <v/>
      </c>
      <c r="M250" s="74">
        <f>IF('REGISTRO NO PAGAR'!B250="","",'REGISTRO NO PAGAR'!T250)</f>
        <v/>
      </c>
    </row>
    <row r="251">
      <c r="A251" s="74">
        <f>IF('REGISTRO NO PAGAR'!B251="","",'REGISTRO NO PAGAR'!A251)</f>
        <v/>
      </c>
      <c r="B251" s="74">
        <f>IF('REGISTRO NO PAGAR'!B251="","",'REGISTRO NO PAGAR'!B251)</f>
        <v/>
      </c>
      <c r="C251" s="74">
        <f>IF('REGISTRO NO PAGAR'!B251="","",'REGISTRO NO PAGAR'!C251)</f>
        <v/>
      </c>
      <c r="D251" s="74">
        <f>IF('REGISTRO NO PAGAR'!B251="","",'REGISTRO NO PAGAR'!D251)</f>
        <v/>
      </c>
      <c r="E251" s="74">
        <f>IF('REGISTRO NO PAGAR'!B251="","",'REGISTRO NO PAGAR'!E251)</f>
        <v/>
      </c>
      <c r="F251" s="74">
        <f>IF('REGISTRO NO PAGAR'!B251="","",'REGISTRO NO PAGAR'!F251)</f>
        <v/>
      </c>
      <c r="G251" s="74">
        <f>IF('REGISTRO NO PAGAR'!B251="","",'REGISTRO NO PAGAR'!G251)</f>
        <v/>
      </c>
      <c r="H251" s="74">
        <f>IF('REGISTRO NO PAGAR'!B251="","",'REGISTRO NO PAGAR'!I251)</f>
        <v/>
      </c>
      <c r="I251" s="74">
        <f>IF('REGISTRO NO PAGAR'!B251="","",'REGISTRO NO PAGAR'!J251)</f>
        <v/>
      </c>
      <c r="J251" s="74">
        <f>IF('REGISTRO NO PAGAR'!B251="","",'REGISTRO NO PAGAR'!K251)</f>
        <v/>
      </c>
      <c r="K251" s="74">
        <f>IF('REGISTRO NO PAGAR'!B251="","",'REGISTRO NO PAGAR'!M251)</f>
        <v/>
      </c>
      <c r="L251" s="75">
        <f>IF('REGISTRO NO PAGAR'!B251="","",'REGISTRO NO PAGAR'!N251)</f>
        <v/>
      </c>
      <c r="M251" s="74">
        <f>IF('REGISTRO NO PAGAR'!B251="","",'REGISTRO NO PAGAR'!T251)</f>
        <v/>
      </c>
    </row>
    <row r="252">
      <c r="A252" s="74">
        <f>IF('REGISTRO NO PAGAR'!B252="","",'REGISTRO NO PAGAR'!A252)</f>
        <v/>
      </c>
      <c r="B252" s="74">
        <f>IF('REGISTRO NO PAGAR'!B252="","",'REGISTRO NO PAGAR'!B252)</f>
        <v/>
      </c>
      <c r="C252" s="74">
        <f>IF('REGISTRO NO PAGAR'!B252="","",'REGISTRO NO PAGAR'!C252)</f>
        <v/>
      </c>
      <c r="D252" s="74">
        <f>IF('REGISTRO NO PAGAR'!B252="","",'REGISTRO NO PAGAR'!D252)</f>
        <v/>
      </c>
      <c r="E252" s="74">
        <f>IF('REGISTRO NO PAGAR'!B252="","",'REGISTRO NO PAGAR'!E252)</f>
        <v/>
      </c>
      <c r="F252" s="74">
        <f>IF('REGISTRO NO PAGAR'!B252="","",'REGISTRO NO PAGAR'!F252)</f>
        <v/>
      </c>
      <c r="G252" s="74">
        <f>IF('REGISTRO NO PAGAR'!B252="","",'REGISTRO NO PAGAR'!G252)</f>
        <v/>
      </c>
      <c r="H252" s="74">
        <f>IF('REGISTRO NO PAGAR'!B252="","",'REGISTRO NO PAGAR'!I252)</f>
        <v/>
      </c>
      <c r="I252" s="74">
        <f>IF('REGISTRO NO PAGAR'!B252="","",'REGISTRO NO PAGAR'!J252)</f>
        <v/>
      </c>
      <c r="J252" s="74">
        <f>IF('REGISTRO NO PAGAR'!B252="","",'REGISTRO NO PAGAR'!K252)</f>
        <v/>
      </c>
      <c r="K252" s="74">
        <f>IF('REGISTRO NO PAGAR'!B252="","",'REGISTRO NO PAGAR'!M252)</f>
        <v/>
      </c>
      <c r="L252" s="75">
        <f>IF('REGISTRO NO PAGAR'!B252="","",'REGISTRO NO PAGAR'!N252)</f>
        <v/>
      </c>
      <c r="M252" s="74">
        <f>IF('REGISTRO NO PAGAR'!B252="","",'REGISTRO NO PAGAR'!T252)</f>
        <v/>
      </c>
    </row>
    <row r="253">
      <c r="A253" s="74">
        <f>IF('REGISTRO NO PAGAR'!B253="","",'REGISTRO NO PAGAR'!A253)</f>
        <v/>
      </c>
      <c r="B253" s="74">
        <f>IF('REGISTRO NO PAGAR'!B253="","",'REGISTRO NO PAGAR'!B253)</f>
        <v/>
      </c>
      <c r="C253" s="74">
        <f>IF('REGISTRO NO PAGAR'!B253="","",'REGISTRO NO PAGAR'!C253)</f>
        <v/>
      </c>
      <c r="D253" s="74">
        <f>IF('REGISTRO NO PAGAR'!B253="","",'REGISTRO NO PAGAR'!D253)</f>
        <v/>
      </c>
      <c r="E253" s="74">
        <f>IF('REGISTRO NO PAGAR'!B253="","",'REGISTRO NO PAGAR'!E253)</f>
        <v/>
      </c>
      <c r="F253" s="74">
        <f>IF('REGISTRO NO PAGAR'!B253="","",'REGISTRO NO PAGAR'!F253)</f>
        <v/>
      </c>
      <c r="G253" s="74">
        <f>IF('REGISTRO NO PAGAR'!B253="","",'REGISTRO NO PAGAR'!G253)</f>
        <v/>
      </c>
      <c r="H253" s="74">
        <f>IF('REGISTRO NO PAGAR'!B253="","",'REGISTRO NO PAGAR'!I253)</f>
        <v/>
      </c>
      <c r="I253" s="74">
        <f>IF('REGISTRO NO PAGAR'!B253="","",'REGISTRO NO PAGAR'!J253)</f>
        <v/>
      </c>
      <c r="J253" s="74">
        <f>IF('REGISTRO NO PAGAR'!B253="","",'REGISTRO NO PAGAR'!K253)</f>
        <v/>
      </c>
      <c r="K253" s="74">
        <f>IF('REGISTRO NO PAGAR'!B253="","",'REGISTRO NO PAGAR'!M253)</f>
        <v/>
      </c>
      <c r="L253" s="75">
        <f>IF('REGISTRO NO PAGAR'!B253="","",'REGISTRO NO PAGAR'!N253)</f>
        <v/>
      </c>
      <c r="M253" s="74">
        <f>IF('REGISTRO NO PAGAR'!B253="","",'REGISTRO NO PAGAR'!T253)</f>
        <v/>
      </c>
    </row>
    <row r="254">
      <c r="A254" s="74">
        <f>IF('REGISTRO NO PAGAR'!B254="","",'REGISTRO NO PAGAR'!A254)</f>
        <v/>
      </c>
      <c r="B254" s="74">
        <f>IF('REGISTRO NO PAGAR'!B254="","",'REGISTRO NO PAGAR'!B254)</f>
        <v/>
      </c>
      <c r="C254" s="74">
        <f>IF('REGISTRO NO PAGAR'!B254="","",'REGISTRO NO PAGAR'!C254)</f>
        <v/>
      </c>
      <c r="D254" s="74">
        <f>IF('REGISTRO NO PAGAR'!B254="","",'REGISTRO NO PAGAR'!D254)</f>
        <v/>
      </c>
      <c r="E254" s="74">
        <f>IF('REGISTRO NO PAGAR'!B254="","",'REGISTRO NO PAGAR'!E254)</f>
        <v/>
      </c>
      <c r="F254" s="74">
        <f>IF('REGISTRO NO PAGAR'!B254="","",'REGISTRO NO PAGAR'!F254)</f>
        <v/>
      </c>
      <c r="G254" s="74">
        <f>IF('REGISTRO NO PAGAR'!B254="","",'REGISTRO NO PAGAR'!G254)</f>
        <v/>
      </c>
      <c r="H254" s="74">
        <f>IF('REGISTRO NO PAGAR'!B254="","",'REGISTRO NO PAGAR'!I254)</f>
        <v/>
      </c>
      <c r="I254" s="74">
        <f>IF('REGISTRO NO PAGAR'!B254="","",'REGISTRO NO PAGAR'!J254)</f>
        <v/>
      </c>
      <c r="J254" s="74">
        <f>IF('REGISTRO NO PAGAR'!B254="","",'REGISTRO NO PAGAR'!K254)</f>
        <v/>
      </c>
      <c r="K254" s="74">
        <f>IF('REGISTRO NO PAGAR'!B254="","",'REGISTRO NO PAGAR'!M254)</f>
        <v/>
      </c>
      <c r="L254" s="75">
        <f>IF('REGISTRO NO PAGAR'!B254="","",'REGISTRO NO PAGAR'!N254)</f>
        <v/>
      </c>
      <c r="M254" s="74">
        <f>IF('REGISTRO NO PAGAR'!B254="","",'REGISTRO NO PAGAR'!T254)</f>
        <v/>
      </c>
    </row>
  </sheetData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2026-06-09T19:02:44Z</dcterms:created>
  <dcterms:modified xmlns:dcterms="http://purl.org/dc/terms/" xmlns:xsi="http://www.w3.org/2001/XMLSchema-instance" xsi:type="dcterms:W3CDTF">2026-06-24T22:11:59Z</dcterms:modified>
  <cp:lastModifiedBy>Alejandro Jesurun Arevalo</cp:lastModifiedBy>
  <cp:revision>0</cp:revision>
</cp:coreProperties>
</file>