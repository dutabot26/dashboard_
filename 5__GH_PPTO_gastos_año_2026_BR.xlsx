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aftms-my.sharepoint.com/personal/ginna_castro_craftmulti_com/Documents/Ginna Castro C/Proyectos/PPTO Admtivo 2025/2026/Budget Brasil 2026/Enero 2026/"/>
    </mc:Choice>
  </mc:AlternateContent>
  <xr:revisionPtr revIDLastSave="0" documentId="8_{3B34D114-F54B-419A-998D-C6599172821B}" xr6:coauthVersionLast="47" xr6:coauthVersionMax="47" xr10:uidLastSave="{00000000-0000-0000-0000-000000000000}"/>
  <bookViews>
    <workbookView xWindow="-110" yWindow="-110" windowWidth="19420" windowHeight="10300" tabRatio="916" activeTab="3" xr2:uid="{347A9C78-0A7E-4415-ACBE-923109CDB7E0}"/>
  </bookViews>
  <sheets>
    <sheet name="MapeoAura" sheetId="6" r:id="rId1"/>
    <sheet name="Premisas" sheetId="2" r:id="rId2"/>
    <sheet name="GH" sheetId="10" r:id="rId3"/>
    <sheet name="BD HR" sheetId="4" r:id="rId4"/>
    <sheet name="BDIT BR" sheetId="14" state="hidden" r:id="rId5"/>
    <sheet name="Hoja2" sheetId="13" state="hidden" r:id="rId6"/>
  </sheets>
  <definedNames>
    <definedName name="_xlnm._FilterDatabase" localSheetId="3" hidden="1">'BD HR'!$A$1:$J$79</definedName>
    <definedName name="_xlnm._FilterDatabase" localSheetId="4" hidden="1">'BDIT BR'!$A$1:$U$35</definedName>
    <definedName name="_xlnm._FilterDatabase" localSheetId="2" hidden="1">GH!$B$2:$H$11</definedName>
    <definedName name="IPC">Premisas!$B$7</definedName>
    <definedName name="SMMLV">Premisas!$B$11</definedName>
    <definedName name="TRM">Premisas!$A$14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4" l="1"/>
  <c r="X26" i="4"/>
  <c r="X25" i="4"/>
  <c r="X24" i="4"/>
  <c r="X23" i="4"/>
  <c r="X22" i="4"/>
  <c r="X21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4" i="4"/>
  <c r="X3" i="4"/>
  <c r="X2" i="4"/>
  <c r="Y89" i="4"/>
  <c r="Y88" i="4"/>
  <c r="Y87" i="4"/>
  <c r="Y86" i="4"/>
  <c r="Y85" i="4"/>
  <c r="K81" i="4" l="1"/>
  <c r="X79" i="4"/>
  <c r="X57" i="4"/>
  <c r="X52" i="4"/>
  <c r="X42" i="4"/>
  <c r="X38" i="4"/>
  <c r="X28" i="4"/>
  <c r="X20" i="4"/>
  <c r="X81" i="4" s="1"/>
  <c r="L54" i="4" l="1"/>
  <c r="M53" i="4"/>
  <c r="M54" i="4" l="1"/>
  <c r="N53" i="4"/>
  <c r="O53" i="4" l="1"/>
  <c r="N54" i="4"/>
  <c r="P53" i="4" l="1"/>
  <c r="O54" i="4"/>
  <c r="Q53" i="4" l="1"/>
  <c r="P54" i="4"/>
  <c r="R53" i="4" l="1"/>
  <c r="Q54" i="4"/>
  <c r="S53" i="4" l="1"/>
  <c r="R54" i="4"/>
  <c r="T53" i="4" l="1"/>
  <c r="S54" i="4"/>
  <c r="U53" i="4" l="1"/>
  <c r="T54" i="4"/>
  <c r="V53" i="4" l="1"/>
  <c r="U54" i="4"/>
  <c r="W53" i="4" l="1"/>
  <c r="V54" i="4"/>
  <c r="W54" i="4" l="1"/>
  <c r="X53" i="4"/>
  <c r="X54" i="4" s="1"/>
  <c r="U36" i="14" l="1"/>
  <c r="T36" i="14"/>
  <c r="S36" i="14"/>
  <c r="R36" i="14"/>
  <c r="Q36" i="14"/>
  <c r="P36" i="14"/>
  <c r="O36" i="14"/>
  <c r="N36" i="14"/>
  <c r="M36" i="14"/>
  <c r="L36" i="14"/>
  <c r="K36" i="14"/>
  <c r="J36" i="14"/>
  <c r="I36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U33" i="14"/>
  <c r="U32" i="14"/>
  <c r="U31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U29" i="14"/>
  <c r="U28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U18" i="14"/>
  <c r="U17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F59" i="10"/>
  <c r="E59" i="10"/>
  <c r="F58" i="10"/>
  <c r="A58" i="10"/>
  <c r="F57" i="10"/>
  <c r="A57" i="10"/>
  <c r="F56" i="10"/>
  <c r="A56" i="10"/>
  <c r="F55" i="10"/>
  <c r="A55" i="10"/>
  <c r="F54" i="10"/>
  <c r="A54" i="10"/>
  <c r="F53" i="10"/>
  <c r="A53" i="10"/>
  <c r="F52" i="10"/>
  <c r="A52" i="10"/>
  <c r="F51" i="10"/>
  <c r="A51" i="10"/>
  <c r="F50" i="10"/>
  <c r="A50" i="10"/>
  <c r="F49" i="10"/>
  <c r="A49" i="10"/>
  <c r="F48" i="10"/>
  <c r="A48" i="10"/>
  <c r="F47" i="10"/>
  <c r="A47" i="10"/>
  <c r="F46" i="10"/>
  <c r="A46" i="10"/>
  <c r="F45" i="10"/>
  <c r="A45" i="10"/>
  <c r="F44" i="10"/>
  <c r="A44" i="10"/>
  <c r="F43" i="10"/>
  <c r="A43" i="10"/>
  <c r="F42" i="10"/>
  <c r="A42" i="10"/>
  <c r="F41" i="10"/>
  <c r="A41" i="10"/>
  <c r="F40" i="10"/>
  <c r="A40" i="10"/>
  <c r="A39" i="10"/>
  <c r="F38" i="10"/>
  <c r="A38" i="10"/>
  <c r="F37" i="10"/>
  <c r="A37" i="10"/>
  <c r="F36" i="10"/>
  <c r="A36" i="10"/>
  <c r="F35" i="10"/>
  <c r="A35" i="10"/>
  <c r="F34" i="10"/>
  <c r="A34" i="10"/>
  <c r="F33" i="10"/>
  <c r="D29" i="10"/>
  <c r="C29" i="10"/>
  <c r="D26" i="10"/>
  <c r="A14" i="10"/>
  <c r="A13" i="10"/>
  <c r="A12" i="10"/>
  <c r="A11" i="10"/>
  <c r="A10" i="10"/>
  <c r="A9" i="10"/>
  <c r="A8" i="10"/>
  <c r="A7" i="10"/>
  <c r="A6" i="10"/>
  <c r="A5" i="10"/>
  <c r="C27" i="2"/>
  <c r="C23" i="2"/>
  <c r="L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Ginna Castro Correa</author>
  </authors>
  <commentList>
    <comment ref="A2" authorId="0" shapeId="0" xr:uid="{E1D7D2E2-F025-4094-9BC7-1B007A182BBD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Cierre de IPC Dic 2024</t>
        </r>
      </text>
    </comment>
    <comment ref="B24" authorId="0" shapeId="0" xr:uid="{00AC188A-8724-486B-BD61-FC218BCA2252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SENA, ICBF, CAJA DE COMPENSACIÓN</t>
        </r>
      </text>
    </comment>
    <comment ref="C25" authorId="0" shapeId="0" xr:uid="{CE350470-9A5D-4794-9994-3D32DCABD9E7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- Ingresos (salario+auxilio): $4'700,000
- Retención sobre el salario
- Colaboradores 25
- 16% retención general a los colaboradores (Ref. Oct/2025)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Edgard Rodrigues</author>
  </authors>
  <commentList>
    <comment ref="C28" authorId="0" shapeId="0" xr:uid="{5D5B294C-DF3C-479D-B7AD-E134B02E1C59}">
      <text>
        <r>
          <rPr>
            <b/>
            <sz val="9"/>
            <color indexed="81"/>
            <rFont val="Segoe UI"/>
            <family val="2"/>
          </rPr>
          <t>Edgard Rodrigues:</t>
        </r>
        <r>
          <rPr>
            <sz val="9"/>
            <color indexed="81"/>
            <rFont val="Segoe UI"/>
            <family val="2"/>
          </rPr>
          <t xml:space="preserve">
llenar com impuestos del pais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Ginna Castro Correa</author>
  </authors>
  <commentList>
    <comment ref="D2" authorId="0" shapeId="0" xr:uid="{D09FFDD0-B972-4AB2-966A-FED056983976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colaboradores - rotación</t>
        </r>
      </text>
    </comment>
    <comment ref="D3" authorId="0" shapeId="0" xr:uid="{68E99E5F-83B9-4566-B2C7-50DBA26661A4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28 C. crítico alto 28PP
30 C. crítico medio 63PP
9   C. crítico bajo 9pp
Aleitoriedad 50%</t>
        </r>
      </text>
    </comment>
    <comment ref="D4" authorId="0" shapeId="0" xr:uid="{692BE23E-0C72-4A4C-B874-08A8969691EB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28 C. crítico alto 28PP
30 C. crítico medio 63PP
9   C. crítico bajo 9pp
Aleitoriedad 50%</t>
        </r>
      </text>
    </comment>
    <comment ref="D5" authorId="0" shapeId="0" xr:uid="{5118C0E0-FEFA-43E5-B7D9-D7E511E13CBD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27,4% 2025
20,8% 2024</t>
        </r>
      </text>
    </comment>
    <comment ref="D6" authorId="0" shapeId="0" xr:uid="{6693927F-BAD2-430E-90DD-8447D29AFE03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Personas esti.: 2
# exámenesxpersona: 4
</t>
        </r>
      </text>
    </comment>
    <comment ref="D17" authorId="0" shapeId="0" xr:uid="{E49B85AA-C6B9-455C-A89F-C1CEA546A379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28 C. crítico alto 28PP
30 C. crítico medio 63PP
9   C. crítico bajo 9pp
Aleitoriedad 50%</t>
        </r>
      </text>
    </comment>
    <comment ref="D21" authorId="0" shapeId="0" xr:uid="{1D5120F5-C794-4E09-B10A-294696DF2BAD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27,4% 2025
20,8% 2024</t>
        </r>
      </text>
    </comment>
    <comment ref="D22" authorId="0" shapeId="0" xr:uid="{37074E08-908E-4832-9FD2-0E27A42B5CFB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27,4% 2025
20,8% 2024</t>
        </r>
      </text>
    </comment>
    <comment ref="D23" authorId="0" shapeId="0" xr:uid="{E9779A5A-F095-4BE6-8F7E-D29337636C51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27,4% 2025
20,8% 2024</t>
        </r>
      </text>
    </comment>
    <comment ref="D24" authorId="0" shapeId="0" xr:uid="{120E1D9F-CF7B-4A46-B425-8159F6E936AD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28 C. crítico alto 28PP
30 C. crítico medio 63PP
9   C. crítico bajo 9pp
Aleitoriedad 50%</t>
        </r>
      </text>
    </comment>
    <comment ref="D25" authorId="0" shapeId="0" xr:uid="{24082908-8C8E-4E60-9EA5-A2B59EFD7DC6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27,4% 2025
20,8% 2024</t>
        </r>
      </text>
    </comment>
    <comment ref="D26" authorId="0" shapeId="0" xr:uid="{F0A96A4B-9AE0-4822-99FF-4E0A60494AED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27,4% 2025
20,8% 2024</t>
        </r>
      </text>
    </comment>
    <comment ref="D27" authorId="0" shapeId="0" xr:uid="{9A07BC10-B60D-44E3-A286-EB7110DD4480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27,4% 2025
20,8% 2024</t>
        </r>
      </text>
    </comment>
    <comment ref="D43" authorId="0" shapeId="0" xr:uid="{7BEB556B-15F2-417D-932E-6A77023D50E4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Personas: 6
# entregas: SEM (2)</t>
        </r>
      </text>
    </comment>
    <comment ref="D44" authorId="0" shapeId="0" xr:uid="{D3B0BA65-5767-48BD-A6AB-DD033C75EA52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Personas: 6
# entregas: SEM (2)</t>
        </r>
      </text>
    </comment>
    <comment ref="D45" authorId="0" shapeId="0" xr:uid="{7A03C9F8-B7C7-46C3-9F36-73D9BF7E90EE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Personas: 6
# entregas: TRIM (4)</t>
        </r>
      </text>
    </comment>
    <comment ref="D49" authorId="0" shapeId="0" xr:uid="{34FB086D-C08B-4AB7-8CA4-64454EF2A30B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Brigadistas: 12
# entregas: 1 (año)
</t>
        </r>
      </text>
    </comment>
    <comment ref="D50" authorId="0" shapeId="0" xr:uid="{0D934324-3B17-4039-9386-8B7DD8E47995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Personas: 6
# entregas: SEM (2)</t>
        </r>
      </text>
    </comment>
    <comment ref="D51" authorId="0" shapeId="0" xr:uid="{D24A313D-FCA6-4744-A6D6-96ADC438F554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 52 colaboradores + 10 colab. Con comisión
3 veces al año</t>
        </r>
      </text>
    </comment>
    <comment ref="D58" authorId="0" shapeId="0" xr:uid="{66E5E5A2-D2F7-41F6-B103-ABBB1FA8641C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34 hombres
5 rotación, nuevas contrataciones</t>
        </r>
      </text>
    </comment>
    <comment ref="D59" authorId="0" shapeId="0" xr:uid="{3B13D36F-5DD3-4710-80B5-0AFE857FC5F8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70 mujeres + 5 rotación
</t>
        </r>
      </text>
    </comment>
    <comment ref="D60" authorId="0" shapeId="0" xr:uid="{18E87B76-7807-4F3B-94D1-59291AEF15F1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70 mujeres
5 rotación, nuevas vacantes
2025: 30 mamás</t>
        </r>
      </text>
    </comment>
    <comment ref="D61" authorId="0" shapeId="0" xr:uid="{9C35B07C-A775-4B0A-9847-57C9A08EA638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2025: 22 papás</t>
        </r>
      </text>
    </comment>
    <comment ref="E65" authorId="0" shapeId="0" xr:uid="{9434E6AE-0419-4ECE-A4D5-2C87A9E6929C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Bono regalo: 100.000
Helado/Des: 20.000
Decoración: 10.000</t>
        </r>
      </text>
    </comment>
    <comment ref="D75" authorId="0" shapeId="0" xr:uid="{7D8FD9E6-FE16-4FED-80F2-1A722DD633CE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2025: 8 sesiones</t>
        </r>
      </text>
    </comment>
    <comment ref="E78" authorId="0" shapeId="0" xr:uid="{CFAC373E-0F3A-4A82-B3A3-2FD1789A0B7F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Grupal $60.000
Individual $30.000</t>
        </r>
      </text>
    </comment>
    <comment ref="F78" authorId="0" shapeId="0" xr:uid="{57F4B8A1-81B7-49BE-82F1-48915089FD91}">
      <text>
        <r>
          <rPr>
            <b/>
            <sz val="9"/>
            <color indexed="81"/>
            <rFont val="Tahoma"/>
            <family val="2"/>
          </rPr>
          <t>Ginna Castro Correa:</t>
        </r>
        <r>
          <rPr>
            <sz val="9"/>
            <color indexed="81"/>
            <rFont val="Tahoma"/>
            <family val="2"/>
          </rPr>
          <t xml:space="preserve">
Grupal $60.000
Individual $30.000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tc={DB35D134-17A6-4D02-B8FE-6BB63996B7CD}</author>
  </authors>
  <commentList>
    <comment ref="F33" authorId="0" shapeId="0" xr:uid="{DB35D134-17A6-4D02-B8FE-6BB63996B7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Considerando 111 laptops a 6k cada</t>
      </text>
    </comment>
  </commentList>
</comments>
</file>

<file path=xl/sharedStrings.xml><?xml version="1.0" encoding="utf-8"?>
<sst xmlns="http://schemas.openxmlformats.org/spreadsheetml/2006/main" count="1137" uniqueCount="661">
  <si>
    <t>CONTAS</t>
  </si>
  <si>
    <t>CUENTAS</t>
  </si>
  <si>
    <t>OBSERVAÇÕES</t>
  </si>
  <si>
    <t>MFEE</t>
  </si>
  <si>
    <t>Receita Neutral (Somente Brasil)</t>
  </si>
  <si>
    <t>Mfee Filiais Internacionais</t>
  </si>
  <si>
    <t>Mfee Southcargo</t>
  </si>
  <si>
    <t>Dea Uruguay</t>
  </si>
  <si>
    <t>Rateio Pessoal Neutral</t>
  </si>
  <si>
    <t>Data Entry Fee</t>
  </si>
  <si>
    <t>Rateio Latam</t>
  </si>
  <si>
    <t/>
  </si>
  <si>
    <t>FOLHA DE PAGAMENTO</t>
  </si>
  <si>
    <t>GASTOS DEL PERSONAL</t>
  </si>
  <si>
    <t>Salarios</t>
  </si>
  <si>
    <t>Sueldos</t>
  </si>
  <si>
    <t>Beneficios</t>
  </si>
  <si>
    <t>Encargos</t>
  </si>
  <si>
    <t>Cargas Sociales</t>
  </si>
  <si>
    <t>Bonus/Premios</t>
  </si>
  <si>
    <t>Bonificaciones</t>
  </si>
  <si>
    <t>Indenizações / Rescisões</t>
  </si>
  <si>
    <t>Indemnizaciones</t>
  </si>
  <si>
    <t>Provisões</t>
  </si>
  <si>
    <t>Provision Sueldos</t>
  </si>
  <si>
    <t>Saude Ocupacional / Medicos</t>
  </si>
  <si>
    <t>Examenes Preocupacionales / Medicina</t>
  </si>
  <si>
    <t>Contribuições / Sindicato</t>
  </si>
  <si>
    <t>Aporte Patronal</t>
  </si>
  <si>
    <t>Cursos E Treinamentos</t>
  </si>
  <si>
    <t>Gastos Capacitacion</t>
  </si>
  <si>
    <t>Outros</t>
  </si>
  <si>
    <t>Varios</t>
  </si>
  <si>
    <t>Comissões</t>
  </si>
  <si>
    <t>Comisiones</t>
  </si>
  <si>
    <t>IMPOSTOS</t>
  </si>
  <si>
    <t>IMPUESTOS</t>
  </si>
  <si>
    <t>Impostos S/ Faturamento</t>
  </si>
  <si>
    <t>Impuestos Sobre Facturación / Ingresos Brutos</t>
  </si>
  <si>
    <t>Impuesto de IVA</t>
  </si>
  <si>
    <t>Imposto De Renda</t>
  </si>
  <si>
    <t>Impuestos A Las Ganancias</t>
  </si>
  <si>
    <t>Iof-Imposto S/ Oper.Financeira</t>
  </si>
  <si>
    <t>Iof</t>
  </si>
  <si>
    <t>Impuestos por giros bancarios 4 por mil</t>
  </si>
  <si>
    <t>Juros E Multa S/Impostos</t>
  </si>
  <si>
    <t>Multas / Intereses</t>
  </si>
  <si>
    <t>Outros Impostos</t>
  </si>
  <si>
    <t>Otros Impuestos</t>
  </si>
  <si>
    <t>Impuesto de ICA</t>
  </si>
  <si>
    <t>SERVIÇOS PRESTADOS</t>
  </si>
  <si>
    <t>SERVICIOS</t>
  </si>
  <si>
    <t>Serviços Contabeis</t>
  </si>
  <si>
    <t>Servicio Contable</t>
  </si>
  <si>
    <t>Gastos Con Servicios Contables Externos</t>
  </si>
  <si>
    <t>Servicos De Consultoria</t>
  </si>
  <si>
    <t>Estudios Y Asesorias</t>
  </si>
  <si>
    <t>Servicos De Auditoria</t>
  </si>
  <si>
    <t>Servicios De Finanzas</t>
  </si>
  <si>
    <t>Revisoria Fiscal</t>
  </si>
  <si>
    <t>Servicos De Motoboy</t>
  </si>
  <si>
    <t>Servicio De Moto</t>
  </si>
  <si>
    <t>Servicos De Corretagem</t>
  </si>
  <si>
    <t>Servicios De Corretaje</t>
  </si>
  <si>
    <t>Manutencao E Reparos</t>
  </si>
  <si>
    <t>Conservacion Y Manutenimiento De Oficina</t>
  </si>
  <si>
    <t>Servicos/Equip De Informatica</t>
  </si>
  <si>
    <t>Gastos De Informatica</t>
  </si>
  <si>
    <t>Servicos De Terceiros-Pj</t>
  </si>
  <si>
    <t>Outsourcing De Nomina- Sistema Sggt- Precios De Transferencia</t>
  </si>
  <si>
    <t>Serviços Prestados</t>
  </si>
  <si>
    <t>Otros Servicios</t>
  </si>
  <si>
    <t>Pago Aporte Obligatorio Sena</t>
  </si>
  <si>
    <t>Otros Gastos</t>
  </si>
  <si>
    <t>Facturacion/Nomina Electronica</t>
  </si>
  <si>
    <t>DESPESAS ESCRITÓRIO</t>
  </si>
  <si>
    <t>GASTOS CON OFICINA</t>
  </si>
  <si>
    <t>Alugueis/Condominio</t>
  </si>
  <si>
    <t>Alquiler (Oficina)</t>
  </si>
  <si>
    <t>Energia Eletrica</t>
  </si>
  <si>
    <t>Energia Electrica</t>
  </si>
  <si>
    <t>Taxa De Agua</t>
  </si>
  <si>
    <t>Acueducto Y Alcantarillado</t>
  </si>
  <si>
    <t>Telefone</t>
  </si>
  <si>
    <t>Telefono Fijo</t>
  </si>
  <si>
    <t>Costo Con Telefono Em  La Oficina (Llamadas Intl También)</t>
  </si>
  <si>
    <t>Celulares</t>
  </si>
  <si>
    <t>Internet</t>
  </si>
  <si>
    <t>Material De Escritorio</t>
  </si>
  <si>
    <t>Papeleria Y Utiles</t>
  </si>
  <si>
    <t>Material De Uso E Consumo</t>
  </si>
  <si>
    <t>Gastos Comunes</t>
  </si>
  <si>
    <t>Material Copa/Cozinha</t>
  </si>
  <si>
    <t>Gastos De Cafeteria</t>
  </si>
  <si>
    <t>Desp. Postais E Telegraficas</t>
  </si>
  <si>
    <t>Encomiendas Y Correo</t>
  </si>
  <si>
    <t>Conducao E Taxi</t>
  </si>
  <si>
    <t xml:space="preserve">Taxis Y Buses                                     </t>
  </si>
  <si>
    <t>Despesas C/Veiculos</t>
  </si>
  <si>
    <t>Mantenimiento De Vehiculos</t>
  </si>
  <si>
    <t>Reproducao Copias E Fotocopias</t>
  </si>
  <si>
    <t>Impresiones Y Formularios</t>
  </si>
  <si>
    <t>Malote</t>
  </si>
  <si>
    <t>Despesas C/Limpeza</t>
  </si>
  <si>
    <t>Articulos De Limpieza</t>
  </si>
  <si>
    <t>Seguros Diversos</t>
  </si>
  <si>
    <t>Seguros</t>
  </si>
  <si>
    <t>Uniformes</t>
  </si>
  <si>
    <t>Uniformes E Implementos De Seguridad</t>
  </si>
  <si>
    <t>Imposto Predial E Territorial</t>
  </si>
  <si>
    <t>Impuesto De Edificio (Oficina)</t>
  </si>
  <si>
    <t>Taxa De Licenca E Publicidade</t>
  </si>
  <si>
    <t>Tarifa De Oficina</t>
  </si>
  <si>
    <t>Locacao De Maq E Equipamentos</t>
  </si>
  <si>
    <t>Alquiler Equipos Diversos</t>
  </si>
  <si>
    <t>Locacoes Diversas</t>
  </si>
  <si>
    <t>Otros Alquileres</t>
  </si>
  <si>
    <t>Viagens E Estadias</t>
  </si>
  <si>
    <t>Pasajes Y Hoteleria</t>
  </si>
  <si>
    <t>Lanches E Refeicoes</t>
  </si>
  <si>
    <t>Aperitivos</t>
  </si>
  <si>
    <t>Kilometragem E Pedagio</t>
  </si>
  <si>
    <t>Peajes Y Combustible</t>
  </si>
  <si>
    <t>Fretes E Carretos</t>
  </si>
  <si>
    <t>Transporte</t>
  </si>
  <si>
    <t>Transporte De Equipo Em Cambio De Oficina</t>
  </si>
  <si>
    <t>Servicios De Terceros</t>
  </si>
  <si>
    <t>REPRESENTAÇÕES</t>
  </si>
  <si>
    <t>GASTOS COMERCIALES</t>
  </si>
  <si>
    <t>Despesas De Representacao</t>
  </si>
  <si>
    <t>Gastos De Representacion</t>
  </si>
  <si>
    <t>Estacionamento</t>
  </si>
  <si>
    <t>Estacionamientos</t>
  </si>
  <si>
    <t>Brindes E Comemoracoes</t>
  </si>
  <si>
    <t>Presentes Y Obsequios</t>
  </si>
  <si>
    <t>Regalos Fin De Año Clientes</t>
  </si>
  <si>
    <t>Intermodal</t>
  </si>
  <si>
    <t>Eventos E Promoçoes</t>
  </si>
  <si>
    <t>Eventos</t>
  </si>
  <si>
    <t>Evento Fin De Año Colaboradores</t>
  </si>
  <si>
    <t>COMUNICAÇÃO</t>
  </si>
  <si>
    <t>COMUNICACIÓN</t>
  </si>
  <si>
    <t>Propaganda E Publicidade</t>
  </si>
  <si>
    <t>Publicidad Y Propaganda</t>
  </si>
  <si>
    <t>Anuncios E Publicacoes</t>
  </si>
  <si>
    <t>Avisos Y Publicidad</t>
  </si>
  <si>
    <t>Despesas Legais</t>
  </si>
  <si>
    <t>Patentes Y Derechos/Solo Gastos Com Comunicacion (No Alocar Costo Com Otras Licencia)</t>
  </si>
  <si>
    <t>Assinaturas,Jornais E Revistas</t>
  </si>
  <si>
    <t xml:space="preserve">Suscripción </t>
  </si>
  <si>
    <t>Fitac Datacredito Informa Quintero Hermanos Basc</t>
  </si>
  <si>
    <t>DESPESAS LEGAIS</t>
  </si>
  <si>
    <t>GASTOS LEGALES</t>
  </si>
  <si>
    <t>Servicos Advocaticios</t>
  </si>
  <si>
    <t xml:space="preserve">Asesoria Legal </t>
  </si>
  <si>
    <t>Abogado Aduanero Comercial Y Laboral</t>
  </si>
  <si>
    <t>Gastos Legales</t>
  </si>
  <si>
    <t>Taxas E Emolumentos</t>
  </si>
  <si>
    <t>Tarifas Legales</t>
  </si>
  <si>
    <t>FINANCEIRO</t>
  </si>
  <si>
    <t>GASTOS FINANCIERO</t>
  </si>
  <si>
    <t>Rendim. Aplic.Financ.</t>
  </si>
  <si>
    <t>Rendimientos</t>
  </si>
  <si>
    <t>Juros Passivos</t>
  </si>
  <si>
    <t>Intereses Bancarios</t>
  </si>
  <si>
    <t>Despesas Bancarias</t>
  </si>
  <si>
    <t>Costos Bancarios</t>
  </si>
  <si>
    <t>OUTRAS DESPESAS</t>
  </si>
  <si>
    <t>OTROS GASTOS</t>
  </si>
  <si>
    <t>Despesas Indedutiveis</t>
  </si>
  <si>
    <t>Gastos No Admitidos</t>
  </si>
  <si>
    <t>Associacao De Classe</t>
  </si>
  <si>
    <t>Pago Afiliacion</t>
  </si>
  <si>
    <t>Contrib.Assistencial</t>
  </si>
  <si>
    <t>Outras</t>
  </si>
  <si>
    <t>ATIVO IMOBILIZADO</t>
  </si>
  <si>
    <t>ACTIVOS</t>
  </si>
  <si>
    <t>Moveis E Utensilios</t>
  </si>
  <si>
    <t>Muebles Y Utiles</t>
  </si>
  <si>
    <t>Computadores E Acessórios</t>
  </si>
  <si>
    <t>Activos - Computadora</t>
  </si>
  <si>
    <t>Maquinas E Equipamentos</t>
  </si>
  <si>
    <t>Maquinas E Equipos</t>
  </si>
  <si>
    <t>Veiculos</t>
  </si>
  <si>
    <t>Vehiculos</t>
  </si>
  <si>
    <t>Benfeitorias Em Andamento Prop 3S</t>
  </si>
  <si>
    <t>Remodelaciones Oficinas</t>
  </si>
  <si>
    <t>DEPRECIAÇÕES E AMORTIZAÇÕES</t>
  </si>
  <si>
    <t>DEPRECIACION</t>
  </si>
  <si>
    <t>Amortização</t>
  </si>
  <si>
    <t>Amortizacion</t>
  </si>
  <si>
    <t>Depreciação</t>
  </si>
  <si>
    <t>Depreciacion</t>
  </si>
  <si>
    <t>VAS</t>
  </si>
  <si>
    <t>AREA</t>
  </si>
  <si>
    <t>Octubre</t>
  </si>
  <si>
    <t>INFLACION</t>
  </si>
  <si>
    <t>Vigencia</t>
  </si>
  <si>
    <t>Incremento</t>
  </si>
  <si>
    <t>SMMLV</t>
  </si>
  <si>
    <t>IPC</t>
  </si>
  <si>
    <t>IFX</t>
  </si>
  <si>
    <t>CLARO</t>
  </si>
  <si>
    <t>MOVISTAR</t>
  </si>
  <si>
    <t>TIGO</t>
  </si>
  <si>
    <t>Cantidad</t>
  </si>
  <si>
    <t>Costo individual</t>
  </si>
  <si>
    <t>Mensual</t>
  </si>
  <si>
    <t>Fiesta fin de año</t>
  </si>
  <si>
    <t>Diciembre</t>
  </si>
  <si>
    <t>Trimestral</t>
  </si>
  <si>
    <t>Febrero</t>
  </si>
  <si>
    <t xml:space="preserve">Marzo </t>
  </si>
  <si>
    <t>Mayo</t>
  </si>
  <si>
    <t>Junio</t>
  </si>
  <si>
    <t>Amor y amistad</t>
  </si>
  <si>
    <t>Septiembre</t>
  </si>
  <si>
    <t>Cumpleaños</t>
  </si>
  <si>
    <t>Dia de la mujer</t>
  </si>
  <si>
    <t>Halloween</t>
  </si>
  <si>
    <t>Convencion anual</t>
  </si>
  <si>
    <t>Botas de seguridad</t>
  </si>
  <si>
    <t xml:space="preserve">Lentes nitro </t>
  </si>
  <si>
    <t>TOTAL</t>
  </si>
  <si>
    <t>PC + 5 años</t>
  </si>
  <si>
    <t>Aumento memorias</t>
  </si>
  <si>
    <t>Canal backup intenet</t>
  </si>
  <si>
    <t>Nuevo Firewall</t>
  </si>
  <si>
    <t>Programa Desaster Recovery</t>
  </si>
  <si>
    <t>Migracion a la nube</t>
  </si>
  <si>
    <t>Licencias de visio</t>
  </si>
  <si>
    <t>Extensiones ETB</t>
  </si>
  <si>
    <t>Monitores</t>
  </si>
  <si>
    <t>Nueva explicacion AURA</t>
  </si>
  <si>
    <t xml:space="preserve">Management Fee </t>
  </si>
  <si>
    <t>Gastos con sueldos</t>
  </si>
  <si>
    <t>Salarios, hors extras, recargos</t>
  </si>
  <si>
    <t>Gastos con alimentacion, mobilidad, seguros y otros gastos con personal</t>
  </si>
  <si>
    <t xml:space="preserve">sobrereumneraciones, prepagada, </t>
  </si>
  <si>
    <t>Impuestos relacionados al sueldo que son gastos de la empresa</t>
  </si>
  <si>
    <t>35% del 52% de la carga</t>
  </si>
  <si>
    <t xml:space="preserve">primas, cesantias, vacaciones, intereses de cesantias, extralegales, </t>
  </si>
  <si>
    <t>Gratificaciones y bonos</t>
  </si>
  <si>
    <t>No se utilliza</t>
  </si>
  <si>
    <t>Gastos con finiquitos</t>
  </si>
  <si>
    <t>Provisiones de 13o sueldo, bonificaciones anuales, vacaciones</t>
  </si>
  <si>
    <t>65% del 52% de carga prestacional</t>
  </si>
  <si>
    <t>Medicina a los empleados, para admision, finiquito o revisiones periodicas de acuerdo com leyes locales</t>
  </si>
  <si>
    <t>Contribuicion a las sociedades de clase de trabajadores, cuando aplicable</t>
  </si>
  <si>
    <t>Entreinamento</t>
  </si>
  <si>
    <t>BASC, Capacitaciones formales, Fitac, IATA</t>
  </si>
  <si>
    <t>Convencion anual de ventas año 2022</t>
  </si>
  <si>
    <t>gastos convencion USD 14000/ psicologo, coach, uniformes de futbol</t>
  </si>
  <si>
    <t>Comisiones Comercial</t>
  </si>
  <si>
    <t>comisiones mas porcentaje de crecimeinto de ventas</t>
  </si>
  <si>
    <t>Abogado Tributario</t>
  </si>
  <si>
    <t>Revisoria fiscal</t>
  </si>
  <si>
    <t>gastos de oficina inf a 2 SMMLV</t>
  </si>
  <si>
    <t>Servicios Técnicos En Equipos De Informatica</t>
  </si>
  <si>
    <t>facturacion de TECINF, o de cada sucursal</t>
  </si>
  <si>
    <t>80000 en promedio de BUN y CTG</t>
  </si>
  <si>
    <t>Outsourcing De Nomina- Sistema Sggt- Precios De Transferencia-Visitas Domiciliarias</t>
  </si>
  <si>
    <t>Sena</t>
  </si>
  <si>
    <t>Facture</t>
  </si>
  <si>
    <t>arriendos, administraciones, bodegas</t>
  </si>
  <si>
    <t>8800000 de arriendos de BUN yCTG</t>
  </si>
  <si>
    <t>incluir bodegas de CTG y BUN</t>
  </si>
  <si>
    <t>energia</t>
  </si>
  <si>
    <t>incluir puertos</t>
  </si>
  <si>
    <t>agua</t>
  </si>
  <si>
    <t>telefono fijo de las sedes incluido puerto y llamadas internacional</t>
  </si>
  <si>
    <t>plan de celular de todas las aoficinas y todos los telefonos</t>
  </si>
  <si>
    <t>todas las ofi</t>
  </si>
  <si>
    <t>inlcuir puertos</t>
  </si>
  <si>
    <t>papeleria resmas, esferos , boradores</t>
  </si>
  <si>
    <t>Articulos De Aseo Y Outro De La Oficina</t>
  </si>
  <si>
    <t>aseo y cafeteria</t>
  </si>
  <si>
    <t>trasnporte de empleados a sus casas o mensajeria eventaual</t>
  </si>
  <si>
    <t>envios y encomiendas</t>
  </si>
  <si>
    <t>polizas de seguro de funcionamiento de la oficina, Hanseatica poliza global por carga</t>
  </si>
  <si>
    <t>dotacion del personal/sodexo, kitsde bievenida, uniformes equipos futbol</t>
  </si>
  <si>
    <t>Aura</t>
  </si>
  <si>
    <t>Mantenimientos Equipos Ofc Computador</t>
  </si>
  <si>
    <t>compras de IT inferiores a 2 SMMLV</t>
  </si>
  <si>
    <t>Gastos De Viaje</t>
  </si>
  <si>
    <t>tiquetes, hoteles viaticos y trasnporte terrestre</t>
  </si>
  <si>
    <t>Gastos De Personal</t>
  </si>
  <si>
    <t>atencion al personal, eventos (bienestar, cumpleaños, holloween, fechas especiales), Psicologo</t>
  </si>
  <si>
    <t>servicios generales casa limpia, cuenta de cobro de natalia, SLI</t>
  </si>
  <si>
    <t>Gastos Com Clientes, Cenas, Almuerzo, Happy Hour</t>
  </si>
  <si>
    <t xml:space="preserve">Comidas clientes exclusivamente,  detalles cliente, donuts, cafes, visitas de agentes, brasil, visitas general, gastos gerencia general con clientes, </t>
  </si>
  <si>
    <t>parqueaderos de los edificios</t>
  </si>
  <si>
    <t>Tarjetas De Presentacion Comercial/ Flyers</t>
  </si>
  <si>
    <t>cuadernos, esfereos, calendarios, Zoom tarjetas de presentacion, papeleria externa</t>
  </si>
  <si>
    <t>Sec</t>
  </si>
  <si>
    <t>dejar en 0</t>
  </si>
  <si>
    <t>fitac, datacredito, informa, Sicex, Basc</t>
  </si>
  <si>
    <t>Dr plata</t>
  </si>
  <si>
    <t>Autenticaciones Legales De Documentos, Traduccion</t>
  </si>
  <si>
    <t xml:space="preserve">gastos notariales compra camaras de comercio, </t>
  </si>
  <si>
    <t>Solo Tarifas De Processos Legales</t>
  </si>
  <si>
    <t>interes de aplicaciones financieras</t>
  </si>
  <si>
    <t>Abogado Cartera</t>
  </si>
  <si>
    <t>Auditoria Interna Tributaria</t>
  </si>
  <si>
    <t>Gastos Puertos Bun Y Ctg</t>
  </si>
  <si>
    <t>debe quedar en 0</t>
  </si>
  <si>
    <t>Imputar Tambien Licencias De Programas (Ej. Microsoft)</t>
  </si>
  <si>
    <t>ppto de IT, remodelaciones, arreglos locatviso de mas de 2 mm de pesos</t>
  </si>
  <si>
    <t>tasa USD/COP</t>
  </si>
  <si>
    <t>internet</t>
  </si>
  <si>
    <t>Telefone/Celulares</t>
  </si>
  <si>
    <t>SIM DATOS</t>
  </si>
  <si>
    <t>Total Año</t>
  </si>
  <si>
    <t>Total mes</t>
  </si>
  <si>
    <t>Gerencias</t>
  </si>
  <si>
    <t>Novena CRAFT</t>
  </si>
  <si>
    <t>Insumos y perifericos</t>
  </si>
  <si>
    <t>Kit Ingreso</t>
  </si>
  <si>
    <t>Total Budget</t>
  </si>
  <si>
    <t>NATALIA, Katherine, JOSE</t>
  </si>
  <si>
    <t>Designer, BUK, recarga extintores, luces, sillas ergonomia,, visitas empleados, capacitaciones de SST</t>
  </si>
  <si>
    <t>Abogado Tributario/ Precios De Transferencia / Asesoria externa temas OP-EM- DP</t>
  </si>
  <si>
    <t>IT</t>
  </si>
  <si>
    <t>Repositorio Veembackup</t>
  </si>
  <si>
    <t>Renovación impresoras</t>
  </si>
  <si>
    <t>Morrales PC</t>
  </si>
  <si>
    <t>Biometrico</t>
  </si>
  <si>
    <t>Outros Servicios prestados- Pago Aporte Obligatorio Sena</t>
  </si>
  <si>
    <t>Servicios de Terceros</t>
  </si>
  <si>
    <t>Gasto SST</t>
  </si>
  <si>
    <t>Botiquin</t>
  </si>
  <si>
    <t>licencias Firewall &amp; veembackup</t>
  </si>
  <si>
    <t>Licencias SEC &amp; PQR</t>
  </si>
  <si>
    <t>licencias Vmware &amp; servidor DL360 &amp; windows server</t>
  </si>
  <si>
    <t>Capacidad NAS</t>
  </si>
  <si>
    <t>celulares</t>
  </si>
  <si>
    <t>Telefono fijo</t>
  </si>
  <si>
    <t>CARGAS SOCIALES</t>
  </si>
  <si>
    <t>CARGAS SOCIALES2</t>
  </si>
  <si>
    <t>MARTINEZ CAMELO WILLIAM RICARDO</t>
  </si>
  <si>
    <t>GONZALEZ GONZALEZ AURA</t>
  </si>
  <si>
    <t>CASAS ROZO DIANA MARCELA</t>
  </si>
  <si>
    <t>FERNANDEZ MORENO ANA MARIA</t>
  </si>
  <si>
    <t>BUITRAGO POLOCHE ANGIE MARIANA</t>
  </si>
  <si>
    <t>LEON MENDOZA VIVIANA KATHERINE</t>
  </si>
  <si>
    <t>TRIANA COTE SILVIA JULIANA</t>
  </si>
  <si>
    <t>GOMEZ CALVO ANGEE LILIANA</t>
  </si>
  <si>
    <t>GRACIA OSORIO DIANA PATRICIA</t>
  </si>
  <si>
    <t>HERNANDEZ SALAZAR STEFANNY</t>
  </si>
  <si>
    <t>HERNANDEZ TALERO EDUARD FRANCISCO</t>
  </si>
  <si>
    <t>INSIDE SALES</t>
  </si>
  <si>
    <t>JIMENEZ QUINTANA DAYAN STEFFANY</t>
  </si>
  <si>
    <t>MAHECHA MUÑOZ YEIMY PAOLA</t>
  </si>
  <si>
    <t>MARTINEZ MORERA NADIA YURENY</t>
  </si>
  <si>
    <t>MORALES LAZO LILIANA ANDREA</t>
  </si>
  <si>
    <t>MORALES TORRES JOHN FERNANDO</t>
  </si>
  <si>
    <t>SUAREZ RUIZ LINA MARCELA</t>
  </si>
  <si>
    <t>cesantias</t>
  </si>
  <si>
    <t>intereses</t>
  </si>
  <si>
    <t>vacaciones</t>
  </si>
  <si>
    <t>prima</t>
  </si>
  <si>
    <t>ARL</t>
  </si>
  <si>
    <t>parafiscales</t>
  </si>
  <si>
    <t>SALUD</t>
  </si>
  <si>
    <t>PENSION</t>
  </si>
  <si>
    <t>IMPUESTO RETENCION</t>
  </si>
  <si>
    <t>CARGA PRESTACIONAL</t>
  </si>
  <si>
    <t>AUXILIO TPTE</t>
  </si>
  <si>
    <t>Manejo de nomina BUK</t>
  </si>
  <si>
    <t>Total</t>
  </si>
  <si>
    <t>ok</t>
  </si>
  <si>
    <t>COMISIONES</t>
  </si>
  <si>
    <t>CARGOS NUEVOS</t>
  </si>
  <si>
    <t xml:space="preserve">Cambio de TRM </t>
  </si>
  <si>
    <t>incluir 4 practicantes sena</t>
  </si>
  <si>
    <t>Incluir Alberto y miguel damian</t>
  </si>
  <si>
    <t>reemplazo de olga espejo =Natalia</t>
  </si>
  <si>
    <t>incluir emiro</t>
  </si>
  <si>
    <t>incluir al nuevo de VAS</t>
  </si>
  <si>
    <t>incluir al nuevo de aereo</t>
  </si>
  <si>
    <t>caclular nuevamente el impacto de flexibilizacion</t>
  </si>
  <si>
    <t>calcular valores de 3 visitas (Marcio, Marcus, Rita)</t>
  </si>
  <si>
    <t>CON TODO SIN COMISIONES</t>
  </si>
  <si>
    <t>TRM</t>
  </si>
  <si>
    <t>CON  tb SIN PUERTOS</t>
  </si>
  <si>
    <t>EMIRO</t>
  </si>
  <si>
    <t>NATALIA</t>
  </si>
  <si>
    <t>ALBERTO</t>
  </si>
  <si>
    <t>MIGUEL</t>
  </si>
  <si>
    <t>AEREO</t>
  </si>
  <si>
    <t>TODO SIN TBH</t>
  </si>
  <si>
    <t>SIN TBH PERO PASANTES</t>
  </si>
  <si>
    <t>PASANTES</t>
  </si>
  <si>
    <t>Total personal 92</t>
  </si>
  <si>
    <t>pendiente presupuesto solo bta</t>
  </si>
  <si>
    <t>cambiar el de laura comisiones</t>
  </si>
  <si>
    <t>PONER META  a los inside</t>
  </si>
  <si>
    <t>errores en cotizaciones se descuentan de comisiones</t>
  </si>
  <si>
    <t>50% al inside del monto de la embarrada</t>
  </si>
  <si>
    <t>descontar el monto que corresponde al error sin que supere el valor de la comision de ese mes</t>
  </si>
  <si>
    <t>aplicable a todo inside</t>
  </si>
  <si>
    <t>OK</t>
  </si>
  <si>
    <t>Inlcuido Miguel</t>
  </si>
  <si>
    <t>SIN TBH PERO CON PASANTES</t>
  </si>
  <si>
    <t>GROUP</t>
  </si>
  <si>
    <t>FISCAL GROUP</t>
  </si>
  <si>
    <t>IT GROUP</t>
  </si>
  <si>
    <t>DESCRIPTION 1</t>
  </si>
  <si>
    <t>DESCRIPTION 2</t>
  </si>
  <si>
    <t>SUPPLIER</t>
  </si>
  <si>
    <t>BRANCH</t>
  </si>
  <si>
    <t>Jan/24 BP</t>
  </si>
  <si>
    <t>Fev/24BP</t>
  </si>
  <si>
    <t>Mar/24 BP</t>
  </si>
  <si>
    <t>Apr/24 BP</t>
  </si>
  <si>
    <t>May/24 BP</t>
  </si>
  <si>
    <t>Jun/24 BP</t>
  </si>
  <si>
    <t>Jul/24 BP</t>
  </si>
  <si>
    <t>Ago/24 BP</t>
  </si>
  <si>
    <t>Sep/24 BP</t>
  </si>
  <si>
    <t>Out/24 BP</t>
  </si>
  <si>
    <t>Nov/24 BP</t>
  </si>
  <si>
    <t>Dec/24 BP</t>
  </si>
  <si>
    <t>EXPENSES</t>
  </si>
  <si>
    <t>IT Infraestructure</t>
  </si>
  <si>
    <t>IT Network transmission Expenses</t>
  </si>
  <si>
    <t>Data Network</t>
  </si>
  <si>
    <t>IT Infrastructure and Support</t>
  </si>
  <si>
    <t>Enlace Internet</t>
  </si>
  <si>
    <t xml:space="preserve">Link of Internet </t>
  </si>
  <si>
    <t>GTD</t>
  </si>
  <si>
    <t>COLÔMBIA (BOGOTÁ)</t>
  </si>
  <si>
    <t>Second Link of Internet</t>
  </si>
  <si>
    <t>MPLS com CASA MATRIZ</t>
  </si>
  <si>
    <t>COLÔMBIA (CALI)</t>
  </si>
  <si>
    <t>COLÔMBIA (BUENAVENTURA)</t>
  </si>
  <si>
    <t>IT Comunnications</t>
  </si>
  <si>
    <t>Telephony (Mobile)</t>
  </si>
  <si>
    <t>Telephony (VOIP)</t>
  </si>
  <si>
    <t>Telephony (PABX)</t>
  </si>
  <si>
    <t>IT Security</t>
  </si>
  <si>
    <t>Firewall (Maintenance)</t>
  </si>
  <si>
    <t>Firewall License</t>
  </si>
  <si>
    <t xml:space="preserve">License Firewall - FORTINET F100 </t>
  </si>
  <si>
    <t>FORTINET</t>
  </si>
  <si>
    <t>ARGENTINA</t>
  </si>
  <si>
    <t>IT Hardware Expenses</t>
  </si>
  <si>
    <t>Printers (Outsourcing)</t>
  </si>
  <si>
    <t>Ptrinters Outsourcing</t>
  </si>
  <si>
    <t>30 Printers - Brother - MFC 200</t>
  </si>
  <si>
    <t>XPTO OUTSOURCING</t>
  </si>
  <si>
    <t>Printers (Maintenance)</t>
  </si>
  <si>
    <t xml:space="preserve">Servers &amp; Local Datacenter services </t>
  </si>
  <si>
    <t>IT Infraestrutura e Sustentação</t>
  </si>
  <si>
    <t>Garantee Contract - 12 months</t>
  </si>
  <si>
    <t>DELL</t>
  </si>
  <si>
    <t>IT Sofware Expenses - End User</t>
  </si>
  <si>
    <t>End User Computing - Collaboration</t>
  </si>
  <si>
    <t>Acrobat License - PDFCreator</t>
  </si>
  <si>
    <t>License to 12 users - PDF Creator</t>
  </si>
  <si>
    <t>ADOBE</t>
  </si>
  <si>
    <t>PERU</t>
  </si>
  <si>
    <t>IT SOFTWARE</t>
  </si>
  <si>
    <t>IT Software Expenses Consultoria</t>
  </si>
  <si>
    <t>Support and Maintenance - SAP</t>
  </si>
  <si>
    <t>IT Sotware Support</t>
  </si>
  <si>
    <t>Support and Update - SAP (32 Hours/Month)</t>
  </si>
  <si>
    <t xml:space="preserve">Contract Support Consultoria SAP </t>
  </si>
  <si>
    <t>XPLORA</t>
  </si>
  <si>
    <t>IT Software License - SaaS</t>
  </si>
  <si>
    <t>License SAP</t>
  </si>
  <si>
    <t>IT Sotware License</t>
  </si>
  <si>
    <t>License SAP - 24 Users</t>
  </si>
  <si>
    <t>License Use - SAP to 24 users</t>
  </si>
  <si>
    <t>SAP</t>
  </si>
  <si>
    <t xml:space="preserve">IT PEOPLE </t>
  </si>
  <si>
    <t>IT People Contractors - External Services</t>
  </si>
  <si>
    <t>Support End User / Network</t>
  </si>
  <si>
    <t>IT PEOPLE</t>
  </si>
  <si>
    <t>IT People Colaborators</t>
  </si>
  <si>
    <t>Support End User / SAP Systems</t>
  </si>
  <si>
    <t>IT Security Analist</t>
  </si>
  <si>
    <t>Project SAP (Contract Temp)</t>
  </si>
  <si>
    <t>IT Systems Analyst</t>
  </si>
  <si>
    <t xml:space="preserve">TOTAL </t>
  </si>
  <si>
    <t xml:space="preserve"> </t>
  </si>
  <si>
    <t>INVESTIMENTS</t>
  </si>
  <si>
    <t>IT Project</t>
  </si>
  <si>
    <t>Software Maintenance</t>
  </si>
  <si>
    <t>Sustainable growth</t>
  </si>
  <si>
    <t>IT Systems</t>
  </si>
  <si>
    <t>Software Maintenance like INVESTIMENT</t>
  </si>
  <si>
    <t>Support and Maintenance during project phase</t>
  </si>
  <si>
    <t>Project Consulting &amp; Implementation</t>
  </si>
  <si>
    <t xml:space="preserve">Project Implementation SAP </t>
  </si>
  <si>
    <t xml:space="preserve">Implementation SAP </t>
  </si>
  <si>
    <t>IT Investiment</t>
  </si>
  <si>
    <t>Project Consulting&amp;Implementation</t>
  </si>
  <si>
    <t>Support and Maintenance  like investiment</t>
  </si>
  <si>
    <t>Corporate</t>
  </si>
  <si>
    <t>IT Software aquisition &amp; implementation</t>
  </si>
  <si>
    <t>Operational Excelence</t>
  </si>
  <si>
    <t>Software Aquisition like investiment</t>
  </si>
  <si>
    <t>Hardware Aquisition</t>
  </si>
  <si>
    <t>IT Infraestrutura</t>
  </si>
  <si>
    <t>Hardware aquisition like investiment</t>
  </si>
  <si>
    <t>TOTAL GERAL</t>
  </si>
  <si>
    <t>Support and Maintenance - BUK</t>
  </si>
  <si>
    <t>x</t>
  </si>
  <si>
    <t>Enlace Internet pais</t>
  </si>
  <si>
    <t>Dotaciones Big pass</t>
  </si>
  <si>
    <t xml:space="preserve">Examenes periodicos Enfasis Ocupacional </t>
  </si>
  <si>
    <t xml:space="preserve">Pruebas de Alcohol </t>
  </si>
  <si>
    <t>Pruebas de Drogas</t>
  </si>
  <si>
    <t xml:space="preserve">Examenes Ing ret Enfasis Ocupacional </t>
  </si>
  <si>
    <t>Examen Post Incapacidad</t>
  </si>
  <si>
    <t xml:space="preserve">Recargas de Extintores nacional </t>
  </si>
  <si>
    <t>ESGUERRA RENGIFO GLORIA STEPHANY</t>
  </si>
  <si>
    <t>5.1%</t>
  </si>
  <si>
    <t>Referencia de Adriana C.</t>
  </si>
  <si>
    <t>REVISAR</t>
  </si>
  <si>
    <t>Poner el máximo que pagamos</t>
  </si>
  <si>
    <t>Actividades Semana de la Salud (Snack Saludable, Yoga de la risa, Musicoterapia, Vibromasaje, Snack de Bienvenida, Suvenire, etc)</t>
  </si>
  <si>
    <t>Dotación a colaboradores</t>
  </si>
  <si>
    <t>Monetización</t>
  </si>
  <si>
    <t>Anual</t>
  </si>
  <si>
    <t>Semestral</t>
  </si>
  <si>
    <t>Curso completo Basc Norma 6</t>
  </si>
  <si>
    <t>Procesos de coahcing &amp; desarrollo en liderazgo</t>
  </si>
  <si>
    <t>Mercancía Peligrosa</t>
  </si>
  <si>
    <t>Carga básica</t>
  </si>
  <si>
    <t>Perecederos</t>
  </si>
  <si>
    <t>Cojín lumbar</t>
  </si>
  <si>
    <t>Cesantías</t>
  </si>
  <si>
    <t>Vacaciones</t>
  </si>
  <si>
    <t>Intereses</t>
  </si>
  <si>
    <t>Prima</t>
  </si>
  <si>
    <t>Salud</t>
  </si>
  <si>
    <t>Pensión</t>
  </si>
  <si>
    <t>Impuesto retención</t>
  </si>
  <si>
    <t>Auxilio de transporte</t>
  </si>
  <si>
    <t>Parafiscales (SENA, Caja, ICBF)</t>
  </si>
  <si>
    <t>Área</t>
  </si>
  <si>
    <t>Rol</t>
  </si>
  <si>
    <t>Fecha cambio</t>
  </si>
  <si>
    <t>Salario mensual</t>
  </si>
  <si>
    <t>Proporcion pago 2025</t>
  </si>
  <si>
    <t>FCL</t>
  </si>
  <si>
    <t>LCL</t>
  </si>
  <si>
    <t>Puertos</t>
  </si>
  <si>
    <t>Aéreo</t>
  </si>
  <si>
    <t>Comercial</t>
  </si>
  <si>
    <t>Ops</t>
  </si>
  <si>
    <t>Customer</t>
  </si>
  <si>
    <t>Financiero</t>
  </si>
  <si>
    <t>Meses contratado</t>
  </si>
  <si>
    <t>PRODUCTO</t>
  </si>
  <si>
    <t>NOMBRE</t>
  </si>
  <si>
    <t>GERENCIA DE PRODUCTO</t>
  </si>
  <si>
    <t xml:space="preserve">AF </t>
  </si>
  <si>
    <t>GERENCIA COMERCIAL</t>
  </si>
  <si>
    <t>ALL PROD</t>
  </si>
  <si>
    <t>GERENCIA FINANCIERA</t>
  </si>
  <si>
    <t>FACILITIES</t>
  </si>
  <si>
    <t>GERENCIA ESTRATEGICA</t>
  </si>
  <si>
    <t>DE SA RAFAEL</t>
  </si>
  <si>
    <t>EJECUTIVOS COMERCIALES</t>
  </si>
  <si>
    <t>DESARROLLO DE PRODUCTO</t>
  </si>
  <si>
    <t>PEÑALOZA ORTIZ LEONELA</t>
  </si>
  <si>
    <t>MARIN DIAZ CRISTIAN CAMILO</t>
  </si>
  <si>
    <t>GARCIA MONSALVE MARIA PAULINA</t>
  </si>
  <si>
    <t>LOZANO ABRIL VALENTINA</t>
  </si>
  <si>
    <t>ANGELA LORENA AMAYA LASSO</t>
  </si>
  <si>
    <t>HAIDI LILIANA DURAN VILAMIZAR</t>
  </si>
  <si>
    <t xml:space="preserve">  - </t>
  </si>
  <si>
    <t>COP PROM 2025</t>
  </si>
  <si>
    <t>USD PROM 2024</t>
  </si>
  <si>
    <t>TOTAL PROMEDIO MENSUAL</t>
  </si>
  <si>
    <t>P&amp;A</t>
  </si>
  <si>
    <t>Jefe de seguridad Basc</t>
  </si>
  <si>
    <t>PROGRAMAS BASC</t>
  </si>
  <si>
    <t>% COT</t>
  </si>
  <si>
    <t>COLAB.</t>
  </si>
  <si>
    <t>RECAT</t>
  </si>
  <si>
    <t>Pruebas DISC</t>
  </si>
  <si>
    <t>Pruebas Betesa</t>
  </si>
  <si>
    <t>Pruebas Antes PRO</t>
  </si>
  <si>
    <t>Visitas domiciliarias</t>
  </si>
  <si>
    <t>Planilla electrónica</t>
  </si>
  <si>
    <t>Carnet</t>
  </si>
  <si>
    <t>Cinta carnet y portacarnet</t>
  </si>
  <si>
    <t>Yoyo carnet</t>
  </si>
  <si>
    <t>Café / Almuerzo con colaboradores</t>
  </si>
  <si>
    <t>Desarrollo</t>
  </si>
  <si>
    <t>Elementos</t>
  </si>
  <si>
    <t>Uniforme servicios generales</t>
  </si>
  <si>
    <t>Hoodie</t>
  </si>
  <si>
    <t>Acompañamiento psicológico</t>
  </si>
  <si>
    <t>Día del hombre</t>
  </si>
  <si>
    <t>Día de la madre</t>
  </si>
  <si>
    <t>Día del padre</t>
  </si>
  <si>
    <t>Abril</t>
  </si>
  <si>
    <t>Detalles en momentos especificos (Matrimonio, grados, fallecimientos)</t>
  </si>
  <si>
    <t>Baby shower</t>
  </si>
  <si>
    <t xml:space="preserve">Día del niño hasta 12 años </t>
  </si>
  <si>
    <t xml:space="preserve">Detalle Halloween niños hasta 12 años </t>
  </si>
  <si>
    <t>Detalle Navidad niños hasta 12 años</t>
  </si>
  <si>
    <t>Plan estratégico en enero 2025</t>
  </si>
  <si>
    <t>Enero</t>
  </si>
  <si>
    <t>Premios de concursos individuales y colectivos</t>
  </si>
  <si>
    <t>Cursos BASC Obligatorias</t>
  </si>
  <si>
    <t>Auditoria Externa sistema (ver detalle) - DUR 1072 y Res 0312</t>
  </si>
  <si>
    <t>Actualizacion de cursos de SST (Prim. Aux, Evac y rescate)</t>
  </si>
  <si>
    <t>Emermédica áreas protegidas</t>
  </si>
  <si>
    <t>Consultoría honorarios</t>
  </si>
  <si>
    <t>Reconocimientos miembros (COCOLA, COPAST, BRIGADISTAS, CLUB B.)</t>
  </si>
  <si>
    <t>Bimestral</t>
  </si>
  <si>
    <t>Adecuaciones puestos de trabajo (ver detalle) Soporte Elevador de Monitor</t>
  </si>
  <si>
    <t>Adecuaciones puestos de trabajo (ver detalle) Silla Ergonomica para Escritorio</t>
  </si>
  <si>
    <t xml:space="preserve">Adecuaciones puestos de trabajo (ver detalle) Mejoramiento espacios de trabajo </t>
  </si>
  <si>
    <t>Tapaoídos</t>
  </si>
  <si>
    <t>Casco protección</t>
  </si>
  <si>
    <t>Zapato Antideslizante (se suspenderá en reemplazo del People pass)</t>
  </si>
  <si>
    <t>Chaleco Operativos antifluido brigadistas</t>
  </si>
  <si>
    <t>Chaleco Operativos Drill/antifluido terminales</t>
  </si>
  <si>
    <t>Cuatrimestre</t>
  </si>
  <si>
    <t>Almuerzos bienvenida</t>
  </si>
  <si>
    <t>Consulta informa</t>
  </si>
  <si>
    <t>Curso gerencial</t>
  </si>
  <si>
    <t>Adecuaciones puestos de trabajo (ver detalle) soporte de portátil</t>
  </si>
  <si>
    <t>Adecuaciones puestos de trabajo (ver detalle) Reposa pies</t>
  </si>
  <si>
    <t>Por evento</t>
  </si>
  <si>
    <t>Incremento 1+IPC</t>
  </si>
  <si>
    <t>Proceso</t>
  </si>
  <si>
    <t>Actividad</t>
  </si>
  <si>
    <t>Total Gasto SST</t>
  </si>
  <si>
    <t>Total Cursos entrenamientos</t>
  </si>
  <si>
    <t>Frecuencia</t>
  </si>
  <si>
    <t>Agosto</t>
  </si>
  <si>
    <t>Noviembre</t>
  </si>
  <si>
    <t>Febrero y Agosto</t>
  </si>
  <si>
    <t>Enero y Julio</t>
  </si>
  <si>
    <t>Febrero, Agosto</t>
  </si>
  <si>
    <t>Marzo</t>
  </si>
  <si>
    <t>Julio</t>
  </si>
  <si>
    <t>TOTAL 2026</t>
  </si>
  <si>
    <t>Abril, Agosto, Diciembre</t>
  </si>
  <si>
    <t>FOPAG</t>
  </si>
  <si>
    <t>Comidas de trabajo extra colaboradores</t>
  </si>
  <si>
    <t>RH</t>
  </si>
  <si>
    <t>ADMIN</t>
  </si>
  <si>
    <t>ADMIN FIN IT GH</t>
  </si>
  <si>
    <t>TOTAL PPTO 2026</t>
  </si>
  <si>
    <t>INTERNET</t>
  </si>
  <si>
    <t>Total EPPS</t>
  </si>
  <si>
    <t>Total Ingresos (pruebas y elementos)</t>
  </si>
  <si>
    <t>SENA</t>
  </si>
  <si>
    <t>Servicos De Terceiros</t>
  </si>
  <si>
    <t>BENEFICIOS Y ACTIVIDADES</t>
  </si>
  <si>
    <t>TOTAL GH</t>
  </si>
  <si>
    <t>PPTO AÑO 2026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</si>
</sst>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409]mmmm\-yy;@"/>
    <numFmt numFmtId="166" formatCode="_-&quot;R$&quot;\ * #,##0.00_-;\-&quot;R$&quot;\ * #,##0.00_-;_-&quot;R$&quot;\ * &quot;-&quot;??_-;_-@_-"/>
    <numFmt numFmtId="167" formatCode="[$USD]\ #,##0.00;\-[$USD]\ #,##0.00"/>
    <numFmt numFmtId="168" formatCode="0.0%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10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 Nova Cond Light"/>
      <family val="2"/>
    </font>
    <font>
      <sz val="10"/>
      <color theme="0"/>
      <name val="Arial Nova Cond Light"/>
      <family val="2"/>
    </font>
    <font>
      <sz val="10"/>
      <name val="Arial Nova Cond Light"/>
      <family val="2"/>
    </font>
    <font>
      <b/>
      <sz val="8"/>
      <color theme="0"/>
      <name val="Arial Narrow"/>
      <family val="2"/>
    </font>
    <font>
      <sz val="9"/>
      <color theme="4" tint="-0.499984740745262"/>
      <name val="Arial Narrow"/>
      <family val="2"/>
    </font>
    <font>
      <b/>
      <sz val="9"/>
      <color theme="4" tint="-0.499984740745262"/>
      <name val="Arial Narrow"/>
      <family val="2"/>
    </font>
    <font>
      <b/>
      <sz val="11"/>
      <color theme="1"/>
      <name val="Calibri"/>
      <family val="2"/>
      <scheme val="minor"/>
    </font>
    <font>
      <b/>
      <sz val="9"/>
      <name val="Aptos"/>
      <family val="2"/>
    </font>
    <font>
      <sz val="11"/>
      <color indexed="8"/>
      <name val="Calibri"/>
      <family val="2"/>
      <scheme val="minor"/>
    </font>
    <font>
      <b/>
      <sz val="11"/>
      <color theme="1"/>
      <name val="Aptos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b/>
      <sz val="10"/>
      <color theme="0"/>
      <name val="Arial Narrow"/>
      <family val="2"/>
    </font>
    <font>
      <b/>
      <sz val="9"/>
      <color theme="0"/>
      <name val="Arial Narrow"/>
      <family val="2"/>
    </font>
    <font>
      <sz val="9"/>
      <color theme="0"/>
      <name val="Arial Narrow"/>
      <family val="2"/>
    </font>
    <font>
      <b/>
      <sz val="9"/>
      <color rgb="FF002060"/>
      <name val="Arial Narrow"/>
      <family val="2"/>
    </font>
    <font>
      <sz val="9"/>
      <color rgb="FF002060"/>
      <name val="Arial Narrow"/>
      <family val="2"/>
    </font>
    <font>
      <sz val="9"/>
      <name val="Arial Narrow"/>
      <family val="2"/>
    </font>
    <font>
      <sz val="9"/>
      <color theme="1"/>
      <name val="Aptos Light"/>
      <family val="2"/>
    </font>
    <font>
      <b/>
      <sz val="9"/>
      <color theme="0"/>
      <name val="Aptos Light"/>
      <family val="2"/>
    </font>
    <font>
      <sz val="9"/>
      <name val="Aptos Light"/>
      <family val="2"/>
    </font>
    <font>
      <b/>
      <sz val="9"/>
      <name val="Aptos Light"/>
      <family val="2"/>
    </font>
    <font>
      <b/>
      <sz val="9"/>
      <color theme="1"/>
      <name val="Aptos Light"/>
      <family val="2"/>
    </font>
    <font>
      <sz val="10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 Narrow"/>
      <family val="2"/>
    </font>
    <font>
      <sz val="8"/>
      <name val="Calibri"/>
      <family val="2"/>
      <scheme val="minor"/>
    </font>
    <font>
      <sz val="9"/>
      <name val="Aptos Light"/>
      <family val="2"/>
    </font>
    <font>
      <sz val="11"/>
      <color theme="1"/>
      <name val="Aptos Light"/>
      <family val="2"/>
    </font>
    <font>
      <b/>
      <sz val="11"/>
      <color theme="1"/>
      <name val="Aptos Light"/>
      <family val="2"/>
    </font>
  </fonts>
  <fills count="3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43" fontId="24" fillId="0" borderId="0" applyFont="0" applyFill="0" applyBorder="0" applyAlignment="0" applyProtection="0"/>
    <xf numFmtId="0" fontId="30" fillId="0" borderId="0"/>
    <xf numFmtId="166" fontId="6" fillId="0" borderId="0" applyFont="0" applyFill="0" applyBorder="0" applyAlignment="0" applyProtection="0"/>
  </cellStyleXfs>
  <cellXfs count="216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4" applyFont="1" applyAlignment="1">
      <alignment horizontal="left" vertical="center"/>
    </xf>
    <xf numFmtId="0" fontId="2" fillId="3" borderId="0" xfId="0" applyFont="1" applyFill="1"/>
    <xf numFmtId="0" fontId="12" fillId="0" borderId="0" xfId="0" applyFont="1"/>
    <xf numFmtId="17" fontId="14" fillId="8" borderId="4" xfId="0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9" fontId="15" fillId="0" borderId="7" xfId="0" applyNumberFormat="1" applyFont="1" applyBorder="1" applyAlignment="1">
      <alignment horizontal="center" vertical="center"/>
    </xf>
    <xf numFmtId="0" fontId="16" fillId="0" borderId="0" xfId="0" applyFont="1"/>
    <xf numFmtId="0" fontId="13" fillId="0" borderId="0" xfId="0" applyFont="1"/>
    <xf numFmtId="0" fontId="7" fillId="4" borderId="0" xfId="0" applyFont="1" applyFill="1" applyAlignment="1">
      <alignment vertical="center"/>
    </xf>
    <xf numFmtId="0" fontId="5" fillId="14" borderId="0" xfId="0" applyFont="1" applyFill="1" applyAlignment="1">
      <alignment vertical="center"/>
    </xf>
    <xf numFmtId="0" fontId="3" fillId="5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17" fillId="16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 indent="1"/>
    </xf>
    <xf numFmtId="44" fontId="0" fillId="0" borderId="0" xfId="2" applyFont="1"/>
    <xf numFmtId="0" fontId="18" fillId="17" borderId="0" xfId="0" applyFont="1" applyFill="1" applyAlignment="1">
      <alignment horizontal="left" vertical="center" indent="1"/>
    </xf>
    <xf numFmtId="0" fontId="0" fillId="0" borderId="8" xfId="0" applyBorder="1" applyAlignment="1">
      <alignment horizontal="left" vertical="center"/>
    </xf>
    <xf numFmtId="164" fontId="0" fillId="0" borderId="0" xfId="2" applyNumberFormat="1" applyFont="1"/>
    <xf numFmtId="0" fontId="0" fillId="13" borderId="0" xfId="0" applyFill="1"/>
    <xf numFmtId="0" fontId="13" fillId="10" borderId="0" xfId="0" applyFont="1" applyFill="1"/>
    <xf numFmtId="0" fontId="23" fillId="5" borderId="0" xfId="7" applyFont="1" applyFill="1" applyAlignment="1">
      <alignment horizontal="center" vertical="center" wrapText="1"/>
    </xf>
    <xf numFmtId="0" fontId="0" fillId="17" borderId="0" xfId="0" applyFill="1"/>
    <xf numFmtId="43" fontId="0" fillId="17" borderId="0" xfId="1" applyFont="1" applyFill="1"/>
    <xf numFmtId="10" fontId="25" fillId="13" borderId="0" xfId="0" applyNumberFormat="1" applyFont="1" applyFill="1"/>
    <xf numFmtId="10" fontId="26" fillId="20" borderId="0" xfId="3" applyNumberFormat="1" applyFont="1" applyFill="1"/>
    <xf numFmtId="0" fontId="27" fillId="9" borderId="0" xfId="0" applyFont="1" applyFill="1"/>
    <xf numFmtId="0" fontId="3" fillId="17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44" fontId="0" fillId="0" borderId="0" xfId="0" applyNumberFormat="1"/>
    <xf numFmtId="0" fontId="0" fillId="0" borderId="0" xfId="0" applyAlignment="1">
      <alignment horizontal="center"/>
    </xf>
    <xf numFmtId="44" fontId="0" fillId="13" borderId="0" xfId="2" applyFont="1" applyFill="1"/>
    <xf numFmtId="0" fontId="28" fillId="0" borderId="0" xfId="0" applyFont="1"/>
    <xf numFmtId="44" fontId="29" fillId="0" borderId="0" xfId="2" applyFont="1"/>
    <xf numFmtId="0" fontId="0" fillId="13" borderId="0" xfId="0" applyFill="1" applyAlignment="1">
      <alignment horizontal="center" wrapText="1"/>
    </xf>
    <xf numFmtId="165" fontId="19" fillId="21" borderId="11" xfId="9" applyNumberFormat="1" applyFont="1" applyFill="1" applyBorder="1" applyAlignment="1">
      <alignment horizontal="center"/>
    </xf>
    <xf numFmtId="165" fontId="19" fillId="21" borderId="12" xfId="9" applyNumberFormat="1" applyFont="1" applyFill="1" applyBorder="1" applyAlignment="1">
      <alignment horizontal="center"/>
    </xf>
    <xf numFmtId="165" fontId="19" fillId="21" borderId="13" xfId="9" applyNumberFormat="1" applyFont="1" applyFill="1" applyBorder="1" applyAlignment="1">
      <alignment horizontal="center"/>
    </xf>
    <xf numFmtId="165" fontId="19" fillId="21" borderId="14" xfId="9" applyNumberFormat="1" applyFont="1" applyFill="1" applyBorder="1" applyAlignment="1">
      <alignment horizontal="center"/>
    </xf>
    <xf numFmtId="0" fontId="31" fillId="0" borderId="0" xfId="9" applyFont="1"/>
    <xf numFmtId="165" fontId="19" fillId="22" borderId="0" xfId="9" applyNumberFormat="1" applyFont="1" applyFill="1" applyAlignment="1">
      <alignment horizontal="center"/>
    </xf>
    <xf numFmtId="49" fontId="21" fillId="5" borderId="8" xfId="9" applyNumberFormat="1" applyFont="1" applyFill="1" applyBorder="1"/>
    <xf numFmtId="49" fontId="20" fillId="5" borderId="8" xfId="9" applyNumberFormat="1" applyFont="1" applyFill="1" applyBorder="1"/>
    <xf numFmtId="0" fontId="20" fillId="23" borderId="8" xfId="9" applyFont="1" applyFill="1" applyBorder="1"/>
    <xf numFmtId="0" fontId="20" fillId="10" borderId="0" xfId="9" applyFont="1" applyFill="1"/>
    <xf numFmtId="167" fontId="20" fillId="5" borderId="8" xfId="10" applyNumberFormat="1" applyFont="1" applyFill="1" applyBorder="1"/>
    <xf numFmtId="0" fontId="20" fillId="5" borderId="8" xfId="9" applyFont="1" applyFill="1" applyBorder="1"/>
    <xf numFmtId="49" fontId="33" fillId="24" borderId="8" xfId="9" applyNumberFormat="1" applyFont="1" applyFill="1" applyBorder="1"/>
    <xf numFmtId="0" fontId="33" fillId="25" borderId="8" xfId="9" applyFont="1" applyFill="1" applyBorder="1"/>
    <xf numFmtId="167" fontId="33" fillId="24" borderId="8" xfId="10" applyNumberFormat="1" applyFont="1" applyFill="1" applyBorder="1" applyAlignment="1">
      <alignment horizontal="center"/>
    </xf>
    <xf numFmtId="49" fontId="21" fillId="12" borderId="8" xfId="9" applyNumberFormat="1" applyFont="1" applyFill="1" applyBorder="1"/>
    <xf numFmtId="49" fontId="20" fillId="12" borderId="8" xfId="9" applyNumberFormat="1" applyFont="1" applyFill="1" applyBorder="1"/>
    <xf numFmtId="0" fontId="20" fillId="26" borderId="8" xfId="9" applyFont="1" applyFill="1" applyBorder="1"/>
    <xf numFmtId="167" fontId="20" fillId="12" borderId="8" xfId="10" applyNumberFormat="1" applyFont="1" applyFill="1" applyBorder="1"/>
    <xf numFmtId="49" fontId="34" fillId="24" borderId="8" xfId="9" applyNumberFormat="1" applyFont="1" applyFill="1" applyBorder="1"/>
    <xf numFmtId="0" fontId="34" fillId="25" borderId="8" xfId="9" applyFont="1" applyFill="1" applyBorder="1"/>
    <xf numFmtId="167" fontId="34" fillId="24" borderId="8" xfId="10" applyNumberFormat="1" applyFont="1" applyFill="1" applyBorder="1" applyAlignment="1">
      <alignment horizontal="center"/>
    </xf>
    <xf numFmtId="49" fontId="21" fillId="11" borderId="8" xfId="9" applyNumberFormat="1" applyFont="1" applyFill="1" applyBorder="1"/>
    <xf numFmtId="49" fontId="20" fillId="11" borderId="8" xfId="9" applyNumberFormat="1" applyFont="1" applyFill="1" applyBorder="1"/>
    <xf numFmtId="0" fontId="20" fillId="27" borderId="8" xfId="9" applyFont="1" applyFill="1" applyBorder="1"/>
    <xf numFmtId="167" fontId="20" fillId="11" borderId="8" xfId="10" applyNumberFormat="1" applyFont="1" applyFill="1" applyBorder="1"/>
    <xf numFmtId="167" fontId="33" fillId="24" borderId="8" xfId="9" applyNumberFormat="1" applyFont="1" applyFill="1" applyBorder="1" applyAlignment="1">
      <alignment horizontal="center"/>
    </xf>
    <xf numFmtId="49" fontId="33" fillId="9" borderId="15" xfId="9" applyNumberFormat="1" applyFont="1" applyFill="1" applyBorder="1"/>
    <xf numFmtId="49" fontId="35" fillId="9" borderId="15" xfId="9" applyNumberFormat="1" applyFont="1" applyFill="1" applyBorder="1"/>
    <xf numFmtId="0" fontId="34" fillId="9" borderId="15" xfId="9" applyFont="1" applyFill="1" applyBorder="1"/>
    <xf numFmtId="167" fontId="34" fillId="9" borderId="15" xfId="9" applyNumberFormat="1" applyFont="1" applyFill="1" applyBorder="1" applyAlignment="1">
      <alignment horizontal="center"/>
    </xf>
    <xf numFmtId="167" fontId="34" fillId="9" borderId="16" xfId="9" applyNumberFormat="1" applyFont="1" applyFill="1" applyBorder="1" applyAlignment="1">
      <alignment horizontal="center"/>
    </xf>
    <xf numFmtId="0" fontId="33" fillId="10" borderId="0" xfId="9" applyFont="1" applyFill="1"/>
    <xf numFmtId="49" fontId="35" fillId="10" borderId="8" xfId="9" applyNumberFormat="1" applyFont="1" applyFill="1" applyBorder="1"/>
    <xf numFmtId="0" fontId="36" fillId="10" borderId="8" xfId="9" applyFont="1" applyFill="1" applyBorder="1"/>
    <xf numFmtId="167" fontId="35" fillId="10" borderId="8" xfId="10" applyNumberFormat="1" applyFont="1" applyFill="1" applyBorder="1"/>
    <xf numFmtId="0" fontId="35" fillId="10" borderId="0" xfId="9" applyFont="1" applyFill="1"/>
    <xf numFmtId="166" fontId="33" fillId="4" borderId="8" xfId="10" applyFont="1" applyFill="1" applyBorder="1"/>
    <xf numFmtId="49" fontId="36" fillId="10" borderId="8" xfId="9" applyNumberFormat="1" applyFont="1" applyFill="1" applyBorder="1"/>
    <xf numFmtId="49" fontId="36" fillId="0" borderId="8" xfId="9" applyNumberFormat="1" applyFont="1" applyBorder="1"/>
    <xf numFmtId="167" fontId="36" fillId="10" borderId="8" xfId="10" applyNumberFormat="1" applyFont="1" applyFill="1" applyBorder="1"/>
    <xf numFmtId="166" fontId="36" fillId="10" borderId="0" xfId="9" applyNumberFormat="1" applyFont="1" applyFill="1"/>
    <xf numFmtId="0" fontId="36" fillId="10" borderId="0" xfId="9" applyFont="1" applyFill="1"/>
    <xf numFmtId="2" fontId="33" fillId="24" borderId="8" xfId="9" applyNumberFormat="1" applyFont="1" applyFill="1" applyBorder="1"/>
    <xf numFmtId="167" fontId="33" fillId="9" borderId="8" xfId="9" applyNumberFormat="1" applyFont="1" applyFill="1" applyBorder="1"/>
    <xf numFmtId="167" fontId="34" fillId="9" borderId="8" xfId="9" applyNumberFormat="1" applyFont="1" applyFill="1" applyBorder="1"/>
    <xf numFmtId="167" fontId="36" fillId="9" borderId="8" xfId="9" applyNumberFormat="1" applyFont="1" applyFill="1" applyBorder="1"/>
    <xf numFmtId="167" fontId="34" fillId="9" borderId="8" xfId="9" applyNumberFormat="1" applyFont="1" applyFill="1" applyBorder="1" applyAlignment="1">
      <alignment horizontal="center"/>
    </xf>
    <xf numFmtId="167" fontId="37" fillId="0" borderId="0" xfId="9" applyNumberFormat="1" applyFont="1"/>
    <xf numFmtId="0" fontId="37" fillId="0" borderId="0" xfId="9" applyFont="1"/>
    <xf numFmtId="0" fontId="36" fillId="0" borderId="0" xfId="9" applyFont="1"/>
    <xf numFmtId="166" fontId="37" fillId="0" borderId="0" xfId="9" applyNumberFormat="1" applyFont="1"/>
    <xf numFmtId="0" fontId="13" fillId="13" borderId="0" xfId="0" applyFont="1" applyFill="1"/>
    <xf numFmtId="49" fontId="21" fillId="13" borderId="8" xfId="9" applyNumberFormat="1" applyFont="1" applyFill="1" applyBorder="1"/>
    <xf numFmtId="49" fontId="20" fillId="13" borderId="8" xfId="9" applyNumberFormat="1" applyFont="1" applyFill="1" applyBorder="1"/>
    <xf numFmtId="10" fontId="15" fillId="0" borderId="4" xfId="0" applyNumberFormat="1" applyFont="1" applyBorder="1" applyAlignment="1">
      <alignment horizontal="center" vertical="center"/>
    </xf>
    <xf numFmtId="44" fontId="15" fillId="0" borderId="6" xfId="2" applyFont="1" applyBorder="1" applyAlignment="1">
      <alignment horizontal="center" vertical="center"/>
    </xf>
    <xf numFmtId="0" fontId="2" fillId="9" borderId="0" xfId="0" applyFont="1" applyFill="1"/>
    <xf numFmtId="0" fontId="22" fillId="17" borderId="0" xfId="0" applyFont="1" applyFill="1" applyAlignment="1">
      <alignment horizontal="left"/>
    </xf>
    <xf numFmtId="14" fontId="22" fillId="17" borderId="0" xfId="0" applyNumberFormat="1" applyFont="1" applyFill="1" applyAlignment="1">
      <alignment horizontal="left"/>
    </xf>
    <xf numFmtId="44" fontId="22" fillId="17" borderId="0" xfId="2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4" fontId="0" fillId="0" borderId="0" xfId="2" applyFont="1" applyAlignment="1">
      <alignment horizontal="left"/>
    </xf>
    <xf numFmtId="10" fontId="25" fillId="13" borderId="0" xfId="3" applyNumberFormat="1" applyFont="1" applyFill="1"/>
    <xf numFmtId="0" fontId="43" fillId="0" borderId="0" xfId="0" applyFont="1"/>
    <xf numFmtId="0" fontId="44" fillId="0" borderId="0" xfId="0" applyFont="1"/>
    <xf numFmtId="0" fontId="45" fillId="0" borderId="0" xfId="0" applyFont="1"/>
    <xf numFmtId="164" fontId="22" fillId="17" borderId="0" xfId="2" applyNumberFormat="1" applyFont="1" applyFill="1" applyAlignment="1"/>
    <xf numFmtId="0" fontId="43" fillId="11" borderId="0" xfId="0" applyFont="1" applyFill="1"/>
    <xf numFmtId="164" fontId="0" fillId="11" borderId="0" xfId="2" applyNumberFormat="1" applyFont="1" applyFill="1"/>
    <xf numFmtId="0" fontId="43" fillId="17" borderId="0" xfId="0" applyFont="1" applyFill="1"/>
    <xf numFmtId="164" fontId="0" fillId="17" borderId="0" xfId="2" applyNumberFormat="1" applyFont="1" applyFill="1"/>
    <xf numFmtId="164" fontId="27" fillId="9" borderId="0" xfId="2" applyNumberFormat="1" applyFont="1" applyFill="1"/>
    <xf numFmtId="0" fontId="22" fillId="17" borderId="0" xfId="0" applyFont="1" applyFill="1" applyAlignment="1">
      <alignment horizontal="center"/>
    </xf>
    <xf numFmtId="0" fontId="27" fillId="9" borderId="0" xfId="0" applyFont="1" applyFill="1" applyAlignment="1">
      <alignment horizontal="center"/>
    </xf>
    <xf numFmtId="43" fontId="15" fillId="0" borderId="7" xfId="1" applyFont="1" applyBorder="1" applyAlignment="1">
      <alignment horizontal="center" vertical="center"/>
    </xf>
    <xf numFmtId="0" fontId="38" fillId="0" borderId="0" xfId="0" applyFont="1" applyAlignment="1">
      <alignment vertical="top"/>
    </xf>
    <xf numFmtId="0" fontId="39" fillId="18" borderId="8" xfId="4" applyFont="1" applyFill="1" applyBorder="1" applyAlignment="1">
      <alignment horizontal="center" vertical="top" wrapText="1"/>
    </xf>
    <xf numFmtId="1" fontId="39" fillId="18" borderId="8" xfId="1" applyNumberFormat="1" applyFont="1" applyFill="1" applyBorder="1" applyAlignment="1">
      <alignment horizontal="center" vertical="top" wrapText="1"/>
    </xf>
    <xf numFmtId="164" fontId="39" fillId="18" borderId="8" xfId="2" applyNumberFormat="1" applyFont="1" applyFill="1" applyBorder="1" applyAlignment="1">
      <alignment horizontal="center" vertical="top" wrapText="1"/>
    </xf>
    <xf numFmtId="0" fontId="38" fillId="19" borderId="8" xfId="0" applyFont="1" applyFill="1" applyBorder="1" applyAlignment="1">
      <alignment vertical="top"/>
    </xf>
    <xf numFmtId="0" fontId="40" fillId="19" borderId="8" xfId="4" applyFont="1" applyFill="1" applyBorder="1" applyAlignment="1">
      <alignment horizontal="left" vertical="top" wrapText="1"/>
    </xf>
    <xf numFmtId="1" fontId="38" fillId="0" borderId="8" xfId="1" applyNumberFormat="1" applyFont="1" applyBorder="1" applyAlignment="1">
      <alignment horizontal="center" vertical="top"/>
    </xf>
    <xf numFmtId="164" fontId="38" fillId="0" borderId="8" xfId="2" applyNumberFormat="1" applyFont="1" applyBorder="1" applyAlignment="1">
      <alignment vertical="top"/>
    </xf>
    <xf numFmtId="164" fontId="40" fillId="10" borderId="8" xfId="2" applyNumberFormat="1" applyFont="1" applyFill="1" applyBorder="1" applyAlignment="1">
      <alignment horizontal="right" vertical="top" wrapText="1"/>
    </xf>
    <xf numFmtId="0" fontId="40" fillId="10" borderId="8" xfId="4" applyFont="1" applyFill="1" applyBorder="1" applyAlignment="1">
      <alignment horizontal="center" vertical="top" wrapText="1"/>
    </xf>
    <xf numFmtId="164" fontId="38" fillId="28" borderId="8" xfId="2" applyNumberFormat="1" applyFont="1" applyFill="1" applyBorder="1" applyAlignment="1">
      <alignment vertical="top"/>
    </xf>
    <xf numFmtId="0" fontId="40" fillId="0" borderId="8" xfId="4" applyFont="1" applyBorder="1" applyAlignment="1">
      <alignment horizontal="center" vertical="top" wrapText="1"/>
    </xf>
    <xf numFmtId="164" fontId="38" fillId="19" borderId="8" xfId="2" applyNumberFormat="1" applyFont="1" applyFill="1" applyBorder="1" applyAlignment="1">
      <alignment vertical="top"/>
    </xf>
    <xf numFmtId="0" fontId="40" fillId="19" borderId="8" xfId="0" applyFont="1" applyFill="1" applyBorder="1" applyAlignment="1">
      <alignment horizontal="left" vertical="top"/>
    </xf>
    <xf numFmtId="1" fontId="40" fillId="10" borderId="8" xfId="1" applyNumberFormat="1" applyFont="1" applyFill="1" applyBorder="1" applyAlignment="1">
      <alignment horizontal="center" vertical="top" wrapText="1"/>
    </xf>
    <xf numFmtId="164" fontId="40" fillId="0" borderId="8" xfId="2" applyNumberFormat="1" applyFont="1" applyBorder="1" applyAlignment="1">
      <alignment horizontal="left" vertical="top" wrapText="1"/>
    </xf>
    <xf numFmtId="0" fontId="40" fillId="19" borderId="0" xfId="0" applyFont="1" applyFill="1" applyAlignment="1">
      <alignment horizontal="left" vertical="top"/>
    </xf>
    <xf numFmtId="0" fontId="38" fillId="19" borderId="0" xfId="0" applyFont="1" applyFill="1" applyAlignment="1">
      <alignment vertical="top"/>
    </xf>
    <xf numFmtId="0" fontId="47" fillId="19" borderId="8" xfId="0" applyFont="1" applyFill="1" applyBorder="1" applyAlignment="1">
      <alignment horizontal="left" vertical="top"/>
    </xf>
    <xf numFmtId="1" fontId="47" fillId="10" borderId="8" xfId="1" applyNumberFormat="1" applyFont="1" applyFill="1" applyBorder="1" applyAlignment="1">
      <alignment horizontal="center" vertical="top" wrapText="1"/>
    </xf>
    <xf numFmtId="1" fontId="38" fillId="0" borderId="0" xfId="1" applyNumberFormat="1" applyFont="1" applyAlignment="1">
      <alignment horizontal="center" vertical="top"/>
    </xf>
    <xf numFmtId="164" fontId="38" fillId="0" borderId="0" xfId="2" applyNumberFormat="1" applyFont="1" applyAlignment="1">
      <alignment vertical="top"/>
    </xf>
    <xf numFmtId="164" fontId="38" fillId="0" borderId="0" xfId="2" applyNumberFormat="1" applyFont="1" applyBorder="1" applyAlignment="1">
      <alignment vertical="top"/>
    </xf>
    <xf numFmtId="168" fontId="38" fillId="0" borderId="0" xfId="3" applyNumberFormat="1" applyFont="1" applyBorder="1" applyAlignment="1">
      <alignment vertical="top"/>
    </xf>
    <xf numFmtId="168" fontId="38" fillId="0" borderId="8" xfId="3" applyNumberFormat="1" applyFont="1" applyBorder="1" applyAlignment="1">
      <alignment vertical="top"/>
    </xf>
    <xf numFmtId="0" fontId="38" fillId="0" borderId="0" xfId="0" applyFont="1" applyAlignment="1">
      <alignment horizontal="center" vertical="top"/>
    </xf>
    <xf numFmtId="164" fontId="39" fillId="29" borderId="8" xfId="2" applyNumberFormat="1" applyFont="1" applyFill="1" applyBorder="1" applyAlignment="1">
      <alignment horizontal="center" vertical="top"/>
    </xf>
    <xf numFmtId="168" fontId="39" fillId="29" borderId="8" xfId="3" applyNumberFormat="1" applyFont="1" applyFill="1" applyBorder="1" applyAlignment="1">
      <alignment horizontal="center" vertical="top"/>
    </xf>
    <xf numFmtId="0" fontId="38" fillId="11" borderId="0" xfId="0" applyFont="1" applyFill="1" applyAlignment="1">
      <alignment vertical="top"/>
    </xf>
    <xf numFmtId="0" fontId="41" fillId="11" borderId="8" xfId="0" applyFont="1" applyFill="1" applyBorder="1" applyAlignment="1">
      <alignment horizontal="left" vertical="top"/>
    </xf>
    <xf numFmtId="0" fontId="42" fillId="11" borderId="8" xfId="0" applyFont="1" applyFill="1" applyBorder="1" applyAlignment="1">
      <alignment vertical="top"/>
    </xf>
    <xf numFmtId="1" fontId="41" fillId="11" borderId="8" xfId="1" applyNumberFormat="1" applyFont="1" applyFill="1" applyBorder="1" applyAlignment="1">
      <alignment horizontal="center" vertical="top" wrapText="1"/>
    </xf>
    <xf numFmtId="164" fontId="42" fillId="11" borderId="8" xfId="2" applyNumberFormat="1" applyFont="1" applyFill="1" applyBorder="1" applyAlignment="1">
      <alignment vertical="top"/>
    </xf>
    <xf numFmtId="0" fontId="40" fillId="11" borderId="8" xfId="4" applyFont="1" applyFill="1" applyBorder="1" applyAlignment="1">
      <alignment horizontal="center" vertical="top" wrapText="1"/>
    </xf>
    <xf numFmtId="168" fontId="42" fillId="11" borderId="8" xfId="3" applyNumberFormat="1" applyFont="1" applyFill="1" applyBorder="1" applyAlignment="1">
      <alignment vertical="top"/>
    </xf>
    <xf numFmtId="0" fontId="38" fillId="10" borderId="0" xfId="0" applyFont="1" applyFill="1" applyAlignment="1">
      <alignment horizontal="center" vertical="top"/>
    </xf>
    <xf numFmtId="0" fontId="38" fillId="10" borderId="0" xfId="0" applyFont="1" applyFill="1" applyAlignment="1">
      <alignment vertical="top"/>
    </xf>
    <xf numFmtId="0" fontId="38" fillId="28" borderId="0" xfId="0" applyFont="1" applyFill="1" applyAlignment="1">
      <alignment vertical="top"/>
    </xf>
    <xf numFmtId="0" fontId="41" fillId="28" borderId="8" xfId="0" applyFont="1" applyFill="1" applyBorder="1" applyAlignment="1">
      <alignment horizontal="left" vertical="top"/>
    </xf>
    <xf numFmtId="0" fontId="42" fillId="28" borderId="8" xfId="0" applyFont="1" applyFill="1" applyBorder="1" applyAlignment="1">
      <alignment vertical="top"/>
    </xf>
    <xf numFmtId="1" fontId="42" fillId="28" borderId="8" xfId="1" applyNumberFormat="1" applyFont="1" applyFill="1" applyBorder="1" applyAlignment="1">
      <alignment horizontal="center" vertical="top"/>
    </xf>
    <xf numFmtId="164" fontId="42" fillId="28" borderId="8" xfId="2" applyNumberFormat="1" applyFont="1" applyFill="1" applyBorder="1" applyAlignment="1">
      <alignment vertical="top"/>
    </xf>
    <xf numFmtId="0" fontId="40" fillId="28" borderId="8" xfId="4" applyFont="1" applyFill="1" applyBorder="1" applyAlignment="1">
      <alignment horizontal="center" vertical="top" wrapText="1"/>
    </xf>
    <xf numFmtId="168" fontId="42" fillId="28" borderId="8" xfId="3" applyNumberFormat="1" applyFont="1" applyFill="1" applyBorder="1" applyAlignment="1">
      <alignment vertical="top"/>
    </xf>
    <xf numFmtId="1" fontId="41" fillId="28" borderId="8" xfId="1" applyNumberFormat="1" applyFont="1" applyFill="1" applyBorder="1" applyAlignment="1">
      <alignment horizontal="center" vertical="top" wrapText="1"/>
    </xf>
    <xf numFmtId="0" fontId="38" fillId="2" borderId="0" xfId="0" applyFont="1" applyFill="1" applyAlignment="1">
      <alignment vertical="top"/>
    </xf>
    <xf numFmtId="0" fontId="41" fillId="2" borderId="8" xfId="0" applyFont="1" applyFill="1" applyBorder="1" applyAlignment="1">
      <alignment horizontal="left" vertical="top"/>
    </xf>
    <xf numFmtId="164" fontId="42" fillId="2" borderId="8" xfId="2" applyNumberFormat="1" applyFont="1" applyFill="1" applyBorder="1" applyAlignment="1">
      <alignment vertical="top"/>
    </xf>
    <xf numFmtId="0" fontId="40" fillId="2" borderId="8" xfId="4" applyFont="1" applyFill="1" applyBorder="1" applyAlignment="1">
      <alignment horizontal="center" vertical="top" wrapText="1"/>
    </xf>
    <xf numFmtId="168" fontId="42" fillId="2" borderId="8" xfId="3" applyNumberFormat="1" applyFont="1" applyFill="1" applyBorder="1" applyAlignment="1">
      <alignment vertical="top"/>
    </xf>
    <xf numFmtId="0" fontId="42" fillId="2" borderId="8" xfId="0" applyFont="1" applyFill="1" applyBorder="1" applyAlignment="1">
      <alignment vertical="top"/>
    </xf>
    <xf numFmtId="1" fontId="42" fillId="2" borderId="8" xfId="1" applyNumberFormat="1" applyFont="1" applyFill="1" applyBorder="1" applyAlignment="1">
      <alignment horizontal="center" vertical="top"/>
    </xf>
    <xf numFmtId="0" fontId="41" fillId="30" borderId="8" xfId="0" applyFont="1" applyFill="1" applyBorder="1" applyAlignment="1">
      <alignment horizontal="left" vertical="top"/>
    </xf>
    <xf numFmtId="0" fontId="42" fillId="30" borderId="8" xfId="0" applyFont="1" applyFill="1" applyBorder="1" applyAlignment="1">
      <alignment vertical="top"/>
    </xf>
    <xf numFmtId="1" fontId="41" fillId="30" borderId="8" xfId="1" applyNumberFormat="1" applyFont="1" applyFill="1" applyBorder="1" applyAlignment="1">
      <alignment horizontal="center" vertical="top" wrapText="1"/>
    </xf>
    <xf numFmtId="164" fontId="42" fillId="30" borderId="8" xfId="2" applyNumberFormat="1" applyFont="1" applyFill="1" applyBorder="1" applyAlignment="1">
      <alignment vertical="top"/>
    </xf>
    <xf numFmtId="0" fontId="40" fillId="30" borderId="8" xfId="4" applyFont="1" applyFill="1" applyBorder="1" applyAlignment="1">
      <alignment horizontal="center" vertical="top" wrapText="1"/>
    </xf>
    <xf numFmtId="168" fontId="42" fillId="30" borderId="8" xfId="3" applyNumberFormat="1" applyFont="1" applyFill="1" applyBorder="1" applyAlignment="1">
      <alignment vertical="top"/>
    </xf>
    <xf numFmtId="0" fontId="41" fillId="6" borderId="8" xfId="0" applyFont="1" applyFill="1" applyBorder="1" applyAlignment="1">
      <alignment horizontal="left" vertical="top"/>
    </xf>
    <xf numFmtId="0" fontId="42" fillId="6" borderId="8" xfId="0" applyFont="1" applyFill="1" applyBorder="1" applyAlignment="1">
      <alignment vertical="top"/>
    </xf>
    <xf numFmtId="1" fontId="41" fillId="6" borderId="8" xfId="1" applyNumberFormat="1" applyFont="1" applyFill="1" applyBorder="1" applyAlignment="1">
      <alignment horizontal="center" vertical="top" wrapText="1"/>
    </xf>
    <xf numFmtId="164" fontId="42" fillId="6" borderId="8" xfId="2" applyNumberFormat="1" applyFont="1" applyFill="1" applyBorder="1" applyAlignment="1">
      <alignment vertical="top"/>
    </xf>
    <xf numFmtId="0" fontId="40" fillId="6" borderId="8" xfId="4" applyFont="1" applyFill="1" applyBorder="1" applyAlignment="1">
      <alignment horizontal="center" vertical="top" wrapText="1"/>
    </xf>
    <xf numFmtId="168" fontId="42" fillId="6" borderId="8" xfId="3" applyNumberFormat="1" applyFont="1" applyFill="1" applyBorder="1" applyAlignment="1">
      <alignment vertical="top"/>
    </xf>
    <xf numFmtId="164" fontId="38" fillId="0" borderId="0" xfId="2" applyNumberFormat="1" applyFont="1" applyFill="1" applyBorder="1" applyAlignment="1">
      <alignment vertical="top"/>
    </xf>
    <xf numFmtId="0" fontId="41" fillId="31" borderId="8" xfId="0" applyFont="1" applyFill="1" applyBorder="1" applyAlignment="1">
      <alignment horizontal="left" vertical="top"/>
    </xf>
    <xf numFmtId="0" fontId="42" fillId="31" borderId="8" xfId="0" applyFont="1" applyFill="1" applyBorder="1" applyAlignment="1">
      <alignment vertical="top"/>
    </xf>
    <xf numFmtId="1" fontId="41" fillId="31" borderId="8" xfId="1" applyNumberFormat="1" applyFont="1" applyFill="1" applyBorder="1" applyAlignment="1">
      <alignment horizontal="center" vertical="top" wrapText="1"/>
    </xf>
    <xf numFmtId="164" fontId="42" fillId="31" borderId="8" xfId="2" applyNumberFormat="1" applyFont="1" applyFill="1" applyBorder="1" applyAlignment="1">
      <alignment vertical="top"/>
    </xf>
    <xf numFmtId="0" fontId="40" fillId="31" borderId="8" xfId="4" applyFont="1" applyFill="1" applyBorder="1" applyAlignment="1">
      <alignment horizontal="center" vertical="top" wrapText="1"/>
    </xf>
    <xf numFmtId="168" fontId="42" fillId="31" borderId="8" xfId="3" applyNumberFormat="1" applyFont="1" applyFill="1" applyBorder="1" applyAlignment="1">
      <alignment vertical="top"/>
    </xf>
    <xf numFmtId="0" fontId="41" fillId="32" borderId="8" xfId="0" applyFont="1" applyFill="1" applyBorder="1" applyAlignment="1">
      <alignment horizontal="left" vertical="top"/>
    </xf>
    <xf numFmtId="0" fontId="42" fillId="32" borderId="8" xfId="0" applyFont="1" applyFill="1" applyBorder="1" applyAlignment="1">
      <alignment vertical="top"/>
    </xf>
    <xf numFmtId="1" fontId="41" fillId="32" borderId="8" xfId="1" applyNumberFormat="1" applyFont="1" applyFill="1" applyBorder="1" applyAlignment="1">
      <alignment horizontal="center" vertical="top" wrapText="1"/>
    </xf>
    <xf numFmtId="164" fontId="42" fillId="32" borderId="8" xfId="2" applyNumberFormat="1" applyFont="1" applyFill="1" applyBorder="1" applyAlignment="1">
      <alignment vertical="top"/>
    </xf>
    <xf numFmtId="0" fontId="40" fillId="32" borderId="8" xfId="4" applyFont="1" applyFill="1" applyBorder="1" applyAlignment="1">
      <alignment horizontal="center" vertical="top" wrapText="1"/>
    </xf>
    <xf numFmtId="168" fontId="42" fillId="32" borderId="8" xfId="3" applyNumberFormat="1" applyFont="1" applyFill="1" applyBorder="1" applyAlignment="1">
      <alignment vertical="top"/>
    </xf>
    <xf numFmtId="0" fontId="48" fillId="10" borderId="0" xfId="0" applyFont="1" applyFill="1" applyAlignment="1">
      <alignment vertical="top"/>
    </xf>
    <xf numFmtId="0" fontId="48" fillId="0" borderId="0" xfId="0" applyFont="1" applyAlignment="1">
      <alignment vertical="top"/>
    </xf>
    <xf numFmtId="1" fontId="48" fillId="0" borderId="0" xfId="1" applyNumberFormat="1" applyFont="1" applyAlignment="1">
      <alignment horizontal="center" vertical="top"/>
    </xf>
    <xf numFmtId="164" fontId="48" fillId="0" borderId="0" xfId="2" applyNumberFormat="1" applyFont="1" applyAlignment="1">
      <alignment vertical="top"/>
    </xf>
    <xf numFmtId="164" fontId="48" fillId="0" borderId="0" xfId="2" applyNumberFormat="1" applyFont="1" applyBorder="1" applyAlignment="1">
      <alignment vertical="top"/>
    </xf>
    <xf numFmtId="164" fontId="49" fillId="33" borderId="0" xfId="2" applyNumberFormat="1" applyFont="1" applyFill="1" applyBorder="1" applyAlignment="1">
      <alignment vertical="top"/>
    </xf>
    <xf numFmtId="164" fontId="38" fillId="0" borderId="0" xfId="2" applyNumberFormat="1" applyFont="1" applyFill="1" applyAlignment="1">
      <alignment vertical="top"/>
    </xf>
    <xf numFmtId="167" fontId="34" fillId="22" borderId="10" xfId="9" applyNumberFormat="1" applyFont="1" applyFill="1" applyBorder="1" applyAlignment="1">
      <alignment horizontal="center" vertical="center"/>
    </xf>
    <xf numFmtId="0" fontId="34" fillId="22" borderId="20" xfId="9" applyFont="1" applyFill="1" applyBorder="1" applyAlignment="1">
      <alignment horizontal="center" vertical="center"/>
    </xf>
    <xf numFmtId="165" fontId="32" fillId="22" borderId="1" xfId="9" applyNumberFormat="1" applyFont="1" applyFill="1" applyBorder="1" applyAlignment="1">
      <alignment horizontal="center"/>
    </xf>
    <xf numFmtId="49" fontId="32" fillId="4" borderId="17" xfId="9" applyNumberFormat="1" applyFont="1" applyFill="1" applyBorder="1" applyAlignment="1">
      <alignment horizontal="center"/>
    </xf>
    <xf numFmtId="49" fontId="32" fillId="4" borderId="3" xfId="9" applyNumberFormat="1" applyFont="1" applyFill="1" applyBorder="1" applyAlignment="1">
      <alignment horizontal="center"/>
    </xf>
    <xf numFmtId="49" fontId="32" fillId="4" borderId="9" xfId="9" applyNumberFormat="1" applyFont="1" applyFill="1" applyBorder="1" applyAlignment="1">
      <alignment horizontal="center"/>
    </xf>
    <xf numFmtId="0" fontId="33" fillId="22" borderId="10" xfId="9" applyFont="1" applyFill="1" applyBorder="1" applyAlignment="1">
      <alignment horizontal="center" vertical="center"/>
    </xf>
    <xf numFmtId="0" fontId="33" fillId="22" borderId="20" xfId="9" applyFont="1" applyFill="1" applyBorder="1" applyAlignment="1">
      <alignment horizontal="center" vertical="center"/>
    </xf>
    <xf numFmtId="0" fontId="34" fillId="22" borderId="18" xfId="9" applyFont="1" applyFill="1" applyBorder="1" applyAlignment="1">
      <alignment horizontal="center" vertical="center"/>
    </xf>
    <xf numFmtId="0" fontId="34" fillId="22" borderId="2" xfId="9" applyFont="1" applyFill="1" applyBorder="1" applyAlignment="1">
      <alignment horizontal="center" vertical="center"/>
    </xf>
    <xf numFmtId="0" fontId="34" fillId="22" borderId="19" xfId="9" applyFont="1" applyFill="1" applyBorder="1" applyAlignment="1">
      <alignment horizontal="center" vertical="center"/>
    </xf>
    <xf numFmtId="0" fontId="34" fillId="22" borderId="21" xfId="9" applyFont="1" applyFill="1" applyBorder="1" applyAlignment="1">
      <alignment horizontal="center" vertical="center"/>
    </xf>
    <xf numFmtId="0" fontId="34" fillId="22" borderId="1" xfId="9" applyFont="1" applyFill="1" applyBorder="1" applyAlignment="1">
      <alignment horizontal="center" vertical="center"/>
    </xf>
    <xf numFmtId="0" fontId="34" fillId="22" borderId="22" xfId="9" applyFont="1" applyFill="1" applyBorder="1" applyAlignment="1">
      <alignment horizontal="center" vertical="center"/>
    </xf>
  </cellXfs>
  <cellStyles count="11">
    <cellStyle name="Millares" xfId="1" builtinId="3"/>
    <cellStyle name="Moneda" xfId="2" builtinId="4"/>
    <cellStyle name="Moneda 2" xfId="5" xr:uid="{0C0574D2-9BCF-458D-8C88-617306447BA9}"/>
    <cellStyle name="Moneda 3" xfId="6" xr:uid="{5660C082-0285-402A-85BB-A9FD3E8C1F41}"/>
    <cellStyle name="Moneda 4" xfId="10" xr:uid="{56717E46-54CC-43B3-A62F-B4A4681DE3B4}"/>
    <cellStyle name="Normal" xfId="0" builtinId="0"/>
    <cellStyle name="Normal 2" xfId="9" xr:uid="{4FDD7DD2-79F9-4E56-9F1E-85CF3DE76A4D}"/>
    <cellStyle name="Normal 2 182" xfId="7" xr:uid="{686CD537-7B84-41D3-9497-6721B5070883}"/>
    <cellStyle name="Normal 2 2" xfId="4" xr:uid="{CD2C4A95-8C1F-42D8-A37C-1C65C65DA4DA}"/>
    <cellStyle name="Porcentaje" xfId="3" builtinId="5"/>
    <cellStyle name="Vírgula 4" xfId="8" xr:uid="{E88C9052-C208-47EE-9CBD-66E54C9D6B71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C5D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64</xdr:row>
      <xdr:rowOff>0</xdr:rowOff>
    </xdr:from>
    <xdr:to>
      <xdr:col>3</xdr:col>
      <xdr:colOff>1843362</xdr:colOff>
      <xdr:row>86</xdr:row>
      <xdr:rowOff>117687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D26EFA-B3A7-ED4A-9DA8-FC76302D8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11699875"/>
          <a:ext cx="5359675" cy="413406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abio Munhoz" id="{E615FAB8-6FC3-4E46-B919-348C121CD521}" userId="S::fabio.munhoz@craftmulti.com::787bd6c0-73e1-4457-906e-4b71273a9b9b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3" dT="2022-12-21T14:18:46.92" personId="{E615FAB8-6FC3-4E46-B919-348C121CD521}" id="{DB35D134-17A6-4D02-B8FE-6BB63996B7CD}">
    <text>Considerando 111 laptops a 6k cada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A6FF-147A-4725-8D72-E43B65C25A8F}">
  <dimension ref="A1:F107"/>
  <sheetViews>
    <sheetView topLeftCell="A67" zoomScale="80" zoomScaleNormal="80" workbookViewId="0">
      <selection activeCell="C6" sqref="C6"/>
    </sheetView>
  </sheetViews>
  <sheetFormatPr baseColWidth="10" defaultRowHeight="14.5" outlineLevelRow="1" x14ac:dyDescent="0.35"/>
  <cols>
    <col min="1" max="1" width="22.81640625" customWidth="1"/>
    <col min="2" max="2" width="31.453125" customWidth="1"/>
    <col min="3" max="3" width="44.54296875" customWidth="1"/>
    <col min="4" max="4" width="71.81640625" customWidth="1"/>
  </cols>
  <sheetData>
    <row r="1" spans="1:5" x14ac:dyDescent="0.35">
      <c r="A1" s="13" t="s">
        <v>0</v>
      </c>
      <c r="B1" s="13" t="s">
        <v>1</v>
      </c>
      <c r="C1" s="13" t="s">
        <v>2</v>
      </c>
      <c r="D1" s="14" t="s">
        <v>233</v>
      </c>
    </row>
    <row r="2" spans="1:5" x14ac:dyDescent="0.35">
      <c r="A2" s="15" t="s">
        <v>3</v>
      </c>
      <c r="B2" s="15"/>
      <c r="C2" s="15"/>
    </row>
    <row r="3" spans="1:5" outlineLevel="1" x14ac:dyDescent="0.35">
      <c r="A3" s="1" t="s">
        <v>4</v>
      </c>
      <c r="B3" s="1"/>
      <c r="C3" s="2"/>
    </row>
    <row r="4" spans="1:5" outlineLevel="1" x14ac:dyDescent="0.35">
      <c r="A4" s="1" t="s">
        <v>5</v>
      </c>
      <c r="B4" s="1"/>
      <c r="C4" s="1" t="s">
        <v>234</v>
      </c>
    </row>
    <row r="5" spans="1:5" outlineLevel="1" x14ac:dyDescent="0.35">
      <c r="A5" s="1" t="s">
        <v>6</v>
      </c>
      <c r="B5" s="1"/>
      <c r="C5" s="1"/>
    </row>
    <row r="6" spans="1:5" outlineLevel="1" x14ac:dyDescent="0.35">
      <c r="A6" s="1" t="s">
        <v>7</v>
      </c>
      <c r="B6" s="1"/>
      <c r="C6" s="1"/>
    </row>
    <row r="7" spans="1:5" outlineLevel="1" x14ac:dyDescent="0.35">
      <c r="A7" s="1" t="s">
        <v>8</v>
      </c>
      <c r="B7" s="1"/>
      <c r="C7" s="2" t="s">
        <v>9</v>
      </c>
    </row>
    <row r="8" spans="1:5" outlineLevel="1" x14ac:dyDescent="0.35">
      <c r="A8" s="1" t="s">
        <v>10</v>
      </c>
      <c r="B8" s="1"/>
      <c r="C8" s="1"/>
    </row>
    <row r="9" spans="1:5" outlineLevel="1" x14ac:dyDescent="0.35">
      <c r="A9" s="1" t="s">
        <v>11</v>
      </c>
      <c r="B9" s="1"/>
      <c r="C9" s="1"/>
    </row>
    <row r="10" spans="1:5" x14ac:dyDescent="0.35">
      <c r="A10" s="16" t="s">
        <v>12</v>
      </c>
      <c r="B10" s="16" t="s">
        <v>13</v>
      </c>
      <c r="C10" s="16"/>
    </row>
    <row r="11" spans="1:5" x14ac:dyDescent="0.35">
      <c r="A11" s="1" t="s">
        <v>14</v>
      </c>
      <c r="B11" s="1" t="s">
        <v>15</v>
      </c>
      <c r="C11" s="1" t="s">
        <v>235</v>
      </c>
      <c r="D11" s="1" t="s">
        <v>236</v>
      </c>
    </row>
    <row r="12" spans="1:5" x14ac:dyDescent="0.35">
      <c r="A12" s="1" t="s">
        <v>16</v>
      </c>
      <c r="B12" s="1" t="s">
        <v>16</v>
      </c>
      <c r="C12" s="1" t="s">
        <v>237</v>
      </c>
      <c r="D12" s="1" t="s">
        <v>238</v>
      </c>
    </row>
    <row r="13" spans="1:5" x14ac:dyDescent="0.35">
      <c r="A13" s="1" t="s">
        <v>17</v>
      </c>
      <c r="B13" s="1" t="s">
        <v>18</v>
      </c>
      <c r="C13" s="1" t="s">
        <v>239</v>
      </c>
      <c r="D13" s="1" t="s">
        <v>240</v>
      </c>
      <c r="E13" s="1" t="s">
        <v>241</v>
      </c>
    </row>
    <row r="14" spans="1:5" x14ac:dyDescent="0.35">
      <c r="A14" s="1" t="s">
        <v>19</v>
      </c>
      <c r="B14" s="1" t="s">
        <v>20</v>
      </c>
      <c r="C14" s="1" t="s">
        <v>242</v>
      </c>
      <c r="D14" s="1" t="s">
        <v>243</v>
      </c>
    </row>
    <row r="15" spans="1:5" x14ac:dyDescent="0.35">
      <c r="A15" s="1" t="s">
        <v>21</v>
      </c>
      <c r="B15" s="1" t="s">
        <v>22</v>
      </c>
      <c r="C15" s="1" t="s">
        <v>244</v>
      </c>
      <c r="D15" s="1" t="s">
        <v>243</v>
      </c>
    </row>
    <row r="16" spans="1:5" x14ac:dyDescent="0.35">
      <c r="A16" s="1" t="s">
        <v>23</v>
      </c>
      <c r="B16" s="1" t="s">
        <v>24</v>
      </c>
      <c r="C16" s="1" t="s">
        <v>245</v>
      </c>
      <c r="D16" t="s">
        <v>246</v>
      </c>
    </row>
    <row r="17" spans="1:4" x14ac:dyDescent="0.35">
      <c r="A17" s="34" t="s">
        <v>25</v>
      </c>
      <c r="B17" s="1" t="s">
        <v>26</v>
      </c>
      <c r="C17" s="1" t="s">
        <v>247</v>
      </c>
      <c r="D17" s="1" t="s">
        <v>243</v>
      </c>
    </row>
    <row r="18" spans="1:4" x14ac:dyDescent="0.35">
      <c r="A18" s="1" t="s">
        <v>27</v>
      </c>
      <c r="B18" s="1" t="s">
        <v>28</v>
      </c>
      <c r="C18" s="1" t="s">
        <v>248</v>
      </c>
      <c r="D18" s="1" t="s">
        <v>243</v>
      </c>
    </row>
    <row r="19" spans="1:4" x14ac:dyDescent="0.35">
      <c r="A19" s="1" t="s">
        <v>29</v>
      </c>
      <c r="B19" s="1" t="s">
        <v>30</v>
      </c>
      <c r="C19" s="1" t="s">
        <v>249</v>
      </c>
      <c r="D19" s="1" t="s">
        <v>250</v>
      </c>
    </row>
    <row r="20" spans="1:4" x14ac:dyDescent="0.35">
      <c r="A20" s="1" t="s">
        <v>31</v>
      </c>
      <c r="B20" s="1" t="s">
        <v>32</v>
      </c>
      <c r="C20" s="1" t="s">
        <v>251</v>
      </c>
      <c r="D20" s="1" t="s">
        <v>252</v>
      </c>
    </row>
    <row r="21" spans="1:4" x14ac:dyDescent="0.35">
      <c r="A21" s="1" t="s">
        <v>33</v>
      </c>
      <c r="B21" s="1" t="s">
        <v>34</v>
      </c>
      <c r="C21" s="1" t="s">
        <v>253</v>
      </c>
      <c r="D21" s="1" t="s">
        <v>254</v>
      </c>
    </row>
    <row r="22" spans="1:4" x14ac:dyDescent="0.35">
      <c r="A22" s="1" t="s">
        <v>11</v>
      </c>
      <c r="B22" s="1"/>
      <c r="C22" s="1"/>
    </row>
    <row r="23" spans="1:4" x14ac:dyDescent="0.35">
      <c r="A23" s="15" t="s">
        <v>35</v>
      </c>
      <c r="B23" s="15" t="s">
        <v>36</v>
      </c>
      <c r="C23" s="15"/>
    </row>
    <row r="24" spans="1:4" hidden="1" outlineLevel="1" x14ac:dyDescent="0.35">
      <c r="A24" s="1" t="s">
        <v>37</v>
      </c>
      <c r="B24" s="1" t="s">
        <v>38</v>
      </c>
      <c r="C24" s="1" t="s">
        <v>39</v>
      </c>
    </row>
    <row r="25" spans="1:4" hidden="1" outlineLevel="1" x14ac:dyDescent="0.35">
      <c r="A25" s="1" t="s">
        <v>40</v>
      </c>
      <c r="B25" s="1" t="s">
        <v>41</v>
      </c>
      <c r="C25" s="1"/>
    </row>
    <row r="26" spans="1:4" hidden="1" outlineLevel="1" x14ac:dyDescent="0.35">
      <c r="A26" s="1" t="s">
        <v>42</v>
      </c>
      <c r="B26" s="1" t="s">
        <v>43</v>
      </c>
      <c r="C26" s="1" t="s">
        <v>44</v>
      </c>
    </row>
    <row r="27" spans="1:4" hidden="1" outlineLevel="1" x14ac:dyDescent="0.35">
      <c r="A27" s="1" t="s">
        <v>45</v>
      </c>
      <c r="B27" s="1" t="s">
        <v>46</v>
      </c>
      <c r="C27" s="1"/>
    </row>
    <row r="28" spans="1:4" hidden="1" outlineLevel="1" x14ac:dyDescent="0.35">
      <c r="A28" s="1" t="s">
        <v>47</v>
      </c>
      <c r="B28" s="1" t="s">
        <v>48</v>
      </c>
      <c r="C28" s="1" t="s">
        <v>49</v>
      </c>
    </row>
    <row r="29" spans="1:4" hidden="1" outlineLevel="1" x14ac:dyDescent="0.35">
      <c r="A29" s="1" t="s">
        <v>11</v>
      </c>
      <c r="B29" s="1"/>
      <c r="C29" s="1"/>
    </row>
    <row r="30" spans="1:4" collapsed="1" x14ac:dyDescent="0.35">
      <c r="A30" s="16" t="s">
        <v>50</v>
      </c>
      <c r="B30" s="16" t="s">
        <v>51</v>
      </c>
      <c r="C30" s="16"/>
    </row>
    <row r="31" spans="1:4" x14ac:dyDescent="0.35">
      <c r="A31" s="1" t="s">
        <v>52</v>
      </c>
      <c r="B31" s="1" t="s">
        <v>53</v>
      </c>
      <c r="C31" s="1" t="s">
        <v>54</v>
      </c>
      <c r="D31" s="1" t="s">
        <v>243</v>
      </c>
    </row>
    <row r="32" spans="1:4" x14ac:dyDescent="0.35">
      <c r="A32" s="1" t="s">
        <v>55</v>
      </c>
      <c r="B32" s="1" t="s">
        <v>56</v>
      </c>
      <c r="C32" s="1" t="s">
        <v>255</v>
      </c>
      <c r="D32" s="33" t="s">
        <v>321</v>
      </c>
    </row>
    <row r="33" spans="1:6" x14ac:dyDescent="0.35">
      <c r="A33" s="1" t="s">
        <v>57</v>
      </c>
      <c r="B33" s="1" t="s">
        <v>58</v>
      </c>
      <c r="C33" s="1" t="s">
        <v>59</v>
      </c>
      <c r="D33" s="1" t="s">
        <v>256</v>
      </c>
    </row>
    <row r="34" spans="1:6" x14ac:dyDescent="0.35">
      <c r="A34" s="1" t="s">
        <v>60</v>
      </c>
      <c r="B34" s="1" t="s">
        <v>61</v>
      </c>
      <c r="C34" s="1" t="s">
        <v>11</v>
      </c>
      <c r="D34" s="1" t="s">
        <v>243</v>
      </c>
    </row>
    <row r="35" spans="1:6" x14ac:dyDescent="0.35">
      <c r="A35" s="1" t="s">
        <v>62</v>
      </c>
      <c r="B35" s="1" t="s">
        <v>63</v>
      </c>
      <c r="C35" s="1" t="s">
        <v>11</v>
      </c>
      <c r="D35" s="1" t="s">
        <v>243</v>
      </c>
    </row>
    <row r="36" spans="1:6" x14ac:dyDescent="0.35">
      <c r="A36" s="1" t="s">
        <v>64</v>
      </c>
      <c r="B36" s="1" t="s">
        <v>65</v>
      </c>
      <c r="C36" s="1" t="s">
        <v>11</v>
      </c>
      <c r="D36" s="1" t="s">
        <v>257</v>
      </c>
    </row>
    <row r="37" spans="1:6" x14ac:dyDescent="0.35">
      <c r="A37" s="1" t="s">
        <v>66</v>
      </c>
      <c r="B37" s="1" t="s">
        <v>67</v>
      </c>
      <c r="C37" s="1" t="s">
        <v>258</v>
      </c>
      <c r="D37" s="1" t="s">
        <v>259</v>
      </c>
      <c r="E37" s="1" t="s">
        <v>260</v>
      </c>
    </row>
    <row r="38" spans="1:6" x14ac:dyDescent="0.35">
      <c r="A38" s="1" t="s">
        <v>68</v>
      </c>
      <c r="B38" s="1" t="s">
        <v>69</v>
      </c>
      <c r="C38" s="1" t="s">
        <v>261</v>
      </c>
      <c r="D38" s="1" t="s">
        <v>320</v>
      </c>
    </row>
    <row r="39" spans="1:6" x14ac:dyDescent="0.35">
      <c r="A39" s="1" t="s">
        <v>70</v>
      </c>
      <c r="B39" s="1" t="s">
        <v>71</v>
      </c>
      <c r="C39" s="1" t="s">
        <v>72</v>
      </c>
      <c r="D39" s="1" t="s">
        <v>262</v>
      </c>
    </row>
    <row r="40" spans="1:6" x14ac:dyDescent="0.35">
      <c r="A40" s="1" t="s">
        <v>73</v>
      </c>
      <c r="B40" s="1" t="s">
        <v>74</v>
      </c>
      <c r="C40" s="1" t="s">
        <v>74</v>
      </c>
      <c r="D40" s="1" t="s">
        <v>263</v>
      </c>
    </row>
    <row r="41" spans="1:6" x14ac:dyDescent="0.35">
      <c r="A41" s="16" t="s">
        <v>75</v>
      </c>
      <c r="B41" s="16" t="s">
        <v>76</v>
      </c>
      <c r="C41" s="16"/>
    </row>
    <row r="42" spans="1:6" x14ac:dyDescent="0.35">
      <c r="A42" s="1" t="s">
        <v>77</v>
      </c>
      <c r="B42" s="1" t="s">
        <v>78</v>
      </c>
      <c r="C42" s="1"/>
      <c r="D42" s="1" t="s">
        <v>264</v>
      </c>
      <c r="E42" s="1" t="s">
        <v>265</v>
      </c>
      <c r="F42" s="1" t="s">
        <v>266</v>
      </c>
    </row>
    <row r="43" spans="1:6" x14ac:dyDescent="0.35">
      <c r="A43" s="1" t="s">
        <v>79</v>
      </c>
      <c r="B43" s="1" t="s">
        <v>80</v>
      </c>
      <c r="C43" s="1"/>
      <c r="D43" s="1" t="s">
        <v>267</v>
      </c>
      <c r="E43" s="1" t="s">
        <v>268</v>
      </c>
    </row>
    <row r="44" spans="1:6" x14ac:dyDescent="0.35">
      <c r="A44" s="1" t="s">
        <v>81</v>
      </c>
      <c r="B44" s="1" t="s">
        <v>82</v>
      </c>
      <c r="C44" s="1"/>
      <c r="D44" s="1" t="s">
        <v>269</v>
      </c>
    </row>
    <row r="45" spans="1:6" x14ac:dyDescent="0.35">
      <c r="A45" s="1" t="s">
        <v>83</v>
      </c>
      <c r="B45" s="1" t="s">
        <v>84</v>
      </c>
      <c r="C45" s="1" t="s">
        <v>85</v>
      </c>
      <c r="D45" s="1" t="s">
        <v>270</v>
      </c>
    </row>
    <row r="46" spans="1:6" x14ac:dyDescent="0.35">
      <c r="A46" s="1" t="s">
        <v>86</v>
      </c>
      <c r="B46" s="1" t="s">
        <v>86</v>
      </c>
      <c r="C46" s="1" t="s">
        <v>11</v>
      </c>
      <c r="D46" s="1" t="s">
        <v>271</v>
      </c>
    </row>
    <row r="47" spans="1:6" x14ac:dyDescent="0.35">
      <c r="A47" s="1" t="s">
        <v>87</v>
      </c>
      <c r="B47" s="1" t="s">
        <v>87</v>
      </c>
      <c r="C47" s="1" t="s">
        <v>11</v>
      </c>
      <c r="D47" s="1" t="s">
        <v>272</v>
      </c>
      <c r="E47" s="1" t="s">
        <v>273</v>
      </c>
    </row>
    <row r="48" spans="1:6" x14ac:dyDescent="0.35">
      <c r="A48" s="1" t="s">
        <v>88</v>
      </c>
      <c r="B48" s="1" t="s">
        <v>89</v>
      </c>
      <c r="C48" s="1" t="s">
        <v>11</v>
      </c>
      <c r="D48" s="1" t="s">
        <v>274</v>
      </c>
      <c r="E48" s="1" t="s">
        <v>273</v>
      </c>
    </row>
    <row r="49" spans="1:4" x14ac:dyDescent="0.35">
      <c r="A49" s="1" t="s">
        <v>90</v>
      </c>
      <c r="B49" s="1" t="s">
        <v>91</v>
      </c>
      <c r="C49" s="1" t="s">
        <v>11</v>
      </c>
      <c r="D49" s="1" t="s">
        <v>243</v>
      </c>
    </row>
    <row r="50" spans="1:4" x14ac:dyDescent="0.35">
      <c r="A50" s="1" t="s">
        <v>92</v>
      </c>
      <c r="B50" s="1" t="s">
        <v>93</v>
      </c>
      <c r="C50" s="1" t="s">
        <v>275</v>
      </c>
      <c r="D50" s="1" t="s">
        <v>276</v>
      </c>
    </row>
    <row r="51" spans="1:4" x14ac:dyDescent="0.35">
      <c r="A51" s="1" t="s">
        <v>94</v>
      </c>
      <c r="B51" s="1" t="s">
        <v>95</v>
      </c>
      <c r="C51" s="1" t="s">
        <v>11</v>
      </c>
      <c r="D51" s="1" t="s">
        <v>243</v>
      </c>
    </row>
    <row r="52" spans="1:4" x14ac:dyDescent="0.35">
      <c r="A52" s="1" t="s">
        <v>96</v>
      </c>
      <c r="B52" s="1" t="s">
        <v>97</v>
      </c>
      <c r="C52" s="1" t="s">
        <v>11</v>
      </c>
      <c r="D52" s="1" t="s">
        <v>277</v>
      </c>
    </row>
    <row r="53" spans="1:4" x14ac:dyDescent="0.35">
      <c r="A53" s="1" t="s">
        <v>98</v>
      </c>
      <c r="B53" s="1" t="s">
        <v>99</v>
      </c>
      <c r="C53" s="1" t="s">
        <v>11</v>
      </c>
      <c r="D53" s="1" t="s">
        <v>243</v>
      </c>
    </row>
    <row r="54" spans="1:4" x14ac:dyDescent="0.35">
      <c r="A54" s="1" t="s">
        <v>100</v>
      </c>
      <c r="B54" s="1" t="s">
        <v>101</v>
      </c>
      <c r="C54" s="1" t="s">
        <v>11</v>
      </c>
      <c r="D54" s="1" t="s">
        <v>243</v>
      </c>
    </row>
    <row r="55" spans="1:4" x14ac:dyDescent="0.35">
      <c r="A55" s="1" t="s">
        <v>102</v>
      </c>
      <c r="B55" s="1" t="s">
        <v>95</v>
      </c>
      <c r="C55" s="1" t="s">
        <v>11</v>
      </c>
      <c r="D55" s="1" t="s">
        <v>278</v>
      </c>
    </row>
    <row r="56" spans="1:4" x14ac:dyDescent="0.35">
      <c r="A56" s="1" t="s">
        <v>103</v>
      </c>
      <c r="B56" s="1" t="s">
        <v>104</v>
      </c>
      <c r="C56" s="1" t="s">
        <v>11</v>
      </c>
      <c r="D56" s="1" t="s">
        <v>243</v>
      </c>
    </row>
    <row r="57" spans="1:4" x14ac:dyDescent="0.35">
      <c r="A57" s="1" t="s">
        <v>105</v>
      </c>
      <c r="B57" s="1" t="s">
        <v>106</v>
      </c>
      <c r="C57" s="1" t="s">
        <v>11</v>
      </c>
      <c r="D57" s="1" t="s">
        <v>279</v>
      </c>
    </row>
    <row r="58" spans="1:4" x14ac:dyDescent="0.35">
      <c r="A58" s="1" t="s">
        <v>107</v>
      </c>
      <c r="B58" s="1" t="s">
        <v>108</v>
      </c>
      <c r="C58" s="1" t="s">
        <v>11</v>
      </c>
      <c r="D58" s="1" t="s">
        <v>280</v>
      </c>
    </row>
    <row r="59" spans="1:4" x14ac:dyDescent="0.35">
      <c r="A59" s="1" t="s">
        <v>109</v>
      </c>
      <c r="B59" s="1" t="s">
        <v>110</v>
      </c>
      <c r="C59" s="1" t="s">
        <v>11</v>
      </c>
      <c r="D59" s="1" t="s">
        <v>281</v>
      </c>
    </row>
    <row r="60" spans="1:4" x14ac:dyDescent="0.35">
      <c r="A60" s="1" t="s">
        <v>111</v>
      </c>
      <c r="B60" s="1" t="s">
        <v>112</v>
      </c>
      <c r="C60" s="1" t="s">
        <v>11</v>
      </c>
      <c r="D60" s="1" t="s">
        <v>243</v>
      </c>
    </row>
    <row r="61" spans="1:4" x14ac:dyDescent="0.35">
      <c r="A61" s="1" t="s">
        <v>113</v>
      </c>
      <c r="B61" s="1" t="s">
        <v>114</v>
      </c>
      <c r="C61" s="1" t="s">
        <v>282</v>
      </c>
      <c r="D61" s="1" t="s">
        <v>283</v>
      </c>
    </row>
    <row r="62" spans="1:4" x14ac:dyDescent="0.35">
      <c r="A62" s="1" t="s">
        <v>115</v>
      </c>
      <c r="B62" s="1" t="s">
        <v>116</v>
      </c>
      <c r="C62" s="1" t="s">
        <v>11</v>
      </c>
      <c r="D62" s="1" t="s">
        <v>243</v>
      </c>
    </row>
    <row r="63" spans="1:4" x14ac:dyDescent="0.35">
      <c r="A63" s="1" t="s">
        <v>117</v>
      </c>
      <c r="B63" s="1" t="s">
        <v>118</v>
      </c>
      <c r="C63" s="1" t="s">
        <v>284</v>
      </c>
      <c r="D63" s="17" t="s">
        <v>285</v>
      </c>
    </row>
    <row r="64" spans="1:4" x14ac:dyDescent="0.35">
      <c r="A64" s="1" t="s">
        <v>119</v>
      </c>
      <c r="B64" s="1" t="s">
        <v>120</v>
      </c>
      <c r="C64" s="1" t="s">
        <v>286</v>
      </c>
      <c r="D64" s="17" t="s">
        <v>287</v>
      </c>
    </row>
    <row r="65" spans="1:4" x14ac:dyDescent="0.35">
      <c r="A65" s="1" t="s">
        <v>121</v>
      </c>
      <c r="B65" s="1" t="s">
        <v>122</v>
      </c>
      <c r="C65" s="1" t="s">
        <v>11</v>
      </c>
      <c r="D65" s="1" t="s">
        <v>243</v>
      </c>
    </row>
    <row r="66" spans="1:4" x14ac:dyDescent="0.35">
      <c r="A66" s="1" t="s">
        <v>123</v>
      </c>
      <c r="B66" s="1" t="s">
        <v>124</v>
      </c>
      <c r="C66" s="1" t="s">
        <v>125</v>
      </c>
      <c r="D66" s="1" t="s">
        <v>243</v>
      </c>
    </row>
    <row r="67" spans="1:4" x14ac:dyDescent="0.35">
      <c r="A67" s="1" t="s">
        <v>73</v>
      </c>
      <c r="B67" s="1" t="s">
        <v>126</v>
      </c>
      <c r="C67" s="1" t="s">
        <v>126</v>
      </c>
      <c r="D67" s="1" t="s">
        <v>288</v>
      </c>
    </row>
    <row r="68" spans="1:4" x14ac:dyDescent="0.35">
      <c r="A68" s="16" t="s">
        <v>127</v>
      </c>
      <c r="B68" s="16" t="s">
        <v>128</v>
      </c>
      <c r="C68" s="16"/>
    </row>
    <row r="69" spans="1:4" x14ac:dyDescent="0.35">
      <c r="A69" s="1" t="s">
        <v>129</v>
      </c>
      <c r="B69" s="1" t="s">
        <v>130</v>
      </c>
      <c r="C69" s="1" t="s">
        <v>289</v>
      </c>
      <c r="D69" s="1" t="s">
        <v>290</v>
      </c>
    </row>
    <row r="70" spans="1:4" x14ac:dyDescent="0.35">
      <c r="A70" s="1" t="s">
        <v>121</v>
      </c>
      <c r="B70" s="1" t="s">
        <v>122</v>
      </c>
      <c r="C70" s="1" t="s">
        <v>11</v>
      </c>
      <c r="D70" s="1" t="s">
        <v>243</v>
      </c>
    </row>
    <row r="71" spans="1:4" x14ac:dyDescent="0.35">
      <c r="A71" s="1" t="s">
        <v>131</v>
      </c>
      <c r="B71" s="1" t="s">
        <v>132</v>
      </c>
      <c r="C71" s="1" t="s">
        <v>11</v>
      </c>
      <c r="D71" s="1" t="s">
        <v>291</v>
      </c>
    </row>
    <row r="72" spans="1:4" x14ac:dyDescent="0.35">
      <c r="A72" s="1" t="s">
        <v>133</v>
      </c>
      <c r="B72" s="1" t="s">
        <v>134</v>
      </c>
      <c r="C72" s="1" t="s">
        <v>135</v>
      </c>
      <c r="D72" s="1" t="s">
        <v>135</v>
      </c>
    </row>
    <row r="73" spans="1:4" x14ac:dyDescent="0.35">
      <c r="A73" s="1" t="s">
        <v>136</v>
      </c>
      <c r="B73" s="1" t="s">
        <v>136</v>
      </c>
      <c r="C73" s="1" t="s">
        <v>11</v>
      </c>
      <c r="D73" s="1" t="s">
        <v>243</v>
      </c>
    </row>
    <row r="74" spans="1:4" x14ac:dyDescent="0.35">
      <c r="A74" s="1" t="s">
        <v>137</v>
      </c>
      <c r="B74" s="1" t="s">
        <v>138</v>
      </c>
      <c r="C74" s="1" t="s">
        <v>139</v>
      </c>
      <c r="D74" s="1" t="s">
        <v>139</v>
      </c>
    </row>
    <row r="75" spans="1:4" x14ac:dyDescent="0.35">
      <c r="A75" s="1" t="s">
        <v>11</v>
      </c>
      <c r="B75" s="1"/>
      <c r="C75" s="1"/>
    </row>
    <row r="76" spans="1:4" x14ac:dyDescent="0.35">
      <c r="A76" s="16" t="s">
        <v>140</v>
      </c>
      <c r="B76" s="16" t="s">
        <v>141</v>
      </c>
      <c r="C76" s="16"/>
    </row>
    <row r="77" spans="1:4" x14ac:dyDescent="0.35">
      <c r="A77" s="1" t="s">
        <v>142</v>
      </c>
      <c r="B77" s="1" t="s">
        <v>143</v>
      </c>
      <c r="C77" s="1" t="s">
        <v>292</v>
      </c>
      <c r="D77" s="1" t="s">
        <v>293</v>
      </c>
    </row>
    <row r="78" spans="1:4" x14ac:dyDescent="0.35">
      <c r="A78" s="1" t="s">
        <v>144</v>
      </c>
      <c r="B78" s="1" t="s">
        <v>145</v>
      </c>
      <c r="C78" s="1" t="s">
        <v>11</v>
      </c>
      <c r="D78" s="1" t="s">
        <v>243</v>
      </c>
    </row>
    <row r="79" spans="1:4" x14ac:dyDescent="0.35">
      <c r="A79" s="1" t="s">
        <v>146</v>
      </c>
      <c r="B79" s="1" t="s">
        <v>147</v>
      </c>
      <c r="C79" s="1" t="s">
        <v>294</v>
      </c>
      <c r="D79" s="1" t="s">
        <v>295</v>
      </c>
    </row>
    <row r="80" spans="1:4" x14ac:dyDescent="0.35">
      <c r="A80" s="1" t="s">
        <v>148</v>
      </c>
      <c r="B80" s="1" t="s">
        <v>149</v>
      </c>
      <c r="C80" s="1" t="s">
        <v>150</v>
      </c>
      <c r="D80" s="1" t="s">
        <v>296</v>
      </c>
    </row>
    <row r="81" spans="1:4" x14ac:dyDescent="0.35">
      <c r="A81" s="1" t="s">
        <v>11</v>
      </c>
      <c r="B81" s="1"/>
      <c r="C81" s="1"/>
    </row>
    <row r="82" spans="1:4" x14ac:dyDescent="0.35">
      <c r="A82" s="15" t="s">
        <v>151</v>
      </c>
      <c r="B82" s="15" t="s">
        <v>152</v>
      </c>
      <c r="C82" s="15"/>
    </row>
    <row r="83" spans="1:4" outlineLevel="1" x14ac:dyDescent="0.35">
      <c r="A83" s="1" t="s">
        <v>153</v>
      </c>
      <c r="B83" s="1" t="s">
        <v>154</v>
      </c>
      <c r="C83" s="1" t="s">
        <v>155</v>
      </c>
      <c r="D83" s="1" t="s">
        <v>297</v>
      </c>
    </row>
    <row r="84" spans="1:4" outlineLevel="1" x14ac:dyDescent="0.35">
      <c r="A84" s="1" t="s">
        <v>146</v>
      </c>
      <c r="B84" s="1" t="s">
        <v>156</v>
      </c>
      <c r="C84" s="1" t="s">
        <v>298</v>
      </c>
      <c r="D84" s="1" t="s">
        <v>299</v>
      </c>
    </row>
    <row r="85" spans="1:4" outlineLevel="1" x14ac:dyDescent="0.35">
      <c r="A85" s="1" t="s">
        <v>157</v>
      </c>
      <c r="B85" s="1" t="s">
        <v>158</v>
      </c>
      <c r="C85" s="1" t="s">
        <v>300</v>
      </c>
    </row>
    <row r="86" spans="1:4" outlineLevel="1" x14ac:dyDescent="0.35">
      <c r="A86" s="1" t="s">
        <v>11</v>
      </c>
      <c r="B86" s="1"/>
      <c r="C86" s="1"/>
    </row>
    <row r="87" spans="1:4" x14ac:dyDescent="0.35">
      <c r="A87" s="15" t="s">
        <v>159</v>
      </c>
      <c r="B87" s="15" t="s">
        <v>160</v>
      </c>
      <c r="C87" s="15"/>
    </row>
    <row r="88" spans="1:4" hidden="1" outlineLevel="1" x14ac:dyDescent="0.35">
      <c r="A88" s="1" t="s">
        <v>161</v>
      </c>
      <c r="B88" s="1" t="s">
        <v>162</v>
      </c>
      <c r="C88" s="1" t="s">
        <v>301</v>
      </c>
    </row>
    <row r="89" spans="1:4" hidden="1" outlineLevel="1" x14ac:dyDescent="0.35">
      <c r="A89" s="1" t="s">
        <v>163</v>
      </c>
      <c r="B89" s="1" t="s">
        <v>164</v>
      </c>
      <c r="C89" s="1"/>
    </row>
    <row r="90" spans="1:4" hidden="1" outlineLevel="1" x14ac:dyDescent="0.35">
      <c r="A90" s="1" t="s">
        <v>165</v>
      </c>
      <c r="B90" s="1" t="s">
        <v>166</v>
      </c>
      <c r="C90" s="1"/>
    </row>
    <row r="91" spans="1:4" hidden="1" outlineLevel="1" x14ac:dyDescent="0.35">
      <c r="A91" s="1" t="s">
        <v>11</v>
      </c>
      <c r="B91" s="1"/>
      <c r="C91" s="1"/>
    </row>
    <row r="92" spans="1:4" collapsed="1" x14ac:dyDescent="0.35">
      <c r="A92" s="16" t="s">
        <v>167</v>
      </c>
      <c r="B92" s="16" t="s">
        <v>168</v>
      </c>
      <c r="C92" s="16"/>
    </row>
    <row r="93" spans="1:4" x14ac:dyDescent="0.35">
      <c r="A93" s="1" t="s">
        <v>169</v>
      </c>
      <c r="B93" s="1" t="s">
        <v>170</v>
      </c>
      <c r="C93" s="1" t="s">
        <v>302</v>
      </c>
      <c r="D93" s="18" t="s">
        <v>319</v>
      </c>
    </row>
    <row r="94" spans="1:4" x14ac:dyDescent="0.35">
      <c r="A94" s="1" t="s">
        <v>171</v>
      </c>
      <c r="B94" s="1" t="s">
        <v>172</v>
      </c>
      <c r="C94" s="1" t="s">
        <v>11</v>
      </c>
    </row>
    <row r="95" spans="1:4" x14ac:dyDescent="0.35">
      <c r="A95" s="1" t="s">
        <v>173</v>
      </c>
      <c r="B95" s="1" t="s">
        <v>11</v>
      </c>
      <c r="C95" s="1" t="s">
        <v>303</v>
      </c>
    </row>
    <row r="96" spans="1:4" x14ac:dyDescent="0.35">
      <c r="A96" s="1" t="s">
        <v>174</v>
      </c>
      <c r="B96" s="1" t="s">
        <v>73</v>
      </c>
      <c r="C96" s="1" t="s">
        <v>304</v>
      </c>
      <c r="D96" s="1" t="s">
        <v>305</v>
      </c>
    </row>
    <row r="97" spans="1:4" x14ac:dyDescent="0.35">
      <c r="A97" s="1" t="s">
        <v>11</v>
      </c>
      <c r="B97" s="1"/>
      <c r="C97" s="1"/>
    </row>
    <row r="98" spans="1:4" x14ac:dyDescent="0.35">
      <c r="A98" s="18" t="s">
        <v>175</v>
      </c>
      <c r="B98" s="18" t="s">
        <v>176</v>
      </c>
      <c r="C98" s="18"/>
    </row>
    <row r="99" spans="1:4" x14ac:dyDescent="0.35">
      <c r="A99" s="1" t="s">
        <v>177</v>
      </c>
      <c r="B99" s="1" t="s">
        <v>178</v>
      </c>
      <c r="C99" s="1"/>
    </row>
    <row r="100" spans="1:4" x14ac:dyDescent="0.35">
      <c r="A100" s="1" t="s">
        <v>179</v>
      </c>
      <c r="B100" s="1" t="s">
        <v>180</v>
      </c>
      <c r="C100" s="1" t="s">
        <v>306</v>
      </c>
    </row>
    <row r="101" spans="1:4" x14ac:dyDescent="0.35">
      <c r="A101" s="1" t="s">
        <v>181</v>
      </c>
      <c r="B101" s="1" t="s">
        <v>182</v>
      </c>
      <c r="C101" s="1"/>
    </row>
    <row r="102" spans="1:4" x14ac:dyDescent="0.35">
      <c r="A102" s="1" t="s">
        <v>183</v>
      </c>
      <c r="B102" s="1" t="s">
        <v>184</v>
      </c>
      <c r="C102" s="1"/>
    </row>
    <row r="103" spans="1:4" x14ac:dyDescent="0.35">
      <c r="A103" s="1" t="s">
        <v>185</v>
      </c>
      <c r="B103" s="1" t="s">
        <v>186</v>
      </c>
      <c r="C103" s="1"/>
    </row>
    <row r="104" spans="1:4" x14ac:dyDescent="0.35">
      <c r="A104" s="1" t="s">
        <v>11</v>
      </c>
      <c r="B104" s="1"/>
      <c r="C104" s="1"/>
    </row>
    <row r="105" spans="1:4" x14ac:dyDescent="0.35">
      <c r="A105" s="16" t="s">
        <v>187</v>
      </c>
      <c r="B105" s="16" t="s">
        <v>188</v>
      </c>
      <c r="C105" s="16"/>
    </row>
    <row r="106" spans="1:4" x14ac:dyDescent="0.35">
      <c r="A106" s="1" t="s">
        <v>189</v>
      </c>
      <c r="B106" s="1" t="s">
        <v>190</v>
      </c>
      <c r="C106" s="1"/>
      <c r="D106" t="s">
        <v>307</v>
      </c>
    </row>
    <row r="107" spans="1:4" x14ac:dyDescent="0.35">
      <c r="A107" s="1" t="s">
        <v>191</v>
      </c>
      <c r="B107" s="1" t="s">
        <v>192</v>
      </c>
      <c r="C10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022A-09A8-4789-B2BE-96FF000A6C29}">
  <sheetPr>
    <tabColor theme="2" tint="-9.9978637043366805E-2"/>
  </sheetPr>
  <dimension ref="A1:L35"/>
  <sheetViews>
    <sheetView showGridLines="0" topLeftCell="A4" zoomScale="83" zoomScaleNormal="83" workbookViewId="0">
      <selection activeCell="C11" sqref="C11"/>
    </sheetView>
  </sheetViews>
  <sheetFormatPr baseColWidth="10" defaultRowHeight="14.5" x14ac:dyDescent="0.35"/>
  <cols>
    <col min="1" max="1" width="21" bestFit="1" customWidth="1"/>
    <col min="2" max="2" width="23.453125" bestFit="1" customWidth="1"/>
  </cols>
  <sheetData>
    <row r="1" spans="1:12" ht="15" hidden="1" thickBot="1" x14ac:dyDescent="0.4">
      <c r="A1" s="3" t="s">
        <v>196</v>
      </c>
    </row>
    <row r="2" spans="1:12" ht="15" hidden="1" thickBot="1" x14ac:dyDescent="0.4">
      <c r="A2" s="5">
        <v>45658</v>
      </c>
      <c r="B2" s="5">
        <v>45992</v>
      </c>
    </row>
    <row r="3" spans="1:12" ht="15" hidden="1" thickBot="1" x14ac:dyDescent="0.4">
      <c r="A3" s="6">
        <v>5.9</v>
      </c>
      <c r="B3" s="6"/>
    </row>
    <row r="4" spans="1:12" x14ac:dyDescent="0.35">
      <c r="A4" s="4"/>
    </row>
    <row r="5" spans="1:12" ht="15" thickBot="1" x14ac:dyDescent="0.4">
      <c r="A5" s="3" t="s">
        <v>200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5" thickBot="1" x14ac:dyDescent="0.4">
      <c r="A6" s="7" t="s">
        <v>197</v>
      </c>
      <c r="B6" s="8" t="s">
        <v>632</v>
      </c>
      <c r="C6" s="8">
        <v>2026</v>
      </c>
      <c r="D6" s="4"/>
      <c r="E6" s="4"/>
      <c r="F6" s="4"/>
      <c r="G6" s="4"/>
      <c r="H6" s="4"/>
      <c r="I6" s="4"/>
      <c r="J6" s="4"/>
      <c r="K6" s="4"/>
      <c r="L6" s="4"/>
    </row>
    <row r="7" spans="1:12" ht="15" thickBot="1" x14ac:dyDescent="0.4">
      <c r="A7" s="6">
        <v>2026</v>
      </c>
      <c r="B7" s="117">
        <v>1.0509999999999999</v>
      </c>
      <c r="C7" s="10" t="s">
        <v>518</v>
      </c>
      <c r="L7">
        <v>85818</v>
      </c>
    </row>
    <row r="8" spans="1:12" x14ac:dyDescent="0.35">
      <c r="A8" s="9"/>
      <c r="B8" s="9"/>
      <c r="L8">
        <f>+L7*1.121</f>
        <v>96201.978000000003</v>
      </c>
    </row>
    <row r="9" spans="1:12" ht="15" thickBot="1" x14ac:dyDescent="0.4">
      <c r="A9" s="3" t="s">
        <v>199</v>
      </c>
    </row>
    <row r="10" spans="1:12" ht="15" thickBot="1" x14ac:dyDescent="0.4">
      <c r="A10" s="7" t="s">
        <v>197</v>
      </c>
      <c r="B10" s="8" t="s">
        <v>198</v>
      </c>
      <c r="C10" s="8">
        <v>2026</v>
      </c>
    </row>
    <row r="11" spans="1:12" ht="15" thickBot="1" x14ac:dyDescent="0.4">
      <c r="A11" s="6">
        <v>2026</v>
      </c>
      <c r="B11" s="117">
        <v>0.1</v>
      </c>
      <c r="C11" s="10">
        <v>0.1</v>
      </c>
    </row>
    <row r="12" spans="1:12" x14ac:dyDescent="0.35">
      <c r="A12" s="4"/>
      <c r="B12" s="4"/>
    </row>
    <row r="13" spans="1:12" ht="15" thickBot="1" x14ac:dyDescent="0.4">
      <c r="A13" s="3" t="s">
        <v>308</v>
      </c>
    </row>
    <row r="14" spans="1:12" ht="15" thickBot="1" x14ac:dyDescent="0.4">
      <c r="A14" s="97">
        <v>3950</v>
      </c>
      <c r="B14" s="96" t="s">
        <v>519</v>
      </c>
    </row>
    <row r="15" spans="1:12" x14ac:dyDescent="0.35">
      <c r="B15" s="21"/>
    </row>
    <row r="16" spans="1:12" x14ac:dyDescent="0.35">
      <c r="B16" s="98" t="s">
        <v>520</v>
      </c>
      <c r="C16" s="98">
        <v>2025</v>
      </c>
    </row>
    <row r="17" spans="1:5" x14ac:dyDescent="0.35">
      <c r="A17" s="32" t="s">
        <v>366</v>
      </c>
      <c r="B17" s="28" t="s">
        <v>357</v>
      </c>
      <c r="C17" s="29">
        <v>8.33</v>
      </c>
    </row>
    <row r="18" spans="1:5" x14ac:dyDescent="0.35">
      <c r="B18" s="28" t="s">
        <v>358</v>
      </c>
      <c r="C18" s="28">
        <v>1</v>
      </c>
    </row>
    <row r="19" spans="1:5" x14ac:dyDescent="0.35">
      <c r="B19" s="28" t="s">
        <v>359</v>
      </c>
      <c r="C19" s="28">
        <v>4.17</v>
      </c>
    </row>
    <row r="20" spans="1:5" x14ac:dyDescent="0.35">
      <c r="B20" s="28" t="s">
        <v>360</v>
      </c>
      <c r="C20" s="28">
        <v>8.33</v>
      </c>
    </row>
    <row r="21" spans="1:5" x14ac:dyDescent="0.35">
      <c r="B21" s="28" t="s">
        <v>363</v>
      </c>
      <c r="C21" s="28">
        <v>8.5</v>
      </c>
    </row>
    <row r="22" spans="1:5" x14ac:dyDescent="0.35">
      <c r="B22" s="28" t="s">
        <v>364</v>
      </c>
      <c r="C22" s="28">
        <v>12</v>
      </c>
    </row>
    <row r="23" spans="1:5" x14ac:dyDescent="0.35">
      <c r="B23" s="28" t="s">
        <v>361</v>
      </c>
      <c r="C23" s="28">
        <f>+C35</f>
        <v>6.96</v>
      </c>
      <c r="D23" t="s">
        <v>521</v>
      </c>
    </row>
    <row r="24" spans="1:5" x14ac:dyDescent="0.35">
      <c r="B24" s="28" t="s">
        <v>362</v>
      </c>
      <c r="C24" s="28">
        <v>7</v>
      </c>
    </row>
    <row r="25" spans="1:5" x14ac:dyDescent="0.35">
      <c r="B25" s="28" t="s">
        <v>365</v>
      </c>
      <c r="C25" s="28">
        <v>0</v>
      </c>
    </row>
    <row r="26" spans="1:5" x14ac:dyDescent="0.35">
      <c r="B26" s="28" t="s">
        <v>367</v>
      </c>
      <c r="C26" s="28">
        <v>0</v>
      </c>
    </row>
    <row r="27" spans="1:5" ht="15.5" x14ac:dyDescent="0.35">
      <c r="C27" s="31">
        <f>SUM(C17:C26)%</f>
        <v>0.56289999999999996</v>
      </c>
    </row>
    <row r="30" spans="1:5" x14ac:dyDescent="0.35">
      <c r="B30" s="116" t="s">
        <v>361</v>
      </c>
      <c r="C30" s="116" t="s">
        <v>581</v>
      </c>
      <c r="D30" s="116" t="s">
        <v>582</v>
      </c>
      <c r="E30" s="116" t="s">
        <v>583</v>
      </c>
    </row>
    <row r="31" spans="1:5" x14ac:dyDescent="0.35">
      <c r="B31" s="102">
        <v>1</v>
      </c>
      <c r="C31" s="102">
        <v>0.52200000000000002</v>
      </c>
      <c r="D31">
        <v>70</v>
      </c>
      <c r="E31">
        <v>70</v>
      </c>
    </row>
    <row r="32" spans="1:5" x14ac:dyDescent="0.35">
      <c r="B32" s="102">
        <v>2</v>
      </c>
      <c r="C32" s="102">
        <v>1.044</v>
      </c>
    </row>
    <row r="33" spans="2:5" x14ac:dyDescent="0.35">
      <c r="B33" s="102">
        <v>3</v>
      </c>
      <c r="C33" s="102">
        <v>2.0880000000000001</v>
      </c>
    </row>
    <row r="34" spans="2:5" x14ac:dyDescent="0.35">
      <c r="B34" s="102">
        <v>4</v>
      </c>
      <c r="C34" s="102">
        <v>3.16</v>
      </c>
      <c r="D34">
        <v>13</v>
      </c>
      <c r="E34">
        <v>21</v>
      </c>
    </row>
    <row r="35" spans="2:5" x14ac:dyDescent="0.35">
      <c r="B35" s="102">
        <v>5</v>
      </c>
      <c r="C35" s="102">
        <v>6.96</v>
      </c>
      <c r="D35">
        <v>17</v>
      </c>
      <c r="E35">
        <v>9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A2CB2-D119-45FA-8B3A-E0933C2EE12A}">
  <dimension ref="A2:J63"/>
  <sheetViews>
    <sheetView showGridLines="0" topLeftCell="A10" zoomScale="80" zoomScaleNormal="80" workbookViewId="0">
      <selection activeCell="C34" sqref="C34"/>
    </sheetView>
  </sheetViews>
  <sheetFormatPr baseColWidth="10" defaultRowHeight="14.5" x14ac:dyDescent="0.35"/>
  <cols>
    <col min="2" max="2" width="24.81640625" bestFit="1" customWidth="1"/>
    <col min="3" max="3" width="26.453125" bestFit="1" customWidth="1"/>
    <col min="4" max="4" width="35.54296875" bestFit="1" customWidth="1"/>
    <col min="5" max="5" width="22.81640625" bestFit="1" customWidth="1"/>
    <col min="6" max="6" width="20.81640625" bestFit="1" customWidth="1"/>
    <col min="7" max="7" width="21.453125" bestFit="1" customWidth="1"/>
  </cols>
  <sheetData>
    <row r="2" spans="1:7" x14ac:dyDescent="0.35">
      <c r="B2" s="32" t="s">
        <v>372</v>
      </c>
      <c r="G2" s="36"/>
    </row>
    <row r="3" spans="1:7" x14ac:dyDescent="0.35">
      <c r="B3" s="99" t="s">
        <v>542</v>
      </c>
      <c r="C3" s="99" t="s">
        <v>543</v>
      </c>
      <c r="D3" s="100" t="s">
        <v>544</v>
      </c>
      <c r="E3" s="99" t="s">
        <v>545</v>
      </c>
      <c r="F3" s="101" t="s">
        <v>555</v>
      </c>
      <c r="G3" s="101" t="s">
        <v>546</v>
      </c>
    </row>
    <row r="4" spans="1:7" x14ac:dyDescent="0.35">
      <c r="A4">
        <v>1</v>
      </c>
      <c r="B4" s="102" t="s">
        <v>547</v>
      </c>
      <c r="C4" s="102"/>
      <c r="D4" s="103"/>
      <c r="E4" s="102"/>
      <c r="F4" s="104"/>
      <c r="G4" s="39"/>
    </row>
    <row r="5" spans="1:7" x14ac:dyDescent="0.35">
      <c r="A5">
        <f>+A4+1</f>
        <v>2</v>
      </c>
      <c r="B5" s="102" t="s">
        <v>548</v>
      </c>
      <c r="C5" s="102"/>
      <c r="D5" s="103"/>
      <c r="E5" s="102"/>
      <c r="F5" s="104"/>
      <c r="G5" s="39"/>
    </row>
    <row r="6" spans="1:7" x14ac:dyDescent="0.35">
      <c r="A6">
        <f t="shared" ref="A6:A14" si="0">+A5+1</f>
        <v>3</v>
      </c>
      <c r="B6" s="102" t="s">
        <v>193</v>
      </c>
      <c r="C6" s="102"/>
      <c r="D6" s="103"/>
      <c r="E6" s="102"/>
      <c r="F6" s="104"/>
      <c r="G6" s="39"/>
    </row>
    <row r="7" spans="1:7" x14ac:dyDescent="0.35">
      <c r="A7">
        <f t="shared" si="0"/>
        <v>4</v>
      </c>
      <c r="B7" s="102" t="s">
        <v>550</v>
      </c>
      <c r="C7" s="102"/>
      <c r="D7" s="103"/>
      <c r="E7" s="102"/>
      <c r="F7" s="104"/>
      <c r="G7" s="39"/>
    </row>
    <row r="8" spans="1:7" x14ac:dyDescent="0.35">
      <c r="A8">
        <f t="shared" si="0"/>
        <v>5</v>
      </c>
      <c r="B8" s="102" t="s">
        <v>549</v>
      </c>
      <c r="C8" s="102"/>
      <c r="D8" s="103"/>
      <c r="E8" s="102"/>
      <c r="F8" s="104"/>
      <c r="G8" s="39"/>
    </row>
    <row r="9" spans="1:7" x14ac:dyDescent="0.35">
      <c r="A9">
        <f t="shared" si="0"/>
        <v>6</v>
      </c>
      <c r="B9" s="102" t="s">
        <v>551</v>
      </c>
      <c r="C9" s="102"/>
      <c r="D9" s="103"/>
      <c r="E9" s="102"/>
      <c r="F9" s="104"/>
      <c r="G9" s="39"/>
    </row>
    <row r="10" spans="1:7" x14ac:dyDescent="0.35">
      <c r="A10">
        <f t="shared" si="0"/>
        <v>7</v>
      </c>
      <c r="B10" s="102" t="s">
        <v>552</v>
      </c>
      <c r="C10" s="102"/>
      <c r="D10" s="103"/>
      <c r="E10" s="102"/>
      <c r="F10" s="104"/>
      <c r="G10" s="39"/>
    </row>
    <row r="11" spans="1:7" x14ac:dyDescent="0.35">
      <c r="A11">
        <f t="shared" si="0"/>
        <v>8</v>
      </c>
      <c r="B11" s="102" t="s">
        <v>553</v>
      </c>
      <c r="C11" s="102"/>
      <c r="D11" s="103"/>
      <c r="E11" s="102"/>
      <c r="F11" s="104"/>
      <c r="G11" s="39"/>
    </row>
    <row r="12" spans="1:7" x14ac:dyDescent="0.35">
      <c r="A12">
        <f t="shared" si="0"/>
        <v>9</v>
      </c>
      <c r="B12" s="102" t="s">
        <v>578</v>
      </c>
      <c r="C12" s="102"/>
      <c r="D12" s="103"/>
      <c r="E12" s="102"/>
      <c r="F12" s="104"/>
      <c r="G12" s="39"/>
    </row>
    <row r="13" spans="1:7" x14ac:dyDescent="0.35">
      <c r="A13">
        <f t="shared" si="0"/>
        <v>10</v>
      </c>
      <c r="B13" s="102" t="s">
        <v>554</v>
      </c>
      <c r="C13" s="102"/>
      <c r="D13" s="103"/>
      <c r="E13" s="102"/>
      <c r="F13" s="104"/>
      <c r="G13" s="39"/>
    </row>
    <row r="14" spans="1:7" x14ac:dyDescent="0.35">
      <c r="A14">
        <f t="shared" si="0"/>
        <v>11</v>
      </c>
      <c r="B14" s="102" t="s">
        <v>314</v>
      </c>
      <c r="C14" s="102"/>
      <c r="D14" s="103"/>
      <c r="E14" s="102"/>
      <c r="F14" s="104"/>
      <c r="G14" s="39"/>
    </row>
    <row r="15" spans="1:7" x14ac:dyDescent="0.35">
      <c r="G15" s="35"/>
    </row>
    <row r="16" spans="1:7" x14ac:dyDescent="0.35">
      <c r="B16" s="32" t="s">
        <v>366</v>
      </c>
      <c r="C16" s="28" t="s">
        <v>533</v>
      </c>
      <c r="D16" s="29">
        <v>8.33</v>
      </c>
      <c r="G16" s="21"/>
    </row>
    <row r="17" spans="2:10" x14ac:dyDescent="0.35">
      <c r="C17" s="28" t="s">
        <v>535</v>
      </c>
      <c r="D17" s="28">
        <v>1</v>
      </c>
    </row>
    <row r="18" spans="2:10" x14ac:dyDescent="0.35">
      <c r="C18" s="28" t="s">
        <v>534</v>
      </c>
      <c r="D18" s="28">
        <v>4.17</v>
      </c>
    </row>
    <row r="19" spans="2:10" x14ac:dyDescent="0.35">
      <c r="C19" s="28" t="s">
        <v>536</v>
      </c>
      <c r="D19" s="28">
        <v>8.33</v>
      </c>
    </row>
    <row r="20" spans="2:10" x14ac:dyDescent="0.35">
      <c r="C20" s="28" t="s">
        <v>537</v>
      </c>
      <c r="D20" s="28">
        <v>8.5</v>
      </c>
    </row>
    <row r="21" spans="2:10" x14ac:dyDescent="0.35">
      <c r="C21" s="28" t="s">
        <v>538</v>
      </c>
      <c r="D21" s="28">
        <v>12</v>
      </c>
    </row>
    <row r="22" spans="2:10" x14ac:dyDescent="0.35">
      <c r="C22" s="28" t="s">
        <v>361</v>
      </c>
      <c r="D22" s="28">
        <v>3</v>
      </c>
      <c r="J22">
        <v>2</v>
      </c>
    </row>
    <row r="23" spans="2:10" x14ac:dyDescent="0.35">
      <c r="C23" s="28" t="s">
        <v>541</v>
      </c>
      <c r="D23" s="28">
        <v>7</v>
      </c>
    </row>
    <row r="24" spans="2:10" x14ac:dyDescent="0.35">
      <c r="C24" s="28" t="s">
        <v>539</v>
      </c>
      <c r="D24" s="28">
        <v>0</v>
      </c>
    </row>
    <row r="25" spans="2:10" x14ac:dyDescent="0.35">
      <c r="C25" s="28" t="s">
        <v>540</v>
      </c>
      <c r="D25" s="28">
        <v>0</v>
      </c>
    </row>
    <row r="26" spans="2:10" ht="15.5" x14ac:dyDescent="0.35">
      <c r="D26" s="31">
        <f>SUM(D16:D25)%</f>
        <v>0.52329999999999999</v>
      </c>
    </row>
    <row r="28" spans="2:10" x14ac:dyDescent="0.35">
      <c r="C28" s="27" t="s">
        <v>337</v>
      </c>
      <c r="D28" s="27" t="s">
        <v>338</v>
      </c>
    </row>
    <row r="29" spans="2:10" x14ac:dyDescent="0.35">
      <c r="C29" s="105">
        <f>+(D20+D21+D22+D23)/100</f>
        <v>0.30499999999999999</v>
      </c>
      <c r="D29" s="30">
        <f>100%-C29</f>
        <v>0.69500000000000006</v>
      </c>
    </row>
    <row r="31" spans="2:10" x14ac:dyDescent="0.35">
      <c r="B31" s="32" t="s">
        <v>371</v>
      </c>
      <c r="C31" s="32" t="s">
        <v>383</v>
      </c>
      <c r="D31" s="114">
        <v>3950</v>
      </c>
    </row>
    <row r="32" spans="2:10" s="36" customFormat="1" x14ac:dyDescent="0.35">
      <c r="B32" s="115" t="s">
        <v>194</v>
      </c>
      <c r="C32" s="115" t="s">
        <v>556</v>
      </c>
      <c r="D32" s="115" t="s">
        <v>557</v>
      </c>
      <c r="E32" s="115" t="s">
        <v>575</v>
      </c>
      <c r="F32" s="115" t="s">
        <v>576</v>
      </c>
    </row>
    <row r="33" spans="1:6" x14ac:dyDescent="0.35">
      <c r="A33">
        <v>1</v>
      </c>
      <c r="B33" s="106" t="s">
        <v>558</v>
      </c>
      <c r="C33" s="106" t="s">
        <v>193</v>
      </c>
      <c r="D33" s="106" t="s">
        <v>342</v>
      </c>
      <c r="E33" s="24">
        <v>10374900</v>
      </c>
      <c r="F33" s="24">
        <f t="shared" ref="F33:F38" si="1">+E33/$D$31</f>
        <v>2626.5569620253164</v>
      </c>
    </row>
    <row r="34" spans="1:6" x14ac:dyDescent="0.35">
      <c r="A34">
        <f>+A33+1</f>
        <v>2</v>
      </c>
      <c r="B34" s="106" t="s">
        <v>558</v>
      </c>
      <c r="C34" s="107" t="s">
        <v>559</v>
      </c>
      <c r="D34" s="106" t="s">
        <v>352</v>
      </c>
      <c r="E34" s="24">
        <v>3719767</v>
      </c>
      <c r="F34" s="24">
        <f t="shared" si="1"/>
        <v>941.71316455696206</v>
      </c>
    </row>
    <row r="35" spans="1:6" x14ac:dyDescent="0.35">
      <c r="A35">
        <f t="shared" ref="A35:A58" si="2">+A34+1</f>
        <v>3</v>
      </c>
      <c r="B35" s="106" t="s">
        <v>558</v>
      </c>
      <c r="C35" s="106" t="s">
        <v>547</v>
      </c>
      <c r="D35" s="106" t="s">
        <v>345</v>
      </c>
      <c r="E35" s="24">
        <v>3315767</v>
      </c>
      <c r="F35" s="24">
        <f t="shared" si="1"/>
        <v>839.43468354430377</v>
      </c>
    </row>
    <row r="36" spans="1:6" x14ac:dyDescent="0.35">
      <c r="A36">
        <f t="shared" si="2"/>
        <v>4</v>
      </c>
      <c r="B36" s="106" t="s">
        <v>564</v>
      </c>
      <c r="C36" s="106" t="s">
        <v>561</v>
      </c>
      <c r="D36" s="106" t="s">
        <v>565</v>
      </c>
      <c r="E36" s="24">
        <v>2685833</v>
      </c>
      <c r="F36" s="24">
        <f t="shared" si="1"/>
        <v>679.95772151898734</v>
      </c>
    </row>
    <row r="37" spans="1:6" x14ac:dyDescent="0.35">
      <c r="A37">
        <f t="shared" si="2"/>
        <v>5</v>
      </c>
      <c r="B37" s="106" t="s">
        <v>558</v>
      </c>
      <c r="C37" s="106" t="s">
        <v>548</v>
      </c>
      <c r="D37" s="106" t="s">
        <v>344</v>
      </c>
      <c r="E37" s="24">
        <v>1430689</v>
      </c>
      <c r="F37" s="24">
        <f t="shared" si="1"/>
        <v>362.19974683544302</v>
      </c>
    </row>
    <row r="38" spans="1:6" x14ac:dyDescent="0.35">
      <c r="A38">
        <f t="shared" si="2"/>
        <v>6</v>
      </c>
      <c r="B38" s="106" t="s">
        <v>562</v>
      </c>
      <c r="C38" s="106" t="s">
        <v>563</v>
      </c>
      <c r="D38" s="108" t="s">
        <v>340</v>
      </c>
      <c r="E38" s="24">
        <v>367367</v>
      </c>
      <c r="F38" s="24">
        <f t="shared" si="1"/>
        <v>93.004303797468353</v>
      </c>
    </row>
    <row r="39" spans="1:6" x14ac:dyDescent="0.35">
      <c r="A39">
        <f t="shared" si="2"/>
        <v>7</v>
      </c>
      <c r="B39" s="106" t="s">
        <v>560</v>
      </c>
      <c r="C39" s="106" t="s">
        <v>561</v>
      </c>
      <c r="D39" s="106" t="s">
        <v>339</v>
      </c>
      <c r="E39" s="24" t="s">
        <v>574</v>
      </c>
      <c r="F39" s="24"/>
    </row>
    <row r="40" spans="1:6" x14ac:dyDescent="0.35">
      <c r="A40">
        <f t="shared" si="2"/>
        <v>8</v>
      </c>
      <c r="B40" s="106" t="s">
        <v>566</v>
      </c>
      <c r="C40" s="106" t="s">
        <v>561</v>
      </c>
      <c r="D40" s="106" t="s">
        <v>348</v>
      </c>
      <c r="E40" s="24">
        <v>9632850</v>
      </c>
      <c r="F40" s="24">
        <f t="shared" ref="F40:F58" si="3">+E40/$D$31</f>
        <v>2438.6962025316457</v>
      </c>
    </row>
    <row r="41" spans="1:6" x14ac:dyDescent="0.35">
      <c r="A41">
        <f t="shared" si="2"/>
        <v>9</v>
      </c>
      <c r="B41" s="106" t="s">
        <v>566</v>
      </c>
      <c r="C41" s="106" t="s">
        <v>561</v>
      </c>
      <c r="D41" s="106" t="s">
        <v>347</v>
      </c>
      <c r="E41" s="24">
        <v>7528605</v>
      </c>
      <c r="F41" s="24">
        <f t="shared" si="3"/>
        <v>1905.9759493670886</v>
      </c>
    </row>
    <row r="42" spans="1:6" x14ac:dyDescent="0.35">
      <c r="A42">
        <f t="shared" si="2"/>
        <v>10</v>
      </c>
      <c r="B42" s="106" t="s">
        <v>566</v>
      </c>
      <c r="C42" s="106" t="s">
        <v>561</v>
      </c>
      <c r="D42" s="106" t="s">
        <v>353</v>
      </c>
      <c r="E42" s="24">
        <v>3976121</v>
      </c>
      <c r="F42" s="24">
        <f t="shared" si="3"/>
        <v>1006.6129113924051</v>
      </c>
    </row>
    <row r="43" spans="1:6" x14ac:dyDescent="0.35">
      <c r="A43">
        <f t="shared" si="2"/>
        <v>11</v>
      </c>
      <c r="B43" s="106" t="s">
        <v>566</v>
      </c>
      <c r="C43" s="106" t="s">
        <v>561</v>
      </c>
      <c r="D43" s="106" t="s">
        <v>342</v>
      </c>
      <c r="E43" s="24">
        <v>2279116</v>
      </c>
      <c r="F43" s="24">
        <f t="shared" si="3"/>
        <v>576.99139240506327</v>
      </c>
    </row>
    <row r="44" spans="1:6" x14ac:dyDescent="0.35">
      <c r="A44">
        <f t="shared" si="2"/>
        <v>12</v>
      </c>
      <c r="B44" s="106" t="s">
        <v>566</v>
      </c>
      <c r="C44" s="106" t="s">
        <v>561</v>
      </c>
      <c r="D44" s="106" t="s">
        <v>349</v>
      </c>
      <c r="E44" s="24">
        <v>2060078</v>
      </c>
      <c r="F44" s="24">
        <f t="shared" si="3"/>
        <v>521.53873417721513</v>
      </c>
    </row>
    <row r="45" spans="1:6" x14ac:dyDescent="0.35">
      <c r="A45">
        <f t="shared" si="2"/>
        <v>13</v>
      </c>
      <c r="B45" s="106" t="s">
        <v>566</v>
      </c>
      <c r="C45" s="106" t="s">
        <v>561</v>
      </c>
      <c r="D45" s="106" t="s">
        <v>346</v>
      </c>
      <c r="E45" s="24">
        <v>865166</v>
      </c>
      <c r="F45" s="24">
        <f t="shared" si="3"/>
        <v>219.02936708860759</v>
      </c>
    </row>
    <row r="46" spans="1:6" x14ac:dyDescent="0.35">
      <c r="A46">
        <f t="shared" si="2"/>
        <v>14</v>
      </c>
      <c r="B46" s="106" t="s">
        <v>567</v>
      </c>
      <c r="C46" s="106" t="s">
        <v>559</v>
      </c>
      <c r="D46" s="106" t="s">
        <v>355</v>
      </c>
      <c r="E46" s="24">
        <v>4613574</v>
      </c>
      <c r="F46" s="24">
        <f t="shared" si="3"/>
        <v>1167.9934177215189</v>
      </c>
    </row>
    <row r="47" spans="1:6" x14ac:dyDescent="0.35">
      <c r="A47">
        <f t="shared" si="2"/>
        <v>15</v>
      </c>
      <c r="B47" s="110" t="s">
        <v>567</v>
      </c>
      <c r="C47" s="110" t="s">
        <v>559</v>
      </c>
      <c r="D47" s="110" t="s">
        <v>354</v>
      </c>
      <c r="E47" s="111">
        <v>5212479</v>
      </c>
      <c r="F47" s="111">
        <f t="shared" si="3"/>
        <v>1319.6149367088608</v>
      </c>
    </row>
    <row r="48" spans="1:6" x14ac:dyDescent="0.35">
      <c r="A48">
        <f t="shared" si="2"/>
        <v>16</v>
      </c>
      <c r="B48" s="106" t="s">
        <v>350</v>
      </c>
      <c r="C48" s="106" t="s">
        <v>559</v>
      </c>
      <c r="D48" s="106" t="s">
        <v>351</v>
      </c>
      <c r="E48" s="24">
        <v>1441471</v>
      </c>
      <c r="F48" s="24">
        <f t="shared" si="3"/>
        <v>364.92936708860759</v>
      </c>
    </row>
    <row r="49" spans="1:6" x14ac:dyDescent="0.35">
      <c r="A49">
        <f t="shared" si="2"/>
        <v>17</v>
      </c>
      <c r="B49" s="106" t="s">
        <v>350</v>
      </c>
      <c r="C49" s="106" t="s">
        <v>559</v>
      </c>
      <c r="D49" s="106" t="s">
        <v>572</v>
      </c>
      <c r="E49" s="24">
        <v>1286418</v>
      </c>
      <c r="F49" s="24">
        <f t="shared" si="3"/>
        <v>325.67544303797467</v>
      </c>
    </row>
    <row r="50" spans="1:6" x14ac:dyDescent="0.35">
      <c r="A50">
        <f t="shared" si="2"/>
        <v>18</v>
      </c>
      <c r="B50" s="106" t="s">
        <v>350</v>
      </c>
      <c r="C50" s="106" t="s">
        <v>193</v>
      </c>
      <c r="D50" s="106" t="s">
        <v>341</v>
      </c>
      <c r="E50" s="24">
        <v>972856</v>
      </c>
      <c r="F50" s="24">
        <f t="shared" si="3"/>
        <v>246.29265822784811</v>
      </c>
    </row>
    <row r="51" spans="1:6" x14ac:dyDescent="0.35">
      <c r="A51">
        <f t="shared" si="2"/>
        <v>19</v>
      </c>
      <c r="B51" s="106" t="s">
        <v>350</v>
      </c>
      <c r="C51" s="106" t="s">
        <v>548</v>
      </c>
      <c r="D51" s="106" t="s">
        <v>356</v>
      </c>
      <c r="E51" s="24">
        <v>871194</v>
      </c>
      <c r="F51" s="24">
        <f t="shared" si="3"/>
        <v>220.5554430379747</v>
      </c>
    </row>
    <row r="52" spans="1:6" x14ac:dyDescent="0.35">
      <c r="A52">
        <f t="shared" si="2"/>
        <v>20</v>
      </c>
      <c r="B52" s="106" t="s">
        <v>350</v>
      </c>
      <c r="C52" s="106" t="s">
        <v>547</v>
      </c>
      <c r="D52" s="106" t="s">
        <v>571</v>
      </c>
      <c r="E52" s="24">
        <v>692845</v>
      </c>
      <c r="F52" s="24">
        <f t="shared" si="3"/>
        <v>175.40379746835444</v>
      </c>
    </row>
    <row r="53" spans="1:6" x14ac:dyDescent="0.35">
      <c r="A53">
        <f t="shared" si="2"/>
        <v>21</v>
      </c>
      <c r="B53" s="112" t="s">
        <v>350</v>
      </c>
      <c r="C53" s="112" t="s">
        <v>548</v>
      </c>
      <c r="D53" s="112" t="s">
        <v>343</v>
      </c>
      <c r="E53" s="113">
        <v>626546</v>
      </c>
      <c r="F53" s="113">
        <f t="shared" si="3"/>
        <v>158.61924050632911</v>
      </c>
    </row>
    <row r="54" spans="1:6" x14ac:dyDescent="0.35">
      <c r="A54">
        <f t="shared" si="2"/>
        <v>22</v>
      </c>
      <c r="B54" s="106" t="s">
        <v>350</v>
      </c>
      <c r="C54" s="106" t="s">
        <v>547</v>
      </c>
      <c r="D54" s="106" t="s">
        <v>517</v>
      </c>
      <c r="E54" s="24">
        <v>593843</v>
      </c>
      <c r="F54" s="24">
        <f t="shared" si="3"/>
        <v>150.34</v>
      </c>
    </row>
    <row r="55" spans="1:6" x14ac:dyDescent="0.35">
      <c r="A55">
        <f t="shared" si="2"/>
        <v>23</v>
      </c>
      <c r="B55" s="106" t="s">
        <v>350</v>
      </c>
      <c r="C55" s="106" t="s">
        <v>548</v>
      </c>
      <c r="D55" s="106" t="s">
        <v>568</v>
      </c>
      <c r="E55" s="24">
        <v>429203</v>
      </c>
      <c r="F55" s="24">
        <f t="shared" si="3"/>
        <v>108.65898734177215</v>
      </c>
    </row>
    <row r="56" spans="1:6" x14ac:dyDescent="0.35">
      <c r="A56">
        <f t="shared" si="2"/>
        <v>24</v>
      </c>
      <c r="B56" s="106" t="s">
        <v>350</v>
      </c>
      <c r="C56" s="106" t="s">
        <v>547</v>
      </c>
      <c r="D56" s="106" t="s">
        <v>570</v>
      </c>
      <c r="E56" s="24">
        <v>417583</v>
      </c>
      <c r="F56" s="24">
        <f t="shared" si="3"/>
        <v>105.71721518987341</v>
      </c>
    </row>
    <row r="57" spans="1:6" x14ac:dyDescent="0.35">
      <c r="A57">
        <f t="shared" si="2"/>
        <v>25</v>
      </c>
      <c r="B57" s="106" t="s">
        <v>350</v>
      </c>
      <c r="C57" s="106" t="s">
        <v>548</v>
      </c>
      <c r="D57" s="106" t="s">
        <v>569</v>
      </c>
      <c r="E57" s="24">
        <v>263254</v>
      </c>
      <c r="F57" s="24">
        <f t="shared" si="3"/>
        <v>66.646582278481006</v>
      </c>
    </row>
    <row r="58" spans="1:6" x14ac:dyDescent="0.35">
      <c r="A58">
        <f t="shared" si="2"/>
        <v>26</v>
      </c>
      <c r="B58" s="106" t="s">
        <v>350</v>
      </c>
      <c r="C58" s="106" t="s">
        <v>559</v>
      </c>
      <c r="D58" s="106" t="s">
        <v>573</v>
      </c>
      <c r="E58" s="24">
        <v>623110</v>
      </c>
      <c r="F58" s="24">
        <f t="shared" si="3"/>
        <v>157.74936708860758</v>
      </c>
    </row>
    <row r="59" spans="1:6" x14ac:dyDescent="0.35">
      <c r="B59" s="99"/>
      <c r="C59" s="99"/>
      <c r="D59" s="99" t="s">
        <v>577</v>
      </c>
      <c r="E59" s="109">
        <f>+SUM(E33:E58)</f>
        <v>66280635</v>
      </c>
      <c r="F59" s="109">
        <f>+SUM(F33:F58)</f>
        <v>16779.907594936707</v>
      </c>
    </row>
    <row r="63" spans="1:6" x14ac:dyDescent="0.35">
      <c r="B63" s="32" t="s">
        <v>580</v>
      </c>
      <c r="C63" s="32"/>
      <c r="D63" s="32"/>
      <c r="E63" s="32"/>
      <c r="F63" s="32"/>
    </row>
  </sheetData>
  <sortState xmlns:xlrd2="http://schemas.microsoft.com/office/spreadsheetml/2017/richdata2" ref="B48:F58">
    <sortCondition descending="1" ref="F48:F58"/>
  </sortState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C7B4C-5A95-4A81-81F6-1998A5EFDF7C}">
  <sheetPr>
    <tabColor rgb="FF00B0F0"/>
  </sheetPr>
  <dimension ref="A1:AG93"/>
  <sheetViews>
    <sheetView showGridLines="0" tabSelected="1" zoomScaleNormal="100" workbookViewId="0">
      <pane xSplit="3" ySplit="1" topLeftCell="T2" activePane="bottomRight" state="frozen"/>
      <selection pane="topRight" activeCell="G1" sqref="G1"/>
      <selection pane="bottomLeft" activeCell="A2" sqref="A2"/>
      <selection pane="bottomRight" activeCell="Y85" sqref="Y85"/>
    </sheetView>
  </sheetViews>
  <sheetFormatPr baseColWidth="10" defaultColWidth="10.81640625" defaultRowHeight="14.5" customHeight="1" x14ac:dyDescent="0.35"/>
  <cols>
    <col min="1" max="1" width="1.453125" style="154" customWidth="1"/>
    <col min="2" max="2" width="21.54296875" style="118" customWidth="1"/>
    <col min="3" max="3" width="31.1796875" style="118" customWidth="1"/>
    <col min="4" max="4" width="13.1796875" style="138" bestFit="1" customWidth="1"/>
    <col min="5" max="5" width="16.81640625" style="139" bestFit="1" customWidth="1"/>
    <col min="6" max="6" width="16.26953125" style="139" bestFit="1" customWidth="1"/>
    <col min="7" max="7" width="15.81640625" style="139" bestFit="1" customWidth="1"/>
    <col min="8" max="8" width="10.81640625" style="118"/>
    <col min="9" max="9" width="20.453125" style="118" customWidth="1"/>
    <col min="10" max="10" width="10.81640625" style="141"/>
    <col min="11" max="11" width="16.08984375" style="140" bestFit="1" customWidth="1"/>
    <col min="12" max="23" width="15.54296875" style="140" customWidth="1"/>
    <col min="24" max="24" width="16.08984375" style="140" bestFit="1" customWidth="1"/>
    <col min="25" max="25" width="16" style="118" bestFit="1" customWidth="1"/>
    <col min="26" max="16384" width="10.81640625" style="118"/>
  </cols>
  <sheetData>
    <row r="1" spans="1:33" s="143" customFormat="1" ht="14.5" customHeight="1" x14ac:dyDescent="0.35">
      <c r="A1" s="153"/>
      <c r="B1" s="119" t="s">
        <v>633</v>
      </c>
      <c r="C1" s="119" t="s">
        <v>634</v>
      </c>
      <c r="D1" s="120" t="s">
        <v>205</v>
      </c>
      <c r="E1" s="121" t="s">
        <v>206</v>
      </c>
      <c r="F1" s="121" t="s">
        <v>312</v>
      </c>
      <c r="G1" s="121" t="s">
        <v>313</v>
      </c>
      <c r="H1" s="119" t="s">
        <v>637</v>
      </c>
      <c r="I1" s="119" t="s">
        <v>637</v>
      </c>
      <c r="J1" s="145" t="s">
        <v>200</v>
      </c>
      <c r="K1" s="144" t="s">
        <v>645</v>
      </c>
      <c r="L1" s="144" t="s">
        <v>608</v>
      </c>
      <c r="M1" s="144" t="s">
        <v>211</v>
      </c>
      <c r="N1" s="144" t="s">
        <v>643</v>
      </c>
      <c r="O1" s="144" t="s">
        <v>601</v>
      </c>
      <c r="P1" s="144" t="s">
        <v>213</v>
      </c>
      <c r="Q1" s="144" t="s">
        <v>214</v>
      </c>
      <c r="R1" s="144" t="s">
        <v>644</v>
      </c>
      <c r="S1" s="144" t="s">
        <v>638</v>
      </c>
      <c r="T1" s="144" t="s">
        <v>216</v>
      </c>
      <c r="U1" s="144" t="s">
        <v>195</v>
      </c>
      <c r="V1" s="144" t="s">
        <v>639</v>
      </c>
      <c r="W1" s="144" t="s">
        <v>209</v>
      </c>
      <c r="X1" s="144" t="s">
        <v>369</v>
      </c>
    </row>
    <row r="2" spans="1:33" ht="12" x14ac:dyDescent="0.35">
      <c r="B2" s="122" t="s">
        <v>329</v>
      </c>
      <c r="C2" s="123" t="s">
        <v>511</v>
      </c>
      <c r="D2" s="124">
        <v>70</v>
      </c>
      <c r="E2" s="125">
        <v>60500</v>
      </c>
      <c r="F2" s="126">
        <v>4235000</v>
      </c>
      <c r="G2" s="125">
        <v>352916.66666666669</v>
      </c>
      <c r="H2" s="127" t="s">
        <v>207</v>
      </c>
      <c r="I2" s="127" t="s">
        <v>207</v>
      </c>
      <c r="J2" s="142">
        <v>5.0999999999999997E-2</v>
      </c>
      <c r="K2" s="125">
        <v>4450985</v>
      </c>
      <c r="L2" s="125">
        <v>370915.41666666669</v>
      </c>
      <c r="M2" s="125">
        <v>370915.41666666669</v>
      </c>
      <c r="N2" s="125">
        <v>370915.41666666669</v>
      </c>
      <c r="O2" s="125">
        <v>370915.41666666669</v>
      </c>
      <c r="P2" s="125">
        <v>370915.41666666669</v>
      </c>
      <c r="Q2" s="125">
        <v>370915.41666666669</v>
      </c>
      <c r="R2" s="125">
        <v>370915.41666666669</v>
      </c>
      <c r="S2" s="125">
        <v>370915.41666666669</v>
      </c>
      <c r="T2" s="125">
        <v>370915.41666666669</v>
      </c>
      <c r="U2" s="125">
        <v>370915.41666666669</v>
      </c>
      <c r="V2" s="125">
        <v>370915.41666666669</v>
      </c>
      <c r="W2" s="125">
        <v>370915.41666666669</v>
      </c>
      <c r="X2" s="125">
        <f>+SUM(L2:W2)</f>
        <v>4450984.9999999991</v>
      </c>
    </row>
    <row r="3" spans="1:33" ht="12" x14ac:dyDescent="0.35">
      <c r="B3" s="122" t="s">
        <v>329</v>
      </c>
      <c r="C3" s="123" t="s">
        <v>512</v>
      </c>
      <c r="D3" s="124">
        <v>64</v>
      </c>
      <c r="E3" s="125">
        <v>34472</v>
      </c>
      <c r="F3" s="126">
        <v>2206208</v>
      </c>
      <c r="G3" s="125">
        <v>183850.66666666666</v>
      </c>
      <c r="H3" s="127" t="s">
        <v>207</v>
      </c>
      <c r="I3" s="127" t="s">
        <v>207</v>
      </c>
      <c r="J3" s="142">
        <v>5.1000000000000004E-2</v>
      </c>
      <c r="K3" s="125">
        <v>2318724.608</v>
      </c>
      <c r="L3" s="125">
        <v>193227.05066666665</v>
      </c>
      <c r="M3" s="125">
        <v>193227.05066666665</v>
      </c>
      <c r="N3" s="125">
        <v>193227.05066666665</v>
      </c>
      <c r="O3" s="125">
        <v>193227.05066666665</v>
      </c>
      <c r="P3" s="125">
        <v>193227.05066666665</v>
      </c>
      <c r="Q3" s="125">
        <v>193227.05066666665</v>
      </c>
      <c r="R3" s="125">
        <v>193227.05066666665</v>
      </c>
      <c r="S3" s="125">
        <v>193227.05066666665</v>
      </c>
      <c r="T3" s="125">
        <v>193227.05066666665</v>
      </c>
      <c r="U3" s="125">
        <v>193227.05066666665</v>
      </c>
      <c r="V3" s="125">
        <v>193227.05066666665</v>
      </c>
      <c r="W3" s="125">
        <v>193227.05066666665</v>
      </c>
      <c r="X3" s="125">
        <f t="shared" ref="X3:X27" si="0">+SUM(L3:W3)</f>
        <v>2318724.6079999995</v>
      </c>
    </row>
    <row r="4" spans="1:33" ht="12" x14ac:dyDescent="0.35">
      <c r="B4" s="122" t="s">
        <v>329</v>
      </c>
      <c r="C4" s="123" t="s">
        <v>513</v>
      </c>
      <c r="D4" s="124">
        <v>64</v>
      </c>
      <c r="E4" s="125">
        <v>65000</v>
      </c>
      <c r="F4" s="126">
        <v>4160000</v>
      </c>
      <c r="G4" s="125">
        <v>346666.66666666669</v>
      </c>
      <c r="H4" s="127" t="s">
        <v>207</v>
      </c>
      <c r="I4" s="127" t="s">
        <v>207</v>
      </c>
      <c r="J4" s="142">
        <v>5.0999999999999997E-2</v>
      </c>
      <c r="K4" s="125">
        <v>4372160</v>
      </c>
      <c r="L4" s="125">
        <v>364346.66666666669</v>
      </c>
      <c r="M4" s="125">
        <v>364346.66666666669</v>
      </c>
      <c r="N4" s="125">
        <v>364346.66666666669</v>
      </c>
      <c r="O4" s="125">
        <v>364346.66666666669</v>
      </c>
      <c r="P4" s="125">
        <v>364346.66666666669</v>
      </c>
      <c r="Q4" s="125">
        <v>364346.66666666669</v>
      </c>
      <c r="R4" s="125">
        <v>364346.66666666669</v>
      </c>
      <c r="S4" s="125">
        <v>364346.66666666669</v>
      </c>
      <c r="T4" s="125">
        <v>364346.66666666669</v>
      </c>
      <c r="U4" s="125">
        <v>364346.66666666669</v>
      </c>
      <c r="V4" s="125">
        <v>364346.66666666669</v>
      </c>
      <c r="W4" s="125">
        <v>364346.66666666669</v>
      </c>
      <c r="X4" s="125">
        <f t="shared" si="0"/>
        <v>4372159.9999999991</v>
      </c>
    </row>
    <row r="5" spans="1:33" ht="12" x14ac:dyDescent="0.35">
      <c r="B5" s="122" t="s">
        <v>329</v>
      </c>
      <c r="C5" s="123" t="s">
        <v>514</v>
      </c>
      <c r="D5" s="124">
        <v>30</v>
      </c>
      <c r="E5" s="125">
        <v>60500</v>
      </c>
      <c r="F5" s="126">
        <v>1815000</v>
      </c>
      <c r="G5" s="125">
        <v>151250</v>
      </c>
      <c r="H5" s="127" t="s">
        <v>207</v>
      </c>
      <c r="I5" s="127" t="s">
        <v>207</v>
      </c>
      <c r="J5" s="142">
        <v>5.0999999999999872E-2</v>
      </c>
      <c r="K5" s="125">
        <v>1907564.9999999998</v>
      </c>
      <c r="L5" s="125">
        <v>158963.75</v>
      </c>
      <c r="M5" s="125">
        <v>158963.75</v>
      </c>
      <c r="N5" s="125">
        <v>158963.75</v>
      </c>
      <c r="O5" s="125">
        <v>158963.75</v>
      </c>
      <c r="P5" s="125">
        <v>158963.75</v>
      </c>
      <c r="Q5" s="125">
        <v>158963.75</v>
      </c>
      <c r="R5" s="125">
        <v>158963.75</v>
      </c>
      <c r="S5" s="125">
        <v>158963.75</v>
      </c>
      <c r="T5" s="125">
        <v>158963.75</v>
      </c>
      <c r="U5" s="125">
        <v>158963.75</v>
      </c>
      <c r="V5" s="125">
        <v>158963.75</v>
      </c>
      <c r="W5" s="125">
        <v>158963.75</v>
      </c>
      <c r="X5" s="125">
        <f t="shared" si="0"/>
        <v>1907565</v>
      </c>
    </row>
    <row r="6" spans="1:33" ht="12" x14ac:dyDescent="0.35">
      <c r="B6" s="122" t="s">
        <v>329</v>
      </c>
      <c r="C6" s="123" t="s">
        <v>515</v>
      </c>
      <c r="D6" s="124">
        <v>8</v>
      </c>
      <c r="E6" s="125">
        <v>80040</v>
      </c>
      <c r="F6" s="126">
        <v>640320</v>
      </c>
      <c r="G6" s="125">
        <v>53360</v>
      </c>
      <c r="H6" s="127" t="s">
        <v>616</v>
      </c>
      <c r="I6" s="127" t="s">
        <v>631</v>
      </c>
      <c r="J6" s="142">
        <v>5.099999999999992E-2</v>
      </c>
      <c r="K6" s="125">
        <v>672976.32</v>
      </c>
      <c r="L6" s="125">
        <v>56081.359999999993</v>
      </c>
      <c r="M6" s="125">
        <v>56081.359999999993</v>
      </c>
      <c r="N6" s="125">
        <v>56081.359999999993</v>
      </c>
      <c r="O6" s="125">
        <v>56081.359999999993</v>
      </c>
      <c r="P6" s="125">
        <v>56081.359999999993</v>
      </c>
      <c r="Q6" s="125">
        <v>56081.359999999993</v>
      </c>
      <c r="R6" s="125">
        <v>56081.359999999993</v>
      </c>
      <c r="S6" s="125">
        <v>56081.359999999993</v>
      </c>
      <c r="T6" s="125">
        <v>56081.359999999993</v>
      </c>
      <c r="U6" s="125">
        <v>56081.359999999993</v>
      </c>
      <c r="V6" s="125">
        <v>56081.359999999993</v>
      </c>
      <c r="W6" s="125">
        <v>56081.359999999993</v>
      </c>
      <c r="X6" s="125">
        <f t="shared" si="0"/>
        <v>672976.32</v>
      </c>
    </row>
    <row r="7" spans="1:33" ht="12" x14ac:dyDescent="0.35">
      <c r="B7" s="122" t="s">
        <v>329</v>
      </c>
      <c r="C7" s="123" t="s">
        <v>330</v>
      </c>
      <c r="D7" s="124">
        <v>7</v>
      </c>
      <c r="E7" s="125">
        <v>90000</v>
      </c>
      <c r="F7" s="126">
        <v>630000</v>
      </c>
      <c r="G7" s="125">
        <v>52500</v>
      </c>
      <c r="H7" s="127" t="s">
        <v>525</v>
      </c>
      <c r="I7" s="127" t="s">
        <v>638</v>
      </c>
      <c r="J7" s="142">
        <v>5.0999999999999997E-2</v>
      </c>
      <c r="K7" s="125">
        <v>662130</v>
      </c>
      <c r="L7" s="125"/>
      <c r="M7" s="125"/>
      <c r="N7" s="125"/>
      <c r="O7" s="125"/>
      <c r="P7" s="125"/>
      <c r="Q7" s="125"/>
      <c r="R7" s="125"/>
      <c r="S7" s="125">
        <v>662130</v>
      </c>
      <c r="T7" s="125"/>
      <c r="U7" s="125"/>
      <c r="V7" s="125"/>
      <c r="W7" s="125"/>
      <c r="X7" s="125">
        <f t="shared" si="0"/>
        <v>662130</v>
      </c>
    </row>
    <row r="8" spans="1:33" ht="12" x14ac:dyDescent="0.35">
      <c r="B8" s="122" t="s">
        <v>329</v>
      </c>
      <c r="C8" s="123" t="s">
        <v>516</v>
      </c>
      <c r="D8" s="124">
        <v>16</v>
      </c>
      <c r="E8" s="128">
        <v>232050</v>
      </c>
      <c r="F8" s="126">
        <v>3712800</v>
      </c>
      <c r="G8" s="125">
        <v>309400</v>
      </c>
      <c r="H8" s="127" t="s">
        <v>525</v>
      </c>
      <c r="I8" s="127" t="s">
        <v>638</v>
      </c>
      <c r="J8" s="142">
        <v>5.0999999999999948E-2</v>
      </c>
      <c r="K8" s="125">
        <v>3902152.8</v>
      </c>
      <c r="L8" s="125"/>
      <c r="M8" s="125"/>
      <c r="N8" s="125"/>
      <c r="O8" s="125"/>
      <c r="P8" s="125"/>
      <c r="Q8" s="125"/>
      <c r="R8" s="125"/>
      <c r="S8" s="125">
        <v>3902152.8</v>
      </c>
      <c r="T8" s="125"/>
      <c r="U8" s="125"/>
      <c r="V8" s="125"/>
      <c r="W8" s="125"/>
      <c r="X8" s="125">
        <f t="shared" si="0"/>
        <v>3902152.8</v>
      </c>
    </row>
    <row r="9" spans="1:33" ht="24" x14ac:dyDescent="0.35">
      <c r="B9" s="122" t="s">
        <v>329</v>
      </c>
      <c r="C9" s="123" t="s">
        <v>611</v>
      </c>
      <c r="D9" s="124">
        <v>1</v>
      </c>
      <c r="E9" s="125">
        <v>480000</v>
      </c>
      <c r="F9" s="126">
        <v>480000</v>
      </c>
      <c r="G9" s="125">
        <v>40000</v>
      </c>
      <c r="H9" s="127" t="s">
        <v>525</v>
      </c>
      <c r="I9" s="127" t="s">
        <v>639</v>
      </c>
      <c r="J9" s="142">
        <v>5.0999999999999879E-2</v>
      </c>
      <c r="K9" s="125">
        <v>504479.99999999994</v>
      </c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>
        <v>504479.99999999994</v>
      </c>
      <c r="W9" s="125"/>
      <c r="X9" s="125">
        <f t="shared" si="0"/>
        <v>504479.99999999994</v>
      </c>
    </row>
    <row r="10" spans="1:33" ht="24" x14ac:dyDescent="0.35">
      <c r="B10" s="122" t="s">
        <v>329</v>
      </c>
      <c r="C10" s="123" t="s">
        <v>617</v>
      </c>
      <c r="D10" s="124">
        <v>20</v>
      </c>
      <c r="E10" s="125">
        <v>96985</v>
      </c>
      <c r="F10" s="126">
        <v>1939700</v>
      </c>
      <c r="G10" s="125">
        <v>161641.66666666666</v>
      </c>
      <c r="H10" s="127" t="s">
        <v>525</v>
      </c>
      <c r="I10" s="127" t="s">
        <v>212</v>
      </c>
      <c r="J10" s="142">
        <v>5.0999999999999976E-2</v>
      </c>
      <c r="K10" s="125">
        <v>2038624.7</v>
      </c>
      <c r="L10" s="125"/>
      <c r="M10" s="125"/>
      <c r="N10" s="125">
        <v>2038624.7</v>
      </c>
      <c r="O10" s="125"/>
      <c r="P10" s="125"/>
      <c r="Q10" s="125"/>
      <c r="R10" s="125"/>
      <c r="S10" s="125"/>
      <c r="T10" s="125"/>
      <c r="U10" s="125"/>
      <c r="V10" s="125"/>
      <c r="W10" s="125"/>
      <c r="X10" s="125">
        <f t="shared" si="0"/>
        <v>2038624.7</v>
      </c>
    </row>
    <row r="11" spans="1:33" ht="24" x14ac:dyDescent="0.35">
      <c r="B11" s="122" t="s">
        <v>329</v>
      </c>
      <c r="C11" s="123" t="s">
        <v>618</v>
      </c>
      <c r="D11" s="124">
        <v>20</v>
      </c>
      <c r="E11" s="128">
        <v>395000</v>
      </c>
      <c r="F11" s="126">
        <v>7900000</v>
      </c>
      <c r="G11" s="125">
        <v>658333.33333333337</v>
      </c>
      <c r="H11" s="127" t="s">
        <v>207</v>
      </c>
      <c r="I11" s="127" t="s">
        <v>207</v>
      </c>
      <c r="J11" s="142">
        <v>5.0999999999999879E-2</v>
      </c>
      <c r="K11" s="125">
        <v>8302899.9999999991</v>
      </c>
      <c r="L11" s="125">
        <v>691908.33333333337</v>
      </c>
      <c r="M11" s="125">
        <v>691908.33333333337</v>
      </c>
      <c r="N11" s="125">
        <v>691908.33333333337</v>
      </c>
      <c r="O11" s="125">
        <v>691908.33333333337</v>
      </c>
      <c r="P11" s="125">
        <v>691908.33333333337</v>
      </c>
      <c r="Q11" s="125">
        <v>691908.33333333337</v>
      </c>
      <c r="R11" s="125">
        <v>691908.33333333337</v>
      </c>
      <c r="S11" s="125">
        <v>691908.33333333337</v>
      </c>
      <c r="T11" s="125">
        <v>691908.33333333337</v>
      </c>
      <c r="U11" s="125">
        <v>691908.33333333337</v>
      </c>
      <c r="V11" s="125">
        <v>691908.33333333337</v>
      </c>
      <c r="W11" s="125">
        <v>691908.33333333337</v>
      </c>
      <c r="X11" s="125">
        <f t="shared" si="0"/>
        <v>8302899.9999999991</v>
      </c>
    </row>
    <row r="12" spans="1:33" ht="12" x14ac:dyDescent="0.35">
      <c r="B12" s="122" t="s">
        <v>329</v>
      </c>
      <c r="C12" s="123" t="s">
        <v>532</v>
      </c>
      <c r="D12" s="124">
        <v>10</v>
      </c>
      <c r="E12" s="125">
        <v>90000</v>
      </c>
      <c r="F12" s="126">
        <v>900000</v>
      </c>
      <c r="G12" s="125">
        <v>75000</v>
      </c>
      <c r="H12" s="127" t="s">
        <v>526</v>
      </c>
      <c r="I12" s="127" t="s">
        <v>640</v>
      </c>
      <c r="J12" s="142">
        <v>5.0999999999999872E-2</v>
      </c>
      <c r="K12" s="125">
        <v>945899.99999999988</v>
      </c>
      <c r="L12" s="125"/>
      <c r="M12" s="125">
        <v>472949.99999999994</v>
      </c>
      <c r="N12" s="125"/>
      <c r="O12" s="125"/>
      <c r="P12" s="125"/>
      <c r="Q12" s="125"/>
      <c r="R12" s="125"/>
      <c r="S12" s="125">
        <v>472949.99999999994</v>
      </c>
      <c r="T12" s="125"/>
      <c r="U12" s="125"/>
      <c r="V12" s="125"/>
      <c r="W12" s="125"/>
      <c r="X12" s="125">
        <f t="shared" si="0"/>
        <v>945899.99999999988</v>
      </c>
    </row>
    <row r="13" spans="1:33" ht="24" x14ac:dyDescent="0.35">
      <c r="B13" s="122" t="s">
        <v>329</v>
      </c>
      <c r="C13" s="123" t="s">
        <v>629</v>
      </c>
      <c r="D13" s="124">
        <v>20</v>
      </c>
      <c r="E13" s="128">
        <v>135085.71428571429</v>
      </c>
      <c r="F13" s="126">
        <v>2701714.2857142859</v>
      </c>
      <c r="G13" s="125">
        <v>225142.85714285716</v>
      </c>
      <c r="H13" s="127" t="s">
        <v>526</v>
      </c>
      <c r="I13" s="127" t="s">
        <v>640</v>
      </c>
      <c r="J13" s="142">
        <v>5.0999999999999851E-2</v>
      </c>
      <c r="K13" s="125">
        <v>2839501.7142857141</v>
      </c>
      <c r="L13" s="125"/>
      <c r="M13" s="125">
        <v>1419750.857142857</v>
      </c>
      <c r="N13" s="125"/>
      <c r="O13" s="125"/>
      <c r="P13" s="125"/>
      <c r="Q13" s="125"/>
      <c r="R13" s="125"/>
      <c r="S13" s="125">
        <v>1419750.857142857</v>
      </c>
      <c r="T13" s="125"/>
      <c r="U13" s="125"/>
      <c r="V13" s="125"/>
      <c r="W13" s="125"/>
      <c r="X13" s="125">
        <f t="shared" si="0"/>
        <v>2839501.7142857141</v>
      </c>
    </row>
    <row r="14" spans="1:33" ht="24" x14ac:dyDescent="0.35">
      <c r="B14" s="122" t="s">
        <v>329</v>
      </c>
      <c r="C14" s="123" t="s">
        <v>630</v>
      </c>
      <c r="D14" s="124">
        <v>20</v>
      </c>
      <c r="E14" s="125">
        <v>145775</v>
      </c>
      <c r="F14" s="126">
        <v>2915500</v>
      </c>
      <c r="G14" s="125">
        <v>242958.33333333334</v>
      </c>
      <c r="H14" s="127" t="s">
        <v>526</v>
      </c>
      <c r="I14" s="127" t="s">
        <v>640</v>
      </c>
      <c r="J14" s="142">
        <v>5.0999999999999997E-2</v>
      </c>
      <c r="K14" s="125">
        <v>3064190.5</v>
      </c>
      <c r="L14" s="125"/>
      <c r="M14" s="125">
        <v>1532095.25</v>
      </c>
      <c r="N14" s="125"/>
      <c r="O14" s="125"/>
      <c r="P14" s="125"/>
      <c r="Q14" s="125"/>
      <c r="R14" s="125"/>
      <c r="S14" s="125">
        <v>1532095.25</v>
      </c>
      <c r="T14" s="125"/>
      <c r="U14" s="125"/>
      <c r="V14" s="125"/>
      <c r="W14" s="125"/>
      <c r="X14" s="125">
        <f t="shared" si="0"/>
        <v>3064190.5</v>
      </c>
    </row>
    <row r="15" spans="1:33" ht="24" x14ac:dyDescent="0.35">
      <c r="B15" s="122" t="s">
        <v>329</v>
      </c>
      <c r="C15" s="123" t="s">
        <v>619</v>
      </c>
      <c r="D15" s="124">
        <v>94</v>
      </c>
      <c r="E15" s="125">
        <v>300000</v>
      </c>
      <c r="F15" s="126">
        <v>28200000</v>
      </c>
      <c r="G15" s="125">
        <v>2350000</v>
      </c>
      <c r="H15" s="127" t="s">
        <v>526</v>
      </c>
      <c r="I15" s="127" t="s">
        <v>641</v>
      </c>
      <c r="J15" s="142">
        <v>5.0999999999999997E-2</v>
      </c>
      <c r="K15" s="125">
        <v>29638200</v>
      </c>
      <c r="L15" s="125"/>
      <c r="M15" s="125">
        <v>14819100</v>
      </c>
      <c r="N15" s="125"/>
      <c r="O15" s="125"/>
      <c r="P15" s="125"/>
      <c r="Q15" s="125"/>
      <c r="R15" s="125"/>
      <c r="S15" s="125">
        <v>14819100</v>
      </c>
      <c r="T15" s="125"/>
      <c r="U15" s="125"/>
      <c r="V15" s="125"/>
      <c r="W15" s="125"/>
      <c r="X15" s="125">
        <f t="shared" si="0"/>
        <v>29638200</v>
      </c>
    </row>
    <row r="16" spans="1:33" s="140" customFormat="1" ht="12" x14ac:dyDescent="0.35">
      <c r="A16" s="154"/>
      <c r="B16" s="122" t="s">
        <v>329</v>
      </c>
      <c r="C16" s="123" t="s">
        <v>614</v>
      </c>
      <c r="D16" s="124">
        <v>12</v>
      </c>
      <c r="E16" s="125">
        <v>3570000</v>
      </c>
      <c r="F16" s="126">
        <v>42840000</v>
      </c>
      <c r="G16" s="125">
        <v>3570000</v>
      </c>
      <c r="H16" s="129" t="s">
        <v>207</v>
      </c>
      <c r="I16" s="129" t="s">
        <v>207</v>
      </c>
      <c r="J16" s="142">
        <v>5.0999999999999997E-2</v>
      </c>
      <c r="K16" s="125">
        <v>45024840</v>
      </c>
      <c r="L16" s="125">
        <v>3752069.9999999995</v>
      </c>
      <c r="M16" s="125">
        <v>3752069.9999999995</v>
      </c>
      <c r="N16" s="125">
        <v>3752069.9999999995</v>
      </c>
      <c r="O16" s="125">
        <v>3752069.9999999995</v>
      </c>
      <c r="P16" s="125">
        <v>3752069.9999999995</v>
      </c>
      <c r="Q16" s="125">
        <v>3752069.9999999995</v>
      </c>
      <c r="R16" s="125">
        <v>3752069.9999999995</v>
      </c>
      <c r="S16" s="125">
        <v>3752069.9999999995</v>
      </c>
      <c r="T16" s="125">
        <v>3752069.9999999995</v>
      </c>
      <c r="U16" s="125">
        <v>3752069.9999999995</v>
      </c>
      <c r="V16" s="125">
        <v>3752069.9999999995</v>
      </c>
      <c r="W16" s="125">
        <v>3752069.9999999995</v>
      </c>
      <c r="X16" s="125">
        <f t="shared" si="0"/>
        <v>45024839.999999993</v>
      </c>
      <c r="Y16" s="182"/>
      <c r="Z16" s="182"/>
      <c r="AA16" s="182"/>
      <c r="AB16" s="182"/>
      <c r="AC16" s="182"/>
      <c r="AD16" s="182"/>
      <c r="AE16" s="182"/>
      <c r="AF16" s="182"/>
      <c r="AG16" s="182"/>
    </row>
    <row r="17" spans="1:33" ht="12" x14ac:dyDescent="0.35">
      <c r="B17" s="122" t="s">
        <v>329</v>
      </c>
      <c r="C17" s="123" t="s">
        <v>587</v>
      </c>
      <c r="D17" s="124">
        <v>64</v>
      </c>
      <c r="E17" s="125">
        <v>141120</v>
      </c>
      <c r="F17" s="126">
        <v>9031680</v>
      </c>
      <c r="G17" s="125">
        <v>752640</v>
      </c>
      <c r="H17" s="127" t="s">
        <v>207</v>
      </c>
      <c r="I17" s="127" t="s">
        <v>207</v>
      </c>
      <c r="J17" s="142">
        <v>5.0999999999999969E-2</v>
      </c>
      <c r="K17" s="125">
        <v>9492295.6799999997</v>
      </c>
      <c r="L17" s="125">
        <v>791024.6399999999</v>
      </c>
      <c r="M17" s="125">
        <v>791024.6399999999</v>
      </c>
      <c r="N17" s="125">
        <v>791024.6399999999</v>
      </c>
      <c r="O17" s="125">
        <v>791024.6399999999</v>
      </c>
      <c r="P17" s="125">
        <v>791024.6399999999</v>
      </c>
      <c r="Q17" s="125">
        <v>791024.6399999999</v>
      </c>
      <c r="R17" s="125">
        <v>791024.6399999999</v>
      </c>
      <c r="S17" s="125">
        <v>791024.6399999999</v>
      </c>
      <c r="T17" s="125">
        <v>791024.6399999999</v>
      </c>
      <c r="U17" s="125">
        <v>791024.6399999999</v>
      </c>
      <c r="V17" s="125">
        <v>791024.6399999999</v>
      </c>
      <c r="W17" s="125">
        <v>791024.6399999999</v>
      </c>
      <c r="X17" s="125">
        <f t="shared" si="0"/>
        <v>9492295.6799999978</v>
      </c>
    </row>
    <row r="18" spans="1:33" ht="48" x14ac:dyDescent="0.35">
      <c r="B18" s="122" t="s">
        <v>329</v>
      </c>
      <c r="C18" s="123" t="s">
        <v>522</v>
      </c>
      <c r="D18" s="124">
        <v>100</v>
      </c>
      <c r="E18" s="125">
        <v>25000</v>
      </c>
      <c r="F18" s="126">
        <v>2500000</v>
      </c>
      <c r="G18" s="125">
        <v>208333.33333333334</v>
      </c>
      <c r="H18" s="127" t="s">
        <v>525</v>
      </c>
      <c r="I18" s="127" t="s">
        <v>638</v>
      </c>
      <c r="J18" s="142">
        <v>5.0999999999999997E-2</v>
      </c>
      <c r="K18" s="125">
        <v>2627500</v>
      </c>
      <c r="L18" s="125"/>
      <c r="M18" s="125"/>
      <c r="N18" s="125"/>
      <c r="O18" s="125"/>
      <c r="P18" s="125"/>
      <c r="Q18" s="125"/>
      <c r="R18" s="125"/>
      <c r="S18" s="125">
        <v>2627500</v>
      </c>
      <c r="T18" s="125"/>
      <c r="U18" s="125"/>
      <c r="V18" s="125"/>
      <c r="W18" s="125"/>
      <c r="X18" s="125">
        <f t="shared" si="0"/>
        <v>2627500</v>
      </c>
    </row>
    <row r="19" spans="1:33" ht="12" x14ac:dyDescent="0.35">
      <c r="B19" s="122" t="s">
        <v>329</v>
      </c>
      <c r="C19" s="123" t="s">
        <v>613</v>
      </c>
      <c r="D19" s="124">
        <v>12</v>
      </c>
      <c r="E19" s="125">
        <v>736000</v>
      </c>
      <c r="F19" s="126">
        <v>8832000</v>
      </c>
      <c r="G19" s="125">
        <v>736000</v>
      </c>
      <c r="H19" s="127" t="s">
        <v>207</v>
      </c>
      <c r="I19" s="127" t="s">
        <v>207</v>
      </c>
      <c r="J19" s="142">
        <v>5.0999999999999997E-2</v>
      </c>
      <c r="K19" s="125">
        <v>9282432</v>
      </c>
      <c r="L19" s="125">
        <v>773536</v>
      </c>
      <c r="M19" s="125">
        <v>773536</v>
      </c>
      <c r="N19" s="125">
        <v>773536</v>
      </c>
      <c r="O19" s="125">
        <v>773536</v>
      </c>
      <c r="P19" s="125">
        <v>773536</v>
      </c>
      <c r="Q19" s="125">
        <v>773536</v>
      </c>
      <c r="R19" s="125">
        <v>773536</v>
      </c>
      <c r="S19" s="125">
        <v>773536</v>
      </c>
      <c r="T19" s="125">
        <v>773536</v>
      </c>
      <c r="U19" s="125">
        <v>773536</v>
      </c>
      <c r="V19" s="125">
        <v>773536</v>
      </c>
      <c r="W19" s="125">
        <v>773536</v>
      </c>
      <c r="X19" s="125">
        <f t="shared" si="0"/>
        <v>9282432</v>
      </c>
    </row>
    <row r="20" spans="1:33" s="155" customFormat="1" ht="14.5" customHeight="1" x14ac:dyDescent="0.35">
      <c r="B20" s="156" t="s">
        <v>635</v>
      </c>
      <c r="C20" s="157"/>
      <c r="D20" s="158"/>
      <c r="E20" s="159"/>
      <c r="F20" s="159">
        <v>116807922.28571428</v>
      </c>
      <c r="G20" s="159">
        <v>9733993.5238095243</v>
      </c>
      <c r="H20" s="160"/>
      <c r="I20" s="160"/>
      <c r="J20" s="161">
        <v>5.0999999999999997E-2</v>
      </c>
      <c r="K20" s="159">
        <v>122765126.32228571</v>
      </c>
      <c r="L20" s="159">
        <v>6378537.2173333326</v>
      </c>
      <c r="M20" s="159">
        <v>24622433.32447619</v>
      </c>
      <c r="N20" s="159">
        <v>8417161.9173333328</v>
      </c>
      <c r="O20" s="159">
        <v>6378537.2173333326</v>
      </c>
      <c r="P20" s="159">
        <v>6378537.2173333326</v>
      </c>
      <c r="Q20" s="159">
        <v>6378537.2173333326</v>
      </c>
      <c r="R20" s="159">
        <v>6378537.2173333326</v>
      </c>
      <c r="S20" s="159">
        <v>31814216.124476191</v>
      </c>
      <c r="T20" s="159">
        <v>6378537.2173333326</v>
      </c>
      <c r="U20" s="159">
        <v>6378537.2173333326</v>
      </c>
      <c r="V20" s="159">
        <v>6883017.2173333326</v>
      </c>
      <c r="W20" s="159">
        <v>6378537.2173333326</v>
      </c>
      <c r="X20" s="159">
        <f>+SUM(X2:X19)</f>
        <v>132047558.3222857</v>
      </c>
      <c r="Y20" s="118"/>
      <c r="Z20" s="118"/>
      <c r="AA20" s="118"/>
      <c r="AB20" s="118"/>
      <c r="AC20" s="118"/>
      <c r="AD20" s="118"/>
      <c r="AE20" s="118"/>
      <c r="AF20" s="118"/>
      <c r="AG20" s="118"/>
    </row>
    <row r="21" spans="1:33" s="140" customFormat="1" ht="12" x14ac:dyDescent="0.35">
      <c r="A21" s="154"/>
      <c r="B21" s="130" t="s">
        <v>593</v>
      </c>
      <c r="C21" s="130" t="s">
        <v>584</v>
      </c>
      <c r="D21" s="124">
        <v>30</v>
      </c>
      <c r="E21" s="125">
        <v>140000</v>
      </c>
      <c r="F21" s="125">
        <v>4200000</v>
      </c>
      <c r="G21" s="125">
        <v>350000</v>
      </c>
      <c r="H21" s="129" t="s">
        <v>207</v>
      </c>
      <c r="I21" s="129" t="s">
        <v>207</v>
      </c>
      <c r="J21" s="142">
        <v>5.0999999999999997E-2</v>
      </c>
      <c r="K21" s="125">
        <v>4414200</v>
      </c>
      <c r="L21" s="125">
        <v>367850</v>
      </c>
      <c r="M21" s="125">
        <v>367850</v>
      </c>
      <c r="N21" s="125">
        <v>367850</v>
      </c>
      <c r="O21" s="125">
        <v>367850</v>
      </c>
      <c r="P21" s="125">
        <v>367850</v>
      </c>
      <c r="Q21" s="125">
        <v>367850</v>
      </c>
      <c r="R21" s="125">
        <v>367850</v>
      </c>
      <c r="S21" s="125">
        <v>367850</v>
      </c>
      <c r="T21" s="125">
        <v>367850</v>
      </c>
      <c r="U21" s="125">
        <v>367850</v>
      </c>
      <c r="V21" s="125">
        <v>367850</v>
      </c>
      <c r="W21" s="125">
        <v>367850</v>
      </c>
      <c r="X21" s="125">
        <f t="shared" si="0"/>
        <v>4414200</v>
      </c>
      <c r="Y21" s="182"/>
      <c r="Z21" s="182"/>
      <c r="AA21" s="182"/>
      <c r="AB21" s="182"/>
      <c r="AC21" s="182"/>
      <c r="AD21" s="182"/>
      <c r="AE21" s="182"/>
      <c r="AF21" s="182"/>
      <c r="AG21" s="182"/>
    </row>
    <row r="22" spans="1:33" s="140" customFormat="1" ht="12" x14ac:dyDescent="0.35">
      <c r="A22" s="154"/>
      <c r="B22" s="130" t="s">
        <v>593</v>
      </c>
      <c r="C22" s="130" t="s">
        <v>585</v>
      </c>
      <c r="D22" s="124">
        <v>30</v>
      </c>
      <c r="E22" s="125">
        <v>90000</v>
      </c>
      <c r="F22" s="125">
        <v>2700000</v>
      </c>
      <c r="G22" s="125">
        <v>225000</v>
      </c>
      <c r="H22" s="129" t="s">
        <v>207</v>
      </c>
      <c r="I22" s="129" t="s">
        <v>207</v>
      </c>
      <c r="J22" s="142">
        <v>5.0999999999999997E-2</v>
      </c>
      <c r="K22" s="125">
        <v>2837700</v>
      </c>
      <c r="L22" s="125">
        <v>236474.99999999997</v>
      </c>
      <c r="M22" s="125">
        <v>236474.99999999997</v>
      </c>
      <c r="N22" s="125">
        <v>236474.99999999997</v>
      </c>
      <c r="O22" s="125">
        <v>236474.99999999997</v>
      </c>
      <c r="P22" s="125">
        <v>236474.99999999997</v>
      </c>
      <c r="Q22" s="125">
        <v>236474.99999999997</v>
      </c>
      <c r="R22" s="125">
        <v>236474.99999999997</v>
      </c>
      <c r="S22" s="125">
        <v>236474.99999999997</v>
      </c>
      <c r="T22" s="125">
        <v>236474.99999999997</v>
      </c>
      <c r="U22" s="125">
        <v>236474.99999999997</v>
      </c>
      <c r="V22" s="125">
        <v>236474.99999999997</v>
      </c>
      <c r="W22" s="125">
        <v>236474.99999999997</v>
      </c>
      <c r="X22" s="125">
        <f t="shared" si="0"/>
        <v>2837699.9999999995</v>
      </c>
      <c r="Y22" s="182"/>
      <c r="Z22" s="182"/>
      <c r="AA22" s="182"/>
      <c r="AB22" s="182"/>
      <c r="AC22" s="182"/>
      <c r="AD22" s="182"/>
      <c r="AE22" s="182"/>
      <c r="AF22" s="182"/>
      <c r="AG22" s="182"/>
    </row>
    <row r="23" spans="1:33" s="140" customFormat="1" ht="12" x14ac:dyDescent="0.35">
      <c r="A23" s="154"/>
      <c r="B23" s="130" t="s">
        <v>593</v>
      </c>
      <c r="C23" s="130" t="s">
        <v>586</v>
      </c>
      <c r="D23" s="124">
        <v>30</v>
      </c>
      <c r="E23" s="125">
        <v>39500</v>
      </c>
      <c r="F23" s="125">
        <v>1185000</v>
      </c>
      <c r="G23" s="125">
        <v>98750</v>
      </c>
      <c r="H23" s="129" t="s">
        <v>207</v>
      </c>
      <c r="I23" s="129" t="s">
        <v>207</v>
      </c>
      <c r="J23" s="142">
        <v>5.0999999999999997E-2</v>
      </c>
      <c r="K23" s="125">
        <v>1245435</v>
      </c>
      <c r="L23" s="125">
        <v>103786.25</v>
      </c>
      <c r="M23" s="125">
        <v>103786.25</v>
      </c>
      <c r="N23" s="125">
        <v>103786.25</v>
      </c>
      <c r="O23" s="125">
        <v>103786.25</v>
      </c>
      <c r="P23" s="125">
        <v>103786.25</v>
      </c>
      <c r="Q23" s="125">
        <v>103786.25</v>
      </c>
      <c r="R23" s="125">
        <v>103786.25</v>
      </c>
      <c r="S23" s="125">
        <v>103786.25</v>
      </c>
      <c r="T23" s="125">
        <v>103786.25</v>
      </c>
      <c r="U23" s="125">
        <v>103786.25</v>
      </c>
      <c r="V23" s="125">
        <v>103786.25</v>
      </c>
      <c r="W23" s="125">
        <v>103786.25</v>
      </c>
      <c r="X23" s="125">
        <f t="shared" si="0"/>
        <v>1245435</v>
      </c>
      <c r="Y23" s="182"/>
      <c r="Z23" s="182"/>
      <c r="AA23" s="182"/>
      <c r="AB23" s="182"/>
      <c r="AC23" s="182"/>
      <c r="AD23" s="182"/>
      <c r="AE23" s="182"/>
      <c r="AF23" s="182"/>
      <c r="AG23" s="182"/>
    </row>
    <row r="24" spans="1:33" s="140" customFormat="1" ht="12" x14ac:dyDescent="0.35">
      <c r="A24" s="154"/>
      <c r="B24" s="130" t="s">
        <v>593</v>
      </c>
      <c r="C24" s="130" t="s">
        <v>627</v>
      </c>
      <c r="D24" s="124">
        <v>64</v>
      </c>
      <c r="E24" s="125"/>
      <c r="F24" s="125"/>
      <c r="G24" s="125"/>
      <c r="H24" s="129" t="s">
        <v>207</v>
      </c>
      <c r="I24" s="129" t="s">
        <v>207</v>
      </c>
      <c r="J24" s="142" t="e">
        <v>#DIV/0!</v>
      </c>
      <c r="K24" s="125">
        <v>0</v>
      </c>
      <c r="L24" s="125">
        <v>0</v>
      </c>
      <c r="M24" s="125">
        <v>0</v>
      </c>
      <c r="N24" s="125">
        <v>0</v>
      </c>
      <c r="O24" s="125">
        <v>0</v>
      </c>
      <c r="P24" s="125">
        <v>0</v>
      </c>
      <c r="Q24" s="125">
        <v>0</v>
      </c>
      <c r="R24" s="125">
        <v>0</v>
      </c>
      <c r="S24" s="125">
        <v>0</v>
      </c>
      <c r="T24" s="125">
        <v>0</v>
      </c>
      <c r="U24" s="125">
        <v>0</v>
      </c>
      <c r="V24" s="125">
        <v>0</v>
      </c>
      <c r="W24" s="125">
        <v>0</v>
      </c>
      <c r="X24" s="125">
        <f t="shared" si="0"/>
        <v>0</v>
      </c>
      <c r="Y24" s="182"/>
      <c r="Z24" s="182"/>
      <c r="AA24" s="182"/>
      <c r="AB24" s="182"/>
      <c r="AC24" s="182"/>
      <c r="AD24" s="182"/>
      <c r="AE24" s="182"/>
      <c r="AF24" s="182"/>
      <c r="AG24" s="182"/>
    </row>
    <row r="25" spans="1:33" s="140" customFormat="1" ht="12" x14ac:dyDescent="0.35">
      <c r="A25" s="154"/>
      <c r="B25" s="130" t="s">
        <v>594</v>
      </c>
      <c r="C25" s="130" t="s">
        <v>589</v>
      </c>
      <c r="D25" s="124">
        <v>30</v>
      </c>
      <c r="E25" s="125">
        <v>25000</v>
      </c>
      <c r="F25" s="125">
        <v>750000</v>
      </c>
      <c r="G25" s="125">
        <v>62500</v>
      </c>
      <c r="H25" s="129" t="s">
        <v>207</v>
      </c>
      <c r="I25" s="129" t="s">
        <v>207</v>
      </c>
      <c r="J25" s="142">
        <v>5.0999999999999997E-2</v>
      </c>
      <c r="K25" s="125">
        <v>788250</v>
      </c>
      <c r="L25" s="125">
        <v>65687.5</v>
      </c>
      <c r="M25" s="125">
        <v>65687.5</v>
      </c>
      <c r="N25" s="125">
        <v>65687.5</v>
      </c>
      <c r="O25" s="125">
        <v>65687.5</v>
      </c>
      <c r="P25" s="125">
        <v>65687.5</v>
      </c>
      <c r="Q25" s="125">
        <v>65687.5</v>
      </c>
      <c r="R25" s="125">
        <v>65687.5</v>
      </c>
      <c r="S25" s="125">
        <v>65687.5</v>
      </c>
      <c r="T25" s="125">
        <v>65687.5</v>
      </c>
      <c r="U25" s="125">
        <v>65687.5</v>
      </c>
      <c r="V25" s="125">
        <v>65687.5</v>
      </c>
      <c r="W25" s="125">
        <v>65687.5</v>
      </c>
      <c r="X25" s="125">
        <f t="shared" si="0"/>
        <v>788250</v>
      </c>
      <c r="Y25" s="182"/>
      <c r="Z25" s="182"/>
      <c r="AA25" s="182"/>
      <c r="AB25" s="182"/>
      <c r="AC25" s="182"/>
      <c r="AD25" s="182"/>
      <c r="AE25" s="182"/>
      <c r="AF25" s="182"/>
      <c r="AG25" s="182"/>
    </row>
    <row r="26" spans="1:33" s="140" customFormat="1" ht="12" x14ac:dyDescent="0.35">
      <c r="A26" s="154"/>
      <c r="B26" s="130" t="s">
        <v>594</v>
      </c>
      <c r="C26" s="130" t="s">
        <v>590</v>
      </c>
      <c r="D26" s="124">
        <v>50</v>
      </c>
      <c r="E26" s="125">
        <v>13000</v>
      </c>
      <c r="F26" s="125">
        <v>650000</v>
      </c>
      <c r="G26" s="125">
        <v>54166.666666666664</v>
      </c>
      <c r="H26" s="129" t="s">
        <v>207</v>
      </c>
      <c r="I26" s="129" t="s">
        <v>207</v>
      </c>
      <c r="J26" s="142">
        <v>5.0999999999999997E-2</v>
      </c>
      <c r="K26" s="125">
        <v>683150</v>
      </c>
      <c r="L26" s="125">
        <v>56929.166666666657</v>
      </c>
      <c r="M26" s="125">
        <v>56929.166666666657</v>
      </c>
      <c r="N26" s="125">
        <v>56929.166666666657</v>
      </c>
      <c r="O26" s="125">
        <v>56929.166666666657</v>
      </c>
      <c r="P26" s="125">
        <v>56929.166666666657</v>
      </c>
      <c r="Q26" s="125">
        <v>56929.166666666657</v>
      </c>
      <c r="R26" s="125">
        <v>56929.166666666657</v>
      </c>
      <c r="S26" s="125">
        <v>56929.166666666657</v>
      </c>
      <c r="T26" s="125">
        <v>56929.166666666657</v>
      </c>
      <c r="U26" s="125">
        <v>56929.166666666657</v>
      </c>
      <c r="V26" s="125">
        <v>56929.166666666657</v>
      </c>
      <c r="W26" s="125">
        <v>56929.166666666657</v>
      </c>
      <c r="X26" s="125">
        <f t="shared" si="0"/>
        <v>683149.99999999965</v>
      </c>
      <c r="Y26" s="182"/>
      <c r="Z26" s="182"/>
      <c r="AA26" s="182"/>
      <c r="AB26" s="182"/>
      <c r="AC26" s="182"/>
      <c r="AD26" s="182"/>
      <c r="AE26" s="182"/>
      <c r="AF26" s="182"/>
      <c r="AG26" s="182"/>
    </row>
    <row r="27" spans="1:33" s="140" customFormat="1" ht="12" x14ac:dyDescent="0.35">
      <c r="A27" s="154"/>
      <c r="B27" s="130" t="s">
        <v>594</v>
      </c>
      <c r="C27" s="130" t="s">
        <v>591</v>
      </c>
      <c r="D27" s="124">
        <v>30</v>
      </c>
      <c r="E27" s="125">
        <v>5200</v>
      </c>
      <c r="F27" s="125">
        <v>156000</v>
      </c>
      <c r="G27" s="125">
        <v>13000</v>
      </c>
      <c r="H27" s="129" t="s">
        <v>207</v>
      </c>
      <c r="I27" s="129" t="s">
        <v>207</v>
      </c>
      <c r="J27" s="142">
        <v>5.0999999999999997E-2</v>
      </c>
      <c r="K27" s="125">
        <v>163956</v>
      </c>
      <c r="L27" s="125">
        <v>13663</v>
      </c>
      <c r="M27" s="125">
        <v>13663</v>
      </c>
      <c r="N27" s="125">
        <v>13663</v>
      </c>
      <c r="O27" s="125">
        <v>13663</v>
      </c>
      <c r="P27" s="125">
        <v>13663</v>
      </c>
      <c r="Q27" s="125">
        <v>13663</v>
      </c>
      <c r="R27" s="125">
        <v>13663</v>
      </c>
      <c r="S27" s="125">
        <v>13663</v>
      </c>
      <c r="T27" s="125">
        <v>13663</v>
      </c>
      <c r="U27" s="125">
        <v>13663</v>
      </c>
      <c r="V27" s="125">
        <v>13663</v>
      </c>
      <c r="W27" s="125">
        <v>13663</v>
      </c>
      <c r="X27" s="125">
        <f t="shared" si="0"/>
        <v>163956</v>
      </c>
      <c r="Y27" s="182"/>
      <c r="Z27" s="182"/>
      <c r="AA27" s="182"/>
      <c r="AB27" s="182"/>
      <c r="AC27" s="182"/>
      <c r="AD27" s="182"/>
      <c r="AE27" s="182"/>
      <c r="AF27" s="182"/>
      <c r="AG27" s="182"/>
    </row>
    <row r="28" spans="1:33" s="163" customFormat="1" ht="13.5" customHeight="1" x14ac:dyDescent="0.35">
      <c r="B28" s="164" t="s">
        <v>655</v>
      </c>
      <c r="C28" s="168"/>
      <c r="D28" s="169"/>
      <c r="E28" s="165"/>
      <c r="F28" s="165">
        <v>9641000</v>
      </c>
      <c r="G28" s="165">
        <v>803416.66666666663</v>
      </c>
      <c r="H28" s="166"/>
      <c r="I28" s="166"/>
      <c r="J28" s="167">
        <v>5.0999999999999997E-2</v>
      </c>
      <c r="K28" s="165">
        <v>10132691</v>
      </c>
      <c r="L28" s="165">
        <v>844390.91666666663</v>
      </c>
      <c r="M28" s="165">
        <v>844390.91666666663</v>
      </c>
      <c r="N28" s="165">
        <v>844390.91666666663</v>
      </c>
      <c r="O28" s="165">
        <v>844390.91666666663</v>
      </c>
      <c r="P28" s="165">
        <v>844390.91666666663</v>
      </c>
      <c r="Q28" s="165">
        <v>844390.91666666663</v>
      </c>
      <c r="R28" s="165">
        <v>844390.91666666663</v>
      </c>
      <c r="S28" s="165">
        <v>844390.91666666663</v>
      </c>
      <c r="T28" s="165">
        <v>844390.91666666663</v>
      </c>
      <c r="U28" s="165">
        <v>844390.91666666663</v>
      </c>
      <c r="V28" s="165">
        <v>844390.91666666663</v>
      </c>
      <c r="W28" s="165">
        <v>844390.91666666663</v>
      </c>
      <c r="X28" s="165">
        <f>+SUM(X21:X27)</f>
        <v>10132691</v>
      </c>
      <c r="Y28" s="118"/>
      <c r="Z28" s="118"/>
      <c r="AA28" s="118"/>
      <c r="AB28" s="118"/>
      <c r="AC28" s="118"/>
      <c r="AD28" s="118"/>
      <c r="AE28" s="118"/>
      <c r="AF28" s="118"/>
      <c r="AG28" s="118"/>
    </row>
    <row r="29" spans="1:33" ht="14.5" customHeight="1" x14ac:dyDescent="0.35">
      <c r="B29" s="131" t="s">
        <v>29</v>
      </c>
      <c r="C29" s="123" t="s">
        <v>610</v>
      </c>
      <c r="D29" s="132">
        <v>9</v>
      </c>
      <c r="E29" s="126">
        <v>357000</v>
      </c>
      <c r="F29" s="126">
        <v>3213000</v>
      </c>
      <c r="G29" s="126">
        <v>267750</v>
      </c>
      <c r="H29" s="129" t="s">
        <v>525</v>
      </c>
      <c r="I29" s="129" t="s">
        <v>631</v>
      </c>
      <c r="J29" s="142">
        <v>5.0999999999999997E-2</v>
      </c>
      <c r="K29" s="125">
        <v>3376863</v>
      </c>
      <c r="L29" s="125"/>
      <c r="M29" s="125"/>
      <c r="N29" s="125"/>
      <c r="O29" s="125"/>
      <c r="P29" s="125">
        <v>3376863</v>
      </c>
      <c r="Q29" s="125"/>
      <c r="R29" s="125"/>
      <c r="S29" s="125"/>
      <c r="T29" s="125"/>
      <c r="U29" s="125"/>
      <c r="V29" s="125"/>
      <c r="W29" s="125"/>
      <c r="X29" s="125">
        <v>3376863</v>
      </c>
    </row>
    <row r="30" spans="1:33" ht="14.5" customHeight="1" x14ac:dyDescent="0.35">
      <c r="B30" s="131" t="s">
        <v>29</v>
      </c>
      <c r="C30" s="122" t="s">
        <v>612</v>
      </c>
      <c r="D30" s="132">
        <v>7</v>
      </c>
      <c r="E30" s="125">
        <v>182333</v>
      </c>
      <c r="F30" s="133">
        <v>1276331</v>
      </c>
      <c r="G30" s="126">
        <v>106360.91666666667</v>
      </c>
      <c r="H30" s="127" t="s">
        <v>525</v>
      </c>
      <c r="I30" s="127" t="s">
        <v>212</v>
      </c>
      <c r="J30" s="142">
        <v>5.0999999999999858E-2</v>
      </c>
      <c r="K30" s="125">
        <v>1341423.8809999998</v>
      </c>
      <c r="L30" s="125"/>
      <c r="M30" s="125"/>
      <c r="N30" s="125">
        <v>1341423.8809999998</v>
      </c>
      <c r="O30" s="125"/>
      <c r="P30" s="125"/>
      <c r="Q30" s="125"/>
      <c r="R30" s="125"/>
      <c r="S30" s="125"/>
      <c r="T30" s="125"/>
      <c r="U30" s="125"/>
      <c r="V30" s="125"/>
      <c r="W30" s="125"/>
      <c r="X30" s="125">
        <v>1341423.8809999998</v>
      </c>
    </row>
    <row r="31" spans="1:33" ht="14.5" customHeight="1" x14ac:dyDescent="0.35">
      <c r="B31" s="131" t="s">
        <v>29</v>
      </c>
      <c r="C31" s="122" t="s">
        <v>527</v>
      </c>
      <c r="D31" s="132">
        <v>2</v>
      </c>
      <c r="E31" s="125">
        <v>800000</v>
      </c>
      <c r="F31" s="133">
        <v>1600000</v>
      </c>
      <c r="G31" s="126">
        <v>133333.33333333334</v>
      </c>
      <c r="H31" s="127" t="s">
        <v>525</v>
      </c>
      <c r="I31" s="127" t="s">
        <v>211</v>
      </c>
      <c r="J31" s="142">
        <v>5.0999999999999997E-2</v>
      </c>
      <c r="K31" s="125">
        <v>1681600</v>
      </c>
      <c r="L31" s="125"/>
      <c r="M31" s="125">
        <v>1681600</v>
      </c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>
        <v>1681600</v>
      </c>
    </row>
    <row r="32" spans="1:33" ht="14.5" customHeight="1" x14ac:dyDescent="0.35">
      <c r="B32" s="131" t="s">
        <v>29</v>
      </c>
      <c r="C32" s="122" t="s">
        <v>579</v>
      </c>
      <c r="D32" s="132">
        <v>1</v>
      </c>
      <c r="E32" s="125">
        <v>460000</v>
      </c>
      <c r="F32" s="133">
        <v>460000</v>
      </c>
      <c r="G32" s="126">
        <v>38333.333333333336</v>
      </c>
      <c r="H32" s="127" t="s">
        <v>525</v>
      </c>
      <c r="I32" s="127" t="s">
        <v>212</v>
      </c>
      <c r="J32" s="142">
        <v>5.0999999999999872E-2</v>
      </c>
      <c r="K32" s="125">
        <v>483459.99999999994</v>
      </c>
      <c r="L32" s="125"/>
      <c r="M32" s="125"/>
      <c r="N32" s="125">
        <v>483459.99999999994</v>
      </c>
      <c r="O32" s="125"/>
      <c r="P32" s="125"/>
      <c r="Q32" s="125"/>
      <c r="R32" s="125"/>
      <c r="S32" s="125"/>
      <c r="T32" s="125"/>
      <c r="U32" s="125"/>
      <c r="V32" s="125"/>
      <c r="W32" s="125"/>
      <c r="X32" s="125">
        <v>483459.99999999994</v>
      </c>
    </row>
    <row r="33" spans="1:33" ht="14.5" customHeight="1" x14ac:dyDescent="0.35">
      <c r="B33" s="131" t="s">
        <v>29</v>
      </c>
      <c r="C33" s="122" t="s">
        <v>528</v>
      </c>
      <c r="D33" s="132">
        <v>5</v>
      </c>
      <c r="E33" s="125">
        <v>5000000</v>
      </c>
      <c r="F33" s="133">
        <v>25000000</v>
      </c>
      <c r="G33" s="126">
        <v>2083333.3333333333</v>
      </c>
      <c r="H33" s="127" t="s">
        <v>207</v>
      </c>
      <c r="I33" s="127" t="s">
        <v>207</v>
      </c>
      <c r="J33" s="142">
        <v>5.0999999999999997E-2</v>
      </c>
      <c r="K33" s="125">
        <v>26275000</v>
      </c>
      <c r="L33" s="125">
        <v>2189583.333333333</v>
      </c>
      <c r="M33" s="125">
        <v>2189583.333333333</v>
      </c>
      <c r="N33" s="125">
        <v>2189583.333333333</v>
      </c>
      <c r="O33" s="125">
        <v>2189583.333333333</v>
      </c>
      <c r="P33" s="125">
        <v>2189583.333333333</v>
      </c>
      <c r="Q33" s="125">
        <v>2189583.333333333</v>
      </c>
      <c r="R33" s="125">
        <v>2189583.333333333</v>
      </c>
      <c r="S33" s="125">
        <v>2189583.333333333</v>
      </c>
      <c r="T33" s="125">
        <v>2189583.333333333</v>
      </c>
      <c r="U33" s="125">
        <v>2189583.333333333</v>
      </c>
      <c r="V33" s="125">
        <v>2189583.333333333</v>
      </c>
      <c r="W33" s="125">
        <v>2189583.333333333</v>
      </c>
      <c r="X33" s="125">
        <v>26274999.999999989</v>
      </c>
    </row>
    <row r="34" spans="1:33" ht="14.5" customHeight="1" x14ac:dyDescent="0.35">
      <c r="B34" s="131" t="s">
        <v>29</v>
      </c>
      <c r="C34" s="122" t="s">
        <v>529</v>
      </c>
      <c r="D34" s="132">
        <v>1</v>
      </c>
      <c r="E34" s="125">
        <v>1800000</v>
      </c>
      <c r="F34" s="133">
        <v>1800000</v>
      </c>
      <c r="G34" s="126">
        <v>150000</v>
      </c>
      <c r="H34" s="127" t="s">
        <v>525</v>
      </c>
      <c r="I34" s="127" t="s">
        <v>213</v>
      </c>
      <c r="J34" s="142">
        <v>5.0999999999999872E-2</v>
      </c>
      <c r="K34" s="125">
        <v>1891799.9999999998</v>
      </c>
      <c r="L34" s="125"/>
      <c r="M34" s="125"/>
      <c r="N34" s="125"/>
      <c r="O34" s="125"/>
      <c r="P34" s="125">
        <v>1891799.9999999998</v>
      </c>
      <c r="Q34" s="125"/>
      <c r="R34" s="125"/>
      <c r="S34" s="125"/>
      <c r="T34" s="125"/>
      <c r="U34" s="125"/>
      <c r="V34" s="125"/>
      <c r="W34" s="125"/>
      <c r="X34" s="125">
        <v>1891799.9999999998</v>
      </c>
    </row>
    <row r="35" spans="1:33" ht="14.5" customHeight="1" x14ac:dyDescent="0.35">
      <c r="B35" s="131" t="s">
        <v>29</v>
      </c>
      <c r="C35" s="122" t="s">
        <v>530</v>
      </c>
      <c r="D35" s="132">
        <v>1</v>
      </c>
      <c r="E35" s="125">
        <v>1800000</v>
      </c>
      <c r="F35" s="133">
        <v>1800000</v>
      </c>
      <c r="G35" s="126">
        <v>150000</v>
      </c>
      <c r="H35" s="127" t="s">
        <v>525</v>
      </c>
      <c r="I35" s="127" t="s">
        <v>213</v>
      </c>
      <c r="J35" s="142">
        <v>5.0999999999999872E-2</v>
      </c>
      <c r="K35" s="125">
        <v>1891799.9999999998</v>
      </c>
      <c r="L35" s="125"/>
      <c r="M35" s="125"/>
      <c r="N35" s="125"/>
      <c r="O35" s="125"/>
      <c r="P35" s="125">
        <v>1891799.9999999998</v>
      </c>
      <c r="Q35" s="125"/>
      <c r="R35" s="125"/>
      <c r="S35" s="125"/>
      <c r="T35" s="125"/>
      <c r="U35" s="125"/>
      <c r="V35" s="125"/>
      <c r="W35" s="125"/>
      <c r="X35" s="125">
        <v>1891799.9999999998</v>
      </c>
    </row>
    <row r="36" spans="1:33" ht="14.5" customHeight="1" x14ac:dyDescent="0.35">
      <c r="B36" s="131" t="s">
        <v>29</v>
      </c>
      <c r="C36" s="122" t="s">
        <v>531</v>
      </c>
      <c r="D36" s="132">
        <v>2</v>
      </c>
      <c r="E36" s="125">
        <v>2624400</v>
      </c>
      <c r="F36" s="133">
        <v>5248800</v>
      </c>
      <c r="G36" s="126">
        <v>437400</v>
      </c>
      <c r="H36" s="127" t="s">
        <v>525</v>
      </c>
      <c r="I36" s="127" t="s">
        <v>213</v>
      </c>
      <c r="J36" s="142">
        <v>5.0999999999999962E-2</v>
      </c>
      <c r="K36" s="125">
        <v>5516488.7999999998</v>
      </c>
      <c r="L36" s="125"/>
      <c r="M36" s="125"/>
      <c r="N36" s="125"/>
      <c r="O36" s="125"/>
      <c r="P36" s="125">
        <v>5516488.7999999998</v>
      </c>
      <c r="Q36" s="125"/>
      <c r="R36" s="125"/>
      <c r="S36" s="125"/>
      <c r="T36" s="125"/>
      <c r="U36" s="125"/>
      <c r="V36" s="125"/>
      <c r="W36" s="125"/>
      <c r="X36" s="125">
        <v>5516488.7999999998</v>
      </c>
    </row>
    <row r="37" spans="1:33" ht="14.5" customHeight="1" x14ac:dyDescent="0.35">
      <c r="B37" s="131" t="s">
        <v>29</v>
      </c>
      <c r="C37" s="122" t="s">
        <v>628</v>
      </c>
      <c r="D37" s="132">
        <v>12</v>
      </c>
      <c r="E37" s="125">
        <v>500000</v>
      </c>
      <c r="F37" s="133">
        <v>6000000</v>
      </c>
      <c r="G37" s="126">
        <v>500000</v>
      </c>
      <c r="H37" s="127" t="s">
        <v>525</v>
      </c>
      <c r="I37" s="127" t="s">
        <v>213</v>
      </c>
      <c r="J37" s="142">
        <v>5.0999999999999997E-2</v>
      </c>
      <c r="K37" s="125">
        <v>6306000</v>
      </c>
      <c r="L37" s="125"/>
      <c r="M37" s="125"/>
      <c r="N37" s="125"/>
      <c r="O37" s="125"/>
      <c r="P37" s="125">
        <v>6306000</v>
      </c>
      <c r="Q37" s="125"/>
      <c r="R37" s="125"/>
      <c r="S37" s="125"/>
      <c r="T37" s="125"/>
      <c r="U37" s="125"/>
      <c r="V37" s="125"/>
      <c r="W37" s="125"/>
      <c r="X37" s="125">
        <v>6306000</v>
      </c>
    </row>
    <row r="38" spans="1:33" s="146" customFormat="1" ht="14.5" customHeight="1" x14ac:dyDescent="0.35">
      <c r="A38" s="154"/>
      <c r="B38" s="147" t="s">
        <v>636</v>
      </c>
      <c r="C38" s="148"/>
      <c r="D38" s="149"/>
      <c r="E38" s="150"/>
      <c r="F38" s="150">
        <v>46398131</v>
      </c>
      <c r="G38" s="150">
        <v>3866510.9166666665</v>
      </c>
      <c r="H38" s="151"/>
      <c r="I38" s="151"/>
      <c r="J38" s="152">
        <v>5.0999999999999879E-2</v>
      </c>
      <c r="K38" s="150">
        <v>48764435.680999994</v>
      </c>
      <c r="L38" s="150">
        <v>2189583.333333333</v>
      </c>
      <c r="M38" s="150">
        <v>3871183.333333333</v>
      </c>
      <c r="N38" s="150">
        <v>4014467.2143333331</v>
      </c>
      <c r="O38" s="150">
        <v>2189583.333333333</v>
      </c>
      <c r="P38" s="150">
        <v>21172535.133333333</v>
      </c>
      <c r="Q38" s="150">
        <v>2189583.333333333</v>
      </c>
      <c r="R38" s="150">
        <v>2189583.333333333</v>
      </c>
      <c r="S38" s="150">
        <v>2189583.333333333</v>
      </c>
      <c r="T38" s="150">
        <v>2189583.333333333</v>
      </c>
      <c r="U38" s="150">
        <v>2189583.333333333</v>
      </c>
      <c r="V38" s="150">
        <v>2189583.333333333</v>
      </c>
      <c r="W38" s="150">
        <v>2189583.333333333</v>
      </c>
      <c r="X38" s="150">
        <f>+SUM(X29:X37)</f>
        <v>48764435.680999987</v>
      </c>
      <c r="Y38" s="118"/>
      <c r="Z38" s="118"/>
      <c r="AA38" s="118"/>
      <c r="AB38" s="118"/>
      <c r="AC38" s="118"/>
      <c r="AD38" s="118"/>
      <c r="AE38" s="118"/>
      <c r="AF38" s="118"/>
      <c r="AG38" s="118"/>
    </row>
    <row r="39" spans="1:33" s="146" customFormat="1" ht="14.5" customHeight="1" x14ac:dyDescent="0.35">
      <c r="A39" s="154"/>
      <c r="B39" s="131" t="s">
        <v>137</v>
      </c>
      <c r="C39" s="123" t="s">
        <v>607</v>
      </c>
      <c r="D39" s="132">
        <v>12</v>
      </c>
      <c r="E39" s="126">
        <v>1500000</v>
      </c>
      <c r="F39" s="126">
        <v>18000000</v>
      </c>
      <c r="G39" s="126">
        <v>18000000</v>
      </c>
      <c r="H39" s="129" t="s">
        <v>608</v>
      </c>
      <c r="I39" s="129" t="s">
        <v>608</v>
      </c>
      <c r="J39" s="142">
        <v>5.0999999999999997E-2</v>
      </c>
      <c r="K39" s="125">
        <v>18918000</v>
      </c>
      <c r="L39" s="125">
        <v>18918000</v>
      </c>
      <c r="M39" s="125">
        <v>0</v>
      </c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>
        <v>18918000</v>
      </c>
      <c r="Y39" s="118"/>
      <c r="Z39" s="118"/>
      <c r="AA39" s="118"/>
      <c r="AB39" s="118"/>
      <c r="AC39" s="118"/>
      <c r="AD39" s="118"/>
      <c r="AE39" s="118"/>
      <c r="AF39" s="118"/>
      <c r="AG39" s="118"/>
    </row>
    <row r="40" spans="1:33" s="146" customFormat="1" ht="14.5" customHeight="1" x14ac:dyDescent="0.35">
      <c r="A40" s="154"/>
      <c r="B40" s="131" t="s">
        <v>137</v>
      </c>
      <c r="C40" s="122" t="s">
        <v>208</v>
      </c>
      <c r="D40" s="132">
        <v>100</v>
      </c>
      <c r="E40" s="125">
        <v>300000</v>
      </c>
      <c r="F40" s="133">
        <v>30000000</v>
      </c>
      <c r="G40" s="126">
        <v>30000000</v>
      </c>
      <c r="H40" s="127" t="s">
        <v>209</v>
      </c>
      <c r="I40" s="127" t="s">
        <v>209</v>
      </c>
      <c r="J40" s="142">
        <v>5.0999999999999879E-2</v>
      </c>
      <c r="K40" s="125">
        <v>31529999.999999996</v>
      </c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>
        <v>31529999.999999996</v>
      </c>
      <c r="X40" s="125">
        <v>31529999.999999996</v>
      </c>
      <c r="Y40" s="118"/>
      <c r="Z40" s="118"/>
      <c r="AA40" s="118"/>
      <c r="AB40" s="118"/>
      <c r="AC40" s="118"/>
      <c r="AD40" s="118"/>
      <c r="AE40" s="118"/>
      <c r="AF40" s="118"/>
      <c r="AG40" s="118"/>
    </row>
    <row r="41" spans="1:33" s="146" customFormat="1" ht="14.5" customHeight="1" x14ac:dyDescent="0.35">
      <c r="A41" s="154"/>
      <c r="B41" s="131" t="s">
        <v>137</v>
      </c>
      <c r="C41" s="122" t="s">
        <v>220</v>
      </c>
      <c r="D41" s="132">
        <v>40</v>
      </c>
      <c r="E41" s="125">
        <v>1200000</v>
      </c>
      <c r="F41" s="133">
        <v>48000000</v>
      </c>
      <c r="G41" s="126">
        <v>48000000</v>
      </c>
      <c r="H41" s="127" t="s">
        <v>211</v>
      </c>
      <c r="I41" s="127" t="s">
        <v>211</v>
      </c>
      <c r="J41" s="142">
        <v>5.0999999999999997E-2</v>
      </c>
      <c r="K41" s="125">
        <v>50448000</v>
      </c>
      <c r="L41" s="125"/>
      <c r="M41" s="125">
        <v>50448000</v>
      </c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>
        <v>40000000</v>
      </c>
      <c r="Y41" s="118"/>
      <c r="Z41" s="118"/>
      <c r="AA41" s="118"/>
      <c r="AB41" s="118"/>
      <c r="AC41" s="118"/>
      <c r="AD41" s="118"/>
      <c r="AE41" s="118"/>
      <c r="AF41" s="118"/>
      <c r="AG41" s="118"/>
    </row>
    <row r="42" spans="1:33" ht="14.5" customHeight="1" x14ac:dyDescent="0.35">
      <c r="B42" s="170" t="s">
        <v>654</v>
      </c>
      <c r="C42" s="171"/>
      <c r="D42" s="172"/>
      <c r="E42" s="173"/>
      <c r="F42" s="173">
        <v>96000000</v>
      </c>
      <c r="G42" s="173">
        <v>96000000</v>
      </c>
      <c r="H42" s="174"/>
      <c r="I42" s="174"/>
      <c r="J42" s="175">
        <v>5.0999999999999997E-2</v>
      </c>
      <c r="K42" s="173">
        <v>100896000</v>
      </c>
      <c r="L42" s="173">
        <v>18918000</v>
      </c>
      <c r="M42" s="173">
        <v>50448000</v>
      </c>
      <c r="N42" s="173">
        <v>0</v>
      </c>
      <c r="O42" s="173">
        <v>0</v>
      </c>
      <c r="P42" s="173">
        <v>0</v>
      </c>
      <c r="Q42" s="173">
        <v>0</v>
      </c>
      <c r="R42" s="173">
        <v>0</v>
      </c>
      <c r="S42" s="173">
        <v>0</v>
      </c>
      <c r="T42" s="173">
        <v>0</v>
      </c>
      <c r="U42" s="173">
        <v>0</v>
      </c>
      <c r="V42" s="173">
        <v>0</v>
      </c>
      <c r="W42" s="173">
        <v>31529999.999999996</v>
      </c>
      <c r="X42" s="173">
        <f>+SUM(X39:X41)</f>
        <v>90448000</v>
      </c>
    </row>
    <row r="43" spans="1:33" ht="14.5" customHeight="1" x14ac:dyDescent="0.35">
      <c r="B43" s="131" t="s">
        <v>107</v>
      </c>
      <c r="C43" s="123" t="s">
        <v>221</v>
      </c>
      <c r="D43" s="132">
        <v>12</v>
      </c>
      <c r="E43" s="126">
        <v>85000</v>
      </c>
      <c r="F43" s="126">
        <v>1020000</v>
      </c>
      <c r="G43" s="126">
        <v>1020000</v>
      </c>
      <c r="H43" s="127" t="s">
        <v>526</v>
      </c>
      <c r="I43" s="127" t="s">
        <v>642</v>
      </c>
      <c r="J43" s="142">
        <v>5.0999999999999997E-2</v>
      </c>
      <c r="K43" s="125">
        <v>1072020</v>
      </c>
      <c r="L43" s="125"/>
      <c r="M43" s="125">
        <v>536010</v>
      </c>
      <c r="N43" s="125"/>
      <c r="O43" s="125"/>
      <c r="P43" s="125"/>
      <c r="Q43" s="125"/>
      <c r="R43" s="125"/>
      <c r="S43" s="125">
        <v>536010</v>
      </c>
      <c r="T43" s="125"/>
      <c r="U43" s="125"/>
      <c r="V43" s="125"/>
      <c r="W43" s="125"/>
      <c r="X43" s="125">
        <v>1072020</v>
      </c>
    </row>
    <row r="44" spans="1:33" ht="14.5" customHeight="1" x14ac:dyDescent="0.35">
      <c r="B44" s="131" t="s">
        <v>107</v>
      </c>
      <c r="C44" s="123" t="s">
        <v>222</v>
      </c>
      <c r="D44" s="132">
        <v>12</v>
      </c>
      <c r="E44" s="126">
        <v>8000</v>
      </c>
      <c r="F44" s="126">
        <v>96000</v>
      </c>
      <c r="G44" s="126">
        <v>96000</v>
      </c>
      <c r="H44" s="127" t="s">
        <v>526</v>
      </c>
      <c r="I44" s="127" t="s">
        <v>642</v>
      </c>
      <c r="J44" s="142">
        <v>5.0999999999999997E-2</v>
      </c>
      <c r="K44" s="125">
        <v>100896</v>
      </c>
      <c r="L44" s="125"/>
      <c r="M44" s="125">
        <v>50448</v>
      </c>
      <c r="N44" s="125"/>
      <c r="O44" s="125"/>
      <c r="P44" s="125"/>
      <c r="Q44" s="125"/>
      <c r="R44" s="125"/>
      <c r="S44" s="125">
        <v>50448</v>
      </c>
      <c r="T44" s="125"/>
      <c r="U44" s="125"/>
      <c r="V44" s="125"/>
      <c r="W44" s="125"/>
      <c r="X44" s="125">
        <v>100896</v>
      </c>
    </row>
    <row r="45" spans="1:33" ht="14.5" customHeight="1" x14ac:dyDescent="0.35">
      <c r="B45" s="131" t="s">
        <v>107</v>
      </c>
      <c r="C45" s="123" t="s">
        <v>620</v>
      </c>
      <c r="D45" s="132">
        <v>24</v>
      </c>
      <c r="E45" s="126">
        <v>2500</v>
      </c>
      <c r="F45" s="126">
        <v>60000</v>
      </c>
      <c r="G45" s="126">
        <v>60000</v>
      </c>
      <c r="H45" s="127" t="s">
        <v>210</v>
      </c>
      <c r="I45" s="127" t="s">
        <v>210</v>
      </c>
      <c r="J45" s="142">
        <v>5.0999999999999879E-2</v>
      </c>
      <c r="K45" s="125">
        <v>63059.999999999993</v>
      </c>
      <c r="L45" s="125"/>
      <c r="M45" s="125"/>
      <c r="N45" s="125">
        <v>15764.999999999998</v>
      </c>
      <c r="O45" s="125"/>
      <c r="P45" s="125"/>
      <c r="Q45" s="125">
        <v>15764.999999999998</v>
      </c>
      <c r="R45" s="125"/>
      <c r="S45" s="125"/>
      <c r="T45" s="125">
        <v>15764.999999999998</v>
      </c>
      <c r="U45" s="125"/>
      <c r="V45" s="125"/>
      <c r="W45" s="125">
        <v>15764.999999999998</v>
      </c>
      <c r="X45" s="125">
        <v>63059.999999999993</v>
      </c>
    </row>
    <row r="46" spans="1:33" ht="14.5" customHeight="1" x14ac:dyDescent="0.35">
      <c r="B46" s="131" t="s">
        <v>107</v>
      </c>
      <c r="C46" s="123" t="s">
        <v>595</v>
      </c>
      <c r="D46" s="132">
        <v>9</v>
      </c>
      <c r="E46" s="126">
        <v>177000</v>
      </c>
      <c r="F46" s="126">
        <v>1593000</v>
      </c>
      <c r="G46" s="126">
        <v>1593000</v>
      </c>
      <c r="H46" s="127" t="s">
        <v>616</v>
      </c>
      <c r="I46" s="127" t="s">
        <v>616</v>
      </c>
      <c r="J46" s="142">
        <v>5.0999999999999997E-2</v>
      </c>
      <c r="K46" s="125">
        <v>1674243</v>
      </c>
      <c r="L46" s="125"/>
      <c r="M46" s="125">
        <v>837121.5</v>
      </c>
      <c r="N46" s="125"/>
      <c r="O46" s="125"/>
      <c r="P46" s="125"/>
      <c r="Q46" s="125"/>
      <c r="R46" s="125"/>
      <c r="S46" s="125">
        <v>837121.5</v>
      </c>
      <c r="T46" s="125"/>
      <c r="U46" s="125"/>
      <c r="V46" s="125"/>
      <c r="W46" s="125"/>
      <c r="X46" s="125">
        <v>1674243</v>
      </c>
    </row>
    <row r="47" spans="1:33" ht="14.5" customHeight="1" x14ac:dyDescent="0.35">
      <c r="B47" s="131" t="s">
        <v>107</v>
      </c>
      <c r="C47" s="123" t="s">
        <v>622</v>
      </c>
      <c r="D47" s="132">
        <v>9</v>
      </c>
      <c r="E47" s="126">
        <v>90000</v>
      </c>
      <c r="F47" s="126">
        <v>810000</v>
      </c>
      <c r="G47" s="126">
        <v>810000</v>
      </c>
      <c r="H47" s="127" t="s">
        <v>616</v>
      </c>
      <c r="I47" s="127" t="s">
        <v>616</v>
      </c>
      <c r="J47" s="142">
        <v>5.0999999999999997E-2</v>
      </c>
      <c r="K47" s="125">
        <v>851310</v>
      </c>
      <c r="L47" s="125"/>
      <c r="M47" s="125">
        <v>425655</v>
      </c>
      <c r="N47" s="125"/>
      <c r="O47" s="125"/>
      <c r="P47" s="125"/>
      <c r="Q47" s="125"/>
      <c r="R47" s="125"/>
      <c r="S47" s="125">
        <v>425655</v>
      </c>
      <c r="T47" s="125"/>
      <c r="U47" s="125"/>
      <c r="V47" s="125"/>
      <c r="W47" s="125"/>
      <c r="X47" s="125">
        <v>851310</v>
      </c>
    </row>
    <row r="48" spans="1:33" ht="14.5" customHeight="1" x14ac:dyDescent="0.35">
      <c r="B48" s="131" t="s">
        <v>107</v>
      </c>
      <c r="C48" s="123" t="s">
        <v>621</v>
      </c>
      <c r="D48" s="132">
        <v>6</v>
      </c>
      <c r="E48" s="126">
        <v>70000</v>
      </c>
      <c r="F48" s="126">
        <v>420000</v>
      </c>
      <c r="G48" s="126">
        <v>420000</v>
      </c>
      <c r="H48" s="127" t="s">
        <v>525</v>
      </c>
      <c r="I48" s="127" t="s">
        <v>525</v>
      </c>
      <c r="J48" s="142">
        <v>5.0999999999999997E-2</v>
      </c>
      <c r="K48" s="125">
        <v>441420</v>
      </c>
      <c r="L48" s="125"/>
      <c r="M48" s="125">
        <v>441420</v>
      </c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>
        <v>441420</v>
      </c>
    </row>
    <row r="49" spans="2:33" ht="14.5" customHeight="1" x14ac:dyDescent="0.35">
      <c r="B49" s="131" t="s">
        <v>107</v>
      </c>
      <c r="C49" s="123" t="s">
        <v>623</v>
      </c>
      <c r="D49" s="132">
        <v>12</v>
      </c>
      <c r="E49" s="126">
        <v>85000</v>
      </c>
      <c r="F49" s="126">
        <v>1020000</v>
      </c>
      <c r="G49" s="126">
        <v>1020000</v>
      </c>
      <c r="H49" s="127" t="s">
        <v>525</v>
      </c>
      <c r="I49" s="127" t="s">
        <v>525</v>
      </c>
      <c r="J49" s="142">
        <v>5.0999999999999997E-2</v>
      </c>
      <c r="K49" s="125">
        <v>1072020</v>
      </c>
      <c r="L49" s="125"/>
      <c r="M49" s="125">
        <v>1072020</v>
      </c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>
        <v>1072020</v>
      </c>
    </row>
    <row r="50" spans="2:33" ht="14.5" customHeight="1" x14ac:dyDescent="0.35">
      <c r="B50" s="131" t="s">
        <v>107</v>
      </c>
      <c r="C50" s="123" t="s">
        <v>624</v>
      </c>
      <c r="D50" s="132">
        <v>12</v>
      </c>
      <c r="E50" s="126">
        <v>88571.428571428565</v>
      </c>
      <c r="F50" s="126">
        <v>1062857.1428571427</v>
      </c>
      <c r="G50" s="126">
        <v>1062857.1428571427</v>
      </c>
      <c r="H50" s="127" t="s">
        <v>526</v>
      </c>
      <c r="I50" s="127" t="s">
        <v>526</v>
      </c>
      <c r="J50" s="142">
        <v>5.1000000000000038E-2</v>
      </c>
      <c r="K50" s="125">
        <v>1117062.857142857</v>
      </c>
      <c r="L50" s="125"/>
      <c r="M50" s="125">
        <v>558531.42857142852</v>
      </c>
      <c r="N50" s="125"/>
      <c r="O50" s="125"/>
      <c r="P50" s="125"/>
      <c r="Q50" s="125"/>
      <c r="R50" s="125"/>
      <c r="S50" s="125">
        <v>558531.42857142852</v>
      </c>
      <c r="T50" s="125"/>
      <c r="U50" s="125"/>
      <c r="V50" s="125"/>
      <c r="W50" s="125"/>
      <c r="X50" s="125">
        <v>1117062.857142857</v>
      </c>
    </row>
    <row r="51" spans="2:33" ht="14.5" customHeight="1" x14ac:dyDescent="0.35">
      <c r="B51" s="123" t="s">
        <v>510</v>
      </c>
      <c r="C51" s="122" t="s">
        <v>523</v>
      </c>
      <c r="D51" s="132">
        <v>186</v>
      </c>
      <c r="E51" s="133">
        <v>135259</v>
      </c>
      <c r="F51" s="133">
        <v>25158174</v>
      </c>
      <c r="G51" s="126">
        <v>6289543.5</v>
      </c>
      <c r="H51" s="127" t="s">
        <v>625</v>
      </c>
      <c r="I51" s="127" t="s">
        <v>646</v>
      </c>
      <c r="J51" s="142">
        <v>5.099999999999992E-2</v>
      </c>
      <c r="K51" s="125">
        <v>26441240.873999998</v>
      </c>
      <c r="L51" s="125"/>
      <c r="M51" s="125"/>
      <c r="N51" s="125"/>
      <c r="O51" s="125">
        <v>8813746.9579999987</v>
      </c>
      <c r="P51" s="125"/>
      <c r="Q51" s="125"/>
      <c r="R51" s="125"/>
      <c r="S51" s="125">
        <v>8813746.9579999987</v>
      </c>
      <c r="T51" s="125"/>
      <c r="U51" s="125"/>
      <c r="V51" s="125"/>
      <c r="W51" s="125">
        <v>8813746.9579999987</v>
      </c>
      <c r="X51" s="125">
        <v>26441240.873999998</v>
      </c>
    </row>
    <row r="52" spans="2:33" ht="14.5" customHeight="1" x14ac:dyDescent="0.35">
      <c r="B52" s="183" t="s">
        <v>654</v>
      </c>
      <c r="C52" s="184"/>
      <c r="D52" s="185"/>
      <c r="E52" s="186"/>
      <c r="F52" s="186">
        <v>96000000</v>
      </c>
      <c r="G52" s="186">
        <v>96000000</v>
      </c>
      <c r="H52" s="187"/>
      <c r="I52" s="187"/>
      <c r="J52" s="188">
        <v>5.0999999999999997E-2</v>
      </c>
      <c r="K52" s="186">
        <v>100896000</v>
      </c>
      <c r="L52" s="186">
        <v>18918000</v>
      </c>
      <c r="M52" s="186">
        <v>50448000</v>
      </c>
      <c r="N52" s="186">
        <v>0</v>
      </c>
      <c r="O52" s="186">
        <v>0</v>
      </c>
      <c r="P52" s="186">
        <v>0</v>
      </c>
      <c r="Q52" s="186">
        <v>0</v>
      </c>
      <c r="R52" s="186">
        <v>0</v>
      </c>
      <c r="S52" s="186">
        <v>0</v>
      </c>
      <c r="T52" s="186">
        <v>0</v>
      </c>
      <c r="U52" s="186">
        <v>0</v>
      </c>
      <c r="V52" s="186">
        <v>0</v>
      </c>
      <c r="W52" s="186">
        <v>31529999.999999996</v>
      </c>
      <c r="X52" s="186">
        <f>+SUM(X43:X51)</f>
        <v>32833272.731142856</v>
      </c>
    </row>
    <row r="53" spans="2:33" ht="14.5" customHeight="1" x14ac:dyDescent="0.35">
      <c r="B53" s="134" t="s">
        <v>327</v>
      </c>
      <c r="C53" s="135" t="s">
        <v>524</v>
      </c>
      <c r="D53" s="132">
        <v>5</v>
      </c>
      <c r="E53" s="133">
        <v>2135250</v>
      </c>
      <c r="F53" s="133">
        <v>128115000</v>
      </c>
      <c r="G53" s="126">
        <v>10676250</v>
      </c>
      <c r="H53" s="127" t="s">
        <v>207</v>
      </c>
      <c r="I53" s="127" t="s">
        <v>207</v>
      </c>
      <c r="J53" s="142">
        <v>0.1</v>
      </c>
      <c r="K53" s="125">
        <v>140926500</v>
      </c>
      <c r="L53" s="125">
        <v>12811500</v>
      </c>
      <c r="M53" s="125">
        <f>+L53</f>
        <v>12811500</v>
      </c>
      <c r="N53" s="125">
        <f t="shared" ref="N53:W53" si="1">+M53</f>
        <v>12811500</v>
      </c>
      <c r="O53" s="125">
        <f t="shared" si="1"/>
        <v>12811500</v>
      </c>
      <c r="P53" s="125">
        <f t="shared" si="1"/>
        <v>12811500</v>
      </c>
      <c r="Q53" s="125">
        <f t="shared" si="1"/>
        <v>12811500</v>
      </c>
      <c r="R53" s="125">
        <f t="shared" si="1"/>
        <v>12811500</v>
      </c>
      <c r="S53" s="125">
        <f t="shared" si="1"/>
        <v>12811500</v>
      </c>
      <c r="T53" s="125">
        <f t="shared" si="1"/>
        <v>12811500</v>
      </c>
      <c r="U53" s="125">
        <f t="shared" si="1"/>
        <v>12811500</v>
      </c>
      <c r="V53" s="125">
        <f t="shared" si="1"/>
        <v>12811500</v>
      </c>
      <c r="W53" s="125">
        <f t="shared" si="1"/>
        <v>12811500</v>
      </c>
      <c r="X53" s="125">
        <f>SUM(L53:W53)</f>
        <v>153738000</v>
      </c>
    </row>
    <row r="54" spans="2:33" ht="14.5" customHeight="1" x14ac:dyDescent="0.35">
      <c r="B54" s="176" t="s">
        <v>656</v>
      </c>
      <c r="C54" s="177"/>
      <c r="D54" s="178"/>
      <c r="E54" s="179"/>
      <c r="F54" s="179">
        <v>128115000</v>
      </c>
      <c r="G54" s="179">
        <v>10676250</v>
      </c>
      <c r="H54" s="180"/>
      <c r="I54" s="180"/>
      <c r="J54" s="181">
        <v>0.1</v>
      </c>
      <c r="K54" s="179">
        <v>140926500</v>
      </c>
      <c r="L54" s="179">
        <f>+L53</f>
        <v>12811500</v>
      </c>
      <c r="M54" s="179">
        <f t="shared" ref="M54:X54" si="2">+M53</f>
        <v>12811500</v>
      </c>
      <c r="N54" s="179">
        <f t="shared" si="2"/>
        <v>12811500</v>
      </c>
      <c r="O54" s="179">
        <f t="shared" si="2"/>
        <v>12811500</v>
      </c>
      <c r="P54" s="179">
        <f t="shared" si="2"/>
        <v>12811500</v>
      </c>
      <c r="Q54" s="179">
        <f t="shared" si="2"/>
        <v>12811500</v>
      </c>
      <c r="R54" s="179">
        <f t="shared" si="2"/>
        <v>12811500</v>
      </c>
      <c r="S54" s="179">
        <f t="shared" si="2"/>
        <v>12811500</v>
      </c>
      <c r="T54" s="179">
        <f t="shared" si="2"/>
        <v>12811500</v>
      </c>
      <c r="U54" s="179">
        <f t="shared" si="2"/>
        <v>12811500</v>
      </c>
      <c r="V54" s="179">
        <f t="shared" si="2"/>
        <v>12811500</v>
      </c>
      <c r="W54" s="179">
        <f t="shared" si="2"/>
        <v>12811500</v>
      </c>
      <c r="X54" s="179">
        <f t="shared" si="2"/>
        <v>153738000</v>
      </c>
    </row>
    <row r="55" spans="2:33" ht="14.5" customHeight="1" x14ac:dyDescent="0.35">
      <c r="B55" s="131" t="s">
        <v>68</v>
      </c>
      <c r="C55" s="123" t="s">
        <v>588</v>
      </c>
      <c r="D55" s="132">
        <v>1</v>
      </c>
      <c r="E55" s="133">
        <v>25344</v>
      </c>
      <c r="F55" s="126">
        <v>304128</v>
      </c>
      <c r="G55" s="126">
        <v>25344</v>
      </c>
      <c r="H55" s="127" t="s">
        <v>207</v>
      </c>
      <c r="I55" s="127" t="s">
        <v>207</v>
      </c>
      <c r="J55" s="142">
        <v>5.0999999999999969E-2</v>
      </c>
      <c r="K55" s="125">
        <v>319638.52799999999</v>
      </c>
      <c r="L55" s="125">
        <v>26636.543999999998</v>
      </c>
      <c r="M55" s="125">
        <v>26636.543999999998</v>
      </c>
      <c r="N55" s="125">
        <v>26636.543999999998</v>
      </c>
      <c r="O55" s="125">
        <v>26636.543999999998</v>
      </c>
      <c r="P55" s="125">
        <v>26636.543999999998</v>
      </c>
      <c r="Q55" s="125">
        <v>26636.543999999998</v>
      </c>
      <c r="R55" s="125">
        <v>26636.543999999998</v>
      </c>
      <c r="S55" s="125">
        <v>26636.543999999998</v>
      </c>
      <c r="T55" s="125">
        <v>26636.543999999998</v>
      </c>
      <c r="U55" s="125">
        <v>26636.543999999998</v>
      </c>
      <c r="V55" s="125">
        <v>26636.543999999998</v>
      </c>
      <c r="W55" s="125">
        <v>26636.543999999998</v>
      </c>
      <c r="X55" s="125">
        <v>319638.52799999999</v>
      </c>
    </row>
    <row r="56" spans="2:33" ht="14.5" customHeight="1" x14ac:dyDescent="0.35">
      <c r="B56" s="131" t="s">
        <v>68</v>
      </c>
      <c r="C56" s="123" t="s">
        <v>368</v>
      </c>
      <c r="D56" s="132">
        <v>100</v>
      </c>
      <c r="E56" s="126">
        <v>26262.626262626261</v>
      </c>
      <c r="F56" s="126">
        <v>31515151.515151516</v>
      </c>
      <c r="G56" s="126">
        <v>2626262.6262626261</v>
      </c>
      <c r="H56" s="127" t="s">
        <v>207</v>
      </c>
      <c r="I56" s="127" t="s">
        <v>207</v>
      </c>
      <c r="J56" s="142">
        <v>5.0999999999999976E-2</v>
      </c>
      <c r="K56" s="125">
        <v>33122424.242424242</v>
      </c>
      <c r="L56" s="125">
        <v>2760202.0202020197</v>
      </c>
      <c r="M56" s="125">
        <v>2760202.0202020197</v>
      </c>
      <c r="N56" s="125">
        <v>2760202.0202020197</v>
      </c>
      <c r="O56" s="125">
        <v>2760202.0202020197</v>
      </c>
      <c r="P56" s="125">
        <v>2760202.0202020197</v>
      </c>
      <c r="Q56" s="125">
        <v>2760202.0202020197</v>
      </c>
      <c r="R56" s="125">
        <v>2760202.0202020197</v>
      </c>
      <c r="S56" s="125">
        <v>2760202.0202020197</v>
      </c>
      <c r="T56" s="125">
        <v>2760202.0202020197</v>
      </c>
      <c r="U56" s="125">
        <v>2760202.0202020197</v>
      </c>
      <c r="V56" s="125">
        <v>2760202.0202020197</v>
      </c>
      <c r="W56" s="125">
        <v>2760202.0202020197</v>
      </c>
      <c r="X56" s="125">
        <v>33122424.242424231</v>
      </c>
    </row>
    <row r="57" spans="2:33" s="155" customFormat="1" ht="14.5" customHeight="1" x14ac:dyDescent="0.35">
      <c r="B57" s="156" t="s">
        <v>657</v>
      </c>
      <c r="C57" s="157"/>
      <c r="D57" s="162"/>
      <c r="E57" s="159"/>
      <c r="F57" s="159">
        <v>31819279.515151516</v>
      </c>
      <c r="G57" s="159">
        <v>2651606.6262626261</v>
      </c>
      <c r="H57" s="160"/>
      <c r="I57" s="160"/>
      <c r="J57" s="161">
        <v>5.1000000000000004E-2</v>
      </c>
      <c r="K57" s="159">
        <v>33442062.770424243</v>
      </c>
      <c r="L57" s="159">
        <v>2786838.5642020199</v>
      </c>
      <c r="M57" s="159">
        <v>2786838.5642020199</v>
      </c>
      <c r="N57" s="159">
        <v>2786838.5642020199</v>
      </c>
      <c r="O57" s="159">
        <v>2786838.5642020199</v>
      </c>
      <c r="P57" s="159">
        <v>2786838.5642020199</v>
      </c>
      <c r="Q57" s="159">
        <v>2786838.5642020199</v>
      </c>
      <c r="R57" s="159">
        <v>2786838.5642020199</v>
      </c>
      <c r="S57" s="159">
        <v>2786838.5642020199</v>
      </c>
      <c r="T57" s="159">
        <v>2786838.5642020199</v>
      </c>
      <c r="U57" s="159">
        <v>2786838.5642020199</v>
      </c>
      <c r="V57" s="159">
        <v>2786838.5642020199</v>
      </c>
      <c r="W57" s="159">
        <v>2786838.5642020199</v>
      </c>
      <c r="X57" s="159">
        <f>+SUM(X55:X56)</f>
        <v>33442062.770424232</v>
      </c>
      <c r="Y57" s="118"/>
      <c r="Z57" s="118"/>
      <c r="AA57" s="118"/>
      <c r="AB57" s="118"/>
      <c r="AC57" s="118"/>
      <c r="AD57" s="118"/>
      <c r="AE57" s="118"/>
      <c r="AF57" s="118"/>
      <c r="AG57" s="118"/>
    </row>
    <row r="58" spans="2:33" ht="14.5" customHeight="1" x14ac:dyDescent="0.35">
      <c r="B58" s="131" t="s">
        <v>119</v>
      </c>
      <c r="C58" s="123" t="s">
        <v>598</v>
      </c>
      <c r="D58" s="132">
        <v>30</v>
      </c>
      <c r="E58" s="126">
        <v>50000</v>
      </c>
      <c r="F58" s="126">
        <v>1500000</v>
      </c>
      <c r="G58" s="126">
        <v>125000</v>
      </c>
      <c r="H58" s="127" t="s">
        <v>525</v>
      </c>
      <c r="I58" s="127" t="s">
        <v>212</v>
      </c>
      <c r="J58" s="142">
        <v>5.0999999999999997E-2</v>
      </c>
      <c r="K58" s="125">
        <v>1576500</v>
      </c>
      <c r="L58" s="125"/>
      <c r="M58" s="125"/>
      <c r="N58" s="125">
        <v>1576500</v>
      </c>
      <c r="O58" s="125"/>
      <c r="P58" s="125"/>
      <c r="Q58" s="125"/>
      <c r="R58" s="125"/>
      <c r="S58" s="125"/>
      <c r="T58" s="125"/>
      <c r="U58" s="125"/>
      <c r="V58" s="125"/>
      <c r="W58" s="125"/>
      <c r="X58" s="125">
        <v>1576500</v>
      </c>
    </row>
    <row r="59" spans="2:33" ht="14.5" customHeight="1" x14ac:dyDescent="0.35">
      <c r="B59" s="131" t="s">
        <v>119</v>
      </c>
      <c r="C59" s="123" t="s">
        <v>218</v>
      </c>
      <c r="D59" s="132">
        <v>70</v>
      </c>
      <c r="E59" s="126">
        <v>50000</v>
      </c>
      <c r="F59" s="126">
        <v>3500000</v>
      </c>
      <c r="G59" s="126">
        <v>291666.66666666669</v>
      </c>
      <c r="H59" s="127" t="s">
        <v>525</v>
      </c>
      <c r="I59" s="127" t="s">
        <v>212</v>
      </c>
      <c r="J59" s="142">
        <v>5.0999999999999997E-2</v>
      </c>
      <c r="K59" s="125">
        <v>3678500</v>
      </c>
      <c r="L59" s="125"/>
      <c r="M59" s="125"/>
      <c r="N59" s="125">
        <v>3678500</v>
      </c>
      <c r="O59" s="125"/>
      <c r="P59" s="125"/>
      <c r="Q59" s="125"/>
      <c r="R59" s="125"/>
      <c r="S59" s="125"/>
      <c r="T59" s="125"/>
      <c r="U59" s="125"/>
      <c r="V59" s="125"/>
      <c r="W59" s="125"/>
      <c r="X59" s="125">
        <v>3678500</v>
      </c>
    </row>
    <row r="60" spans="2:33" ht="14.5" customHeight="1" x14ac:dyDescent="0.35">
      <c r="B60" s="131" t="s">
        <v>119</v>
      </c>
      <c r="C60" s="123" t="s">
        <v>599</v>
      </c>
      <c r="D60" s="132">
        <v>37.5</v>
      </c>
      <c r="E60" s="126">
        <v>50000</v>
      </c>
      <c r="F60" s="133">
        <v>1875000</v>
      </c>
      <c r="G60" s="126">
        <v>156250</v>
      </c>
      <c r="H60" s="127" t="s">
        <v>525</v>
      </c>
      <c r="I60" s="127" t="s">
        <v>213</v>
      </c>
      <c r="J60" s="142">
        <v>5.0999999999999879E-2</v>
      </c>
      <c r="K60" s="125">
        <v>1970624.9999999998</v>
      </c>
      <c r="L60" s="125"/>
      <c r="M60" s="125"/>
      <c r="N60" s="125"/>
      <c r="O60" s="125"/>
      <c r="P60" s="125">
        <v>1970624.9999999998</v>
      </c>
      <c r="Q60" s="125"/>
      <c r="R60" s="125"/>
      <c r="S60" s="125"/>
      <c r="T60" s="125"/>
      <c r="U60" s="125"/>
      <c r="V60" s="125"/>
      <c r="W60" s="125"/>
      <c r="X60" s="125">
        <v>1970624.9999999998</v>
      </c>
    </row>
    <row r="61" spans="2:33" ht="14.5" customHeight="1" x14ac:dyDescent="0.35">
      <c r="B61" s="131" t="s">
        <v>119</v>
      </c>
      <c r="C61" s="123" t="s">
        <v>600</v>
      </c>
      <c r="D61" s="132">
        <v>21</v>
      </c>
      <c r="E61" s="126">
        <v>50000</v>
      </c>
      <c r="F61" s="133">
        <v>1050000</v>
      </c>
      <c r="G61" s="126">
        <v>87500</v>
      </c>
      <c r="H61" s="127" t="s">
        <v>525</v>
      </c>
      <c r="I61" s="127" t="s">
        <v>214</v>
      </c>
      <c r="J61" s="142">
        <v>5.0999999999999997E-2</v>
      </c>
      <c r="K61" s="125">
        <v>1103550</v>
      </c>
      <c r="L61" s="125"/>
      <c r="M61" s="125"/>
      <c r="N61" s="125"/>
      <c r="O61" s="125"/>
      <c r="P61" s="125"/>
      <c r="Q61" s="125">
        <v>1103550</v>
      </c>
      <c r="R61" s="125"/>
      <c r="S61" s="125"/>
      <c r="T61" s="125"/>
      <c r="U61" s="125"/>
      <c r="V61" s="125"/>
      <c r="W61" s="125"/>
      <c r="X61" s="125">
        <v>1103550</v>
      </c>
    </row>
    <row r="62" spans="2:33" ht="14.5" customHeight="1" x14ac:dyDescent="0.35">
      <c r="B62" s="131" t="s">
        <v>119</v>
      </c>
      <c r="C62" s="123" t="s">
        <v>604</v>
      </c>
      <c r="D62" s="132">
        <v>40</v>
      </c>
      <c r="E62" s="126">
        <v>50000</v>
      </c>
      <c r="F62" s="133">
        <v>2000000</v>
      </c>
      <c r="G62" s="126">
        <v>166666.66666666666</v>
      </c>
      <c r="H62" s="127" t="s">
        <v>525</v>
      </c>
      <c r="I62" s="127" t="s">
        <v>601</v>
      </c>
      <c r="J62" s="142">
        <v>0</v>
      </c>
      <c r="K62" s="125">
        <v>2000000</v>
      </c>
      <c r="L62" s="125"/>
      <c r="M62" s="125"/>
      <c r="N62" s="125"/>
      <c r="O62" s="125">
        <v>2000000</v>
      </c>
      <c r="P62" s="125"/>
      <c r="Q62" s="125"/>
      <c r="R62" s="125"/>
      <c r="S62" s="125"/>
      <c r="T62" s="125"/>
      <c r="U62" s="125"/>
      <c r="V62" s="125"/>
      <c r="W62" s="125"/>
      <c r="X62" s="125">
        <v>2000000</v>
      </c>
    </row>
    <row r="63" spans="2:33" ht="14.5" customHeight="1" x14ac:dyDescent="0.35">
      <c r="B63" s="131" t="s">
        <v>119</v>
      </c>
      <c r="C63" s="123" t="s">
        <v>605</v>
      </c>
      <c r="D63" s="132">
        <v>40</v>
      </c>
      <c r="E63" s="126">
        <v>20000</v>
      </c>
      <c r="F63" s="133">
        <v>800000</v>
      </c>
      <c r="G63" s="126">
        <v>66666.666666666672</v>
      </c>
      <c r="H63" s="127" t="s">
        <v>525</v>
      </c>
      <c r="I63" s="127" t="s">
        <v>195</v>
      </c>
      <c r="J63" s="142">
        <v>0</v>
      </c>
      <c r="K63" s="125">
        <v>800000</v>
      </c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>
        <v>800000</v>
      </c>
      <c r="W63" s="125"/>
      <c r="X63" s="125">
        <v>800000</v>
      </c>
    </row>
    <row r="64" spans="2:33" ht="14.5" customHeight="1" x14ac:dyDescent="0.35">
      <c r="B64" s="131" t="s">
        <v>119</v>
      </c>
      <c r="C64" s="123" t="s">
        <v>606</v>
      </c>
      <c r="D64" s="132">
        <v>40</v>
      </c>
      <c r="E64" s="126">
        <v>80000</v>
      </c>
      <c r="F64" s="133">
        <v>3200000</v>
      </c>
      <c r="G64" s="126">
        <v>266666.66666666669</v>
      </c>
      <c r="H64" s="127" t="s">
        <v>525</v>
      </c>
      <c r="I64" s="127" t="s">
        <v>209</v>
      </c>
      <c r="J64" s="142">
        <v>5.0999999999999997E-2</v>
      </c>
      <c r="K64" s="125">
        <v>3363200</v>
      </c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>
        <v>3363200</v>
      </c>
      <c r="X64" s="125">
        <v>3363200</v>
      </c>
    </row>
    <row r="65" spans="2:24" ht="14.5" customHeight="1" x14ac:dyDescent="0.35">
      <c r="B65" s="131" t="s">
        <v>119</v>
      </c>
      <c r="C65" s="123" t="s">
        <v>217</v>
      </c>
      <c r="D65" s="132">
        <v>100</v>
      </c>
      <c r="E65" s="133">
        <v>130000</v>
      </c>
      <c r="F65" s="133">
        <v>13000000</v>
      </c>
      <c r="G65" s="126">
        <v>1083333.3333333333</v>
      </c>
      <c r="H65" s="127" t="s">
        <v>207</v>
      </c>
      <c r="I65" s="127" t="s">
        <v>207</v>
      </c>
      <c r="J65" s="142">
        <v>0</v>
      </c>
      <c r="K65" s="125">
        <v>13000000</v>
      </c>
      <c r="L65" s="125">
        <v>1083333.3333333333</v>
      </c>
      <c r="M65" s="125">
        <v>1083333.3333333333</v>
      </c>
      <c r="N65" s="125">
        <v>1083333.3333333333</v>
      </c>
      <c r="O65" s="125">
        <v>1083333.3333333333</v>
      </c>
      <c r="P65" s="125">
        <v>1083333.3333333333</v>
      </c>
      <c r="Q65" s="125">
        <v>1083333.3333333333</v>
      </c>
      <c r="R65" s="125">
        <v>1083333.3333333333</v>
      </c>
      <c r="S65" s="125">
        <v>1083333.3333333333</v>
      </c>
      <c r="T65" s="125">
        <v>1083333.3333333333</v>
      </c>
      <c r="U65" s="125">
        <v>1083333.3333333333</v>
      </c>
      <c r="V65" s="125">
        <v>1083333.3333333333</v>
      </c>
      <c r="W65" s="125">
        <v>1083333.3333333333</v>
      </c>
      <c r="X65" s="125">
        <v>13000000.000000002</v>
      </c>
    </row>
    <row r="66" spans="2:24" ht="14.5" customHeight="1" x14ac:dyDescent="0.35">
      <c r="B66" s="131" t="s">
        <v>119</v>
      </c>
      <c r="C66" s="123" t="s">
        <v>603</v>
      </c>
      <c r="D66" s="132">
        <v>4</v>
      </c>
      <c r="E66" s="133">
        <v>200000</v>
      </c>
      <c r="F66" s="133">
        <v>800000</v>
      </c>
      <c r="G66" s="126">
        <v>66666.666666666672</v>
      </c>
      <c r="H66" s="127" t="s">
        <v>207</v>
      </c>
      <c r="I66" s="127" t="s">
        <v>631</v>
      </c>
      <c r="J66" s="142">
        <v>5.0999999999999997E-2</v>
      </c>
      <c r="K66" s="125">
        <v>840800</v>
      </c>
      <c r="L66" s="125"/>
      <c r="M66" s="125"/>
      <c r="N66" s="125">
        <v>420400</v>
      </c>
      <c r="O66" s="125"/>
      <c r="P66" s="125"/>
      <c r="Q66" s="125"/>
      <c r="R66" s="125">
        <v>0</v>
      </c>
      <c r="S66" s="125"/>
      <c r="T66" s="125">
        <v>420400</v>
      </c>
      <c r="U66" s="125"/>
      <c r="V66" s="125"/>
      <c r="W66" s="125"/>
      <c r="X66" s="125">
        <v>840800</v>
      </c>
    </row>
    <row r="67" spans="2:24" ht="14.5" customHeight="1" x14ac:dyDescent="0.35">
      <c r="B67" s="131" t="s">
        <v>119</v>
      </c>
      <c r="C67" s="123" t="s">
        <v>215</v>
      </c>
      <c r="D67" s="132">
        <v>100</v>
      </c>
      <c r="E67" s="133">
        <v>25000</v>
      </c>
      <c r="F67" s="133">
        <v>2500000</v>
      </c>
      <c r="G67" s="126">
        <v>208333.33333333334</v>
      </c>
      <c r="H67" s="127" t="s">
        <v>525</v>
      </c>
      <c r="I67" s="127" t="s">
        <v>216</v>
      </c>
      <c r="J67" s="142">
        <v>5.0999999999999997E-2</v>
      </c>
      <c r="K67" s="125">
        <v>2627500</v>
      </c>
      <c r="L67" s="125"/>
      <c r="M67" s="125"/>
      <c r="N67" s="125"/>
      <c r="O67" s="125"/>
      <c r="P67" s="125"/>
      <c r="Q67" s="125"/>
      <c r="R67" s="125"/>
      <c r="S67" s="125"/>
      <c r="T67" s="125">
        <v>2627500</v>
      </c>
      <c r="U67" s="125"/>
      <c r="V67" s="125"/>
      <c r="W67" s="125"/>
      <c r="X67" s="125">
        <v>2627500</v>
      </c>
    </row>
    <row r="68" spans="2:24" ht="14.5" customHeight="1" x14ac:dyDescent="0.35">
      <c r="B68" s="131" t="s">
        <v>119</v>
      </c>
      <c r="C68" s="123" t="s">
        <v>219</v>
      </c>
      <c r="D68" s="132">
        <v>100</v>
      </c>
      <c r="E68" s="133">
        <v>30000</v>
      </c>
      <c r="F68" s="133">
        <v>3000000</v>
      </c>
      <c r="G68" s="126">
        <v>250000</v>
      </c>
      <c r="H68" s="127" t="s">
        <v>525</v>
      </c>
      <c r="I68" s="127" t="s">
        <v>195</v>
      </c>
      <c r="J68" s="142">
        <v>0</v>
      </c>
      <c r="K68" s="125">
        <v>3000000</v>
      </c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>
        <v>3000000</v>
      </c>
      <c r="W68" s="125"/>
      <c r="X68" s="125">
        <v>3000000</v>
      </c>
    </row>
    <row r="69" spans="2:24" ht="14.5" customHeight="1" x14ac:dyDescent="0.35">
      <c r="B69" s="131" t="s">
        <v>119</v>
      </c>
      <c r="C69" s="123" t="s">
        <v>315</v>
      </c>
      <c r="D69" s="132">
        <v>100</v>
      </c>
      <c r="E69" s="133">
        <v>25000</v>
      </c>
      <c r="F69" s="133">
        <v>2500000</v>
      </c>
      <c r="G69" s="126">
        <v>208333.33333333334</v>
      </c>
      <c r="H69" s="127" t="s">
        <v>525</v>
      </c>
      <c r="I69" s="127" t="s">
        <v>209</v>
      </c>
      <c r="J69" s="142">
        <v>5.0999999999999997E-2</v>
      </c>
      <c r="K69" s="125">
        <v>2627500</v>
      </c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>
        <v>2627500</v>
      </c>
      <c r="X69" s="125">
        <v>2627500</v>
      </c>
    </row>
    <row r="70" spans="2:24" ht="14.5" customHeight="1" x14ac:dyDescent="0.35">
      <c r="B70" s="131" t="s">
        <v>119</v>
      </c>
      <c r="C70" s="123" t="s">
        <v>602</v>
      </c>
      <c r="D70" s="132">
        <v>50</v>
      </c>
      <c r="E70" s="133">
        <v>100000</v>
      </c>
      <c r="F70" s="133">
        <v>5000000</v>
      </c>
      <c r="G70" s="126">
        <v>416666.66666666669</v>
      </c>
      <c r="H70" s="127" t="s">
        <v>207</v>
      </c>
      <c r="I70" s="127" t="s">
        <v>631</v>
      </c>
      <c r="J70" s="142">
        <v>5.0999999999999997E-2</v>
      </c>
      <c r="K70" s="125">
        <v>5255000</v>
      </c>
      <c r="L70" s="125">
        <v>437916.66666666669</v>
      </c>
      <c r="M70" s="125">
        <v>437916.66666666669</v>
      </c>
      <c r="N70" s="125">
        <v>437916.66666666669</v>
      </c>
      <c r="O70" s="125">
        <v>437916.66666666669</v>
      </c>
      <c r="P70" s="125">
        <v>437916.66666666669</v>
      </c>
      <c r="Q70" s="125">
        <v>437916.66666666669</v>
      </c>
      <c r="R70" s="125">
        <v>437916.66666666669</v>
      </c>
      <c r="S70" s="125">
        <v>437916.66666666669</v>
      </c>
      <c r="T70" s="125">
        <v>437916.66666666669</v>
      </c>
      <c r="U70" s="125">
        <v>437916.66666666669</v>
      </c>
      <c r="V70" s="125">
        <v>437916.66666666669</v>
      </c>
      <c r="W70" s="125">
        <v>437916.66666666669</v>
      </c>
      <c r="X70" s="125">
        <v>5255000</v>
      </c>
    </row>
    <row r="71" spans="2:24" ht="14.5" customHeight="1" x14ac:dyDescent="0.35">
      <c r="B71" s="131" t="s">
        <v>119</v>
      </c>
      <c r="C71" s="123" t="s">
        <v>317</v>
      </c>
      <c r="D71" s="132">
        <v>30</v>
      </c>
      <c r="E71" s="133">
        <v>150000</v>
      </c>
      <c r="F71" s="133">
        <v>4500000</v>
      </c>
      <c r="G71" s="126">
        <v>375000</v>
      </c>
      <c r="H71" s="127" t="s">
        <v>207</v>
      </c>
      <c r="I71" s="127" t="s">
        <v>207</v>
      </c>
      <c r="J71" s="142">
        <v>5.0999999999999997E-2</v>
      </c>
      <c r="K71" s="125">
        <v>4729500</v>
      </c>
      <c r="L71" s="125">
        <v>394125</v>
      </c>
      <c r="M71" s="125">
        <v>394125</v>
      </c>
      <c r="N71" s="125">
        <v>394125</v>
      </c>
      <c r="O71" s="125">
        <v>394125</v>
      </c>
      <c r="P71" s="125">
        <v>394125</v>
      </c>
      <c r="Q71" s="125">
        <v>394125</v>
      </c>
      <c r="R71" s="125">
        <v>394125</v>
      </c>
      <c r="S71" s="125">
        <v>394125</v>
      </c>
      <c r="T71" s="125">
        <v>394125</v>
      </c>
      <c r="U71" s="125">
        <v>394125</v>
      </c>
      <c r="V71" s="125">
        <v>394125</v>
      </c>
      <c r="W71" s="125">
        <v>394125</v>
      </c>
      <c r="X71" s="125">
        <v>4729500</v>
      </c>
    </row>
    <row r="72" spans="2:24" ht="14.5" customHeight="1" x14ac:dyDescent="0.35">
      <c r="B72" s="136" t="s">
        <v>119</v>
      </c>
      <c r="C72" s="123" t="s">
        <v>648</v>
      </c>
      <c r="D72" s="137">
        <v>240</v>
      </c>
      <c r="E72" s="133">
        <v>25000</v>
      </c>
      <c r="F72" s="133">
        <v>6000000</v>
      </c>
      <c r="G72" s="126">
        <v>25000</v>
      </c>
      <c r="H72" s="127" t="s">
        <v>207</v>
      </c>
      <c r="I72" s="127" t="s">
        <v>631</v>
      </c>
      <c r="J72" s="142">
        <v>5.0999999999999997E-2</v>
      </c>
      <c r="K72" s="125">
        <v>6306000</v>
      </c>
      <c r="L72" s="125">
        <v>525500</v>
      </c>
      <c r="M72" s="125">
        <v>525500</v>
      </c>
      <c r="N72" s="125">
        <v>525500</v>
      </c>
      <c r="O72" s="125">
        <v>525500</v>
      </c>
      <c r="P72" s="125">
        <v>525500</v>
      </c>
      <c r="Q72" s="125">
        <v>525500</v>
      </c>
      <c r="R72" s="125">
        <v>525500</v>
      </c>
      <c r="S72" s="125">
        <v>525500</v>
      </c>
      <c r="T72" s="125">
        <v>525500</v>
      </c>
      <c r="U72" s="125">
        <v>525500</v>
      </c>
      <c r="V72" s="125">
        <v>525500</v>
      </c>
      <c r="W72" s="125">
        <v>525500</v>
      </c>
      <c r="X72" s="125">
        <v>6306000</v>
      </c>
    </row>
    <row r="73" spans="2:24" ht="14.5" customHeight="1" x14ac:dyDescent="0.35">
      <c r="B73" s="131" t="s">
        <v>119</v>
      </c>
      <c r="C73" s="123" t="s">
        <v>626</v>
      </c>
      <c r="D73" s="132">
        <v>60</v>
      </c>
      <c r="E73" s="133">
        <v>60000</v>
      </c>
      <c r="F73" s="133">
        <v>3600000</v>
      </c>
      <c r="G73" s="126">
        <v>300000</v>
      </c>
      <c r="H73" s="127" t="s">
        <v>207</v>
      </c>
      <c r="I73" s="127" t="s">
        <v>207</v>
      </c>
      <c r="J73" s="142">
        <v>5.0999999999999872E-2</v>
      </c>
      <c r="K73" s="125">
        <v>3783599.9999999995</v>
      </c>
      <c r="L73" s="125">
        <v>315300</v>
      </c>
      <c r="M73" s="125">
        <v>315300</v>
      </c>
      <c r="N73" s="125">
        <v>315300</v>
      </c>
      <c r="O73" s="125">
        <v>315300</v>
      </c>
      <c r="P73" s="125">
        <v>315300</v>
      </c>
      <c r="Q73" s="125">
        <v>315300</v>
      </c>
      <c r="R73" s="125">
        <v>315300</v>
      </c>
      <c r="S73" s="125">
        <v>315300</v>
      </c>
      <c r="T73" s="125">
        <v>315300</v>
      </c>
      <c r="U73" s="125">
        <v>315300</v>
      </c>
      <c r="V73" s="125">
        <v>315300</v>
      </c>
      <c r="W73" s="125">
        <v>315300</v>
      </c>
      <c r="X73" s="125">
        <v>3783600</v>
      </c>
    </row>
    <row r="74" spans="2:24" ht="14.5" customHeight="1" x14ac:dyDescent="0.35">
      <c r="B74" s="131" t="s">
        <v>119</v>
      </c>
      <c r="C74" s="123" t="s">
        <v>592</v>
      </c>
      <c r="D74" s="132">
        <v>40</v>
      </c>
      <c r="E74" s="126">
        <v>25000</v>
      </c>
      <c r="F74" s="126">
        <v>1000000</v>
      </c>
      <c r="G74" s="126">
        <v>83333.333333333328</v>
      </c>
      <c r="H74" s="127" t="s">
        <v>207</v>
      </c>
      <c r="I74" s="127" t="s">
        <v>207</v>
      </c>
      <c r="J74" s="142">
        <v>5.0999999999999997E-2</v>
      </c>
      <c r="K74" s="125">
        <v>1051000</v>
      </c>
      <c r="L74" s="125">
        <v>87583.333333333328</v>
      </c>
      <c r="M74" s="125">
        <v>87583.333333333328</v>
      </c>
      <c r="N74" s="125">
        <v>87583.333333333328</v>
      </c>
      <c r="O74" s="125">
        <v>87583.333333333328</v>
      </c>
      <c r="P74" s="125">
        <v>87583.333333333328</v>
      </c>
      <c r="Q74" s="125">
        <v>87583.333333333328</v>
      </c>
      <c r="R74" s="125">
        <v>87583.333333333328</v>
      </c>
      <c r="S74" s="125">
        <v>87583.333333333328</v>
      </c>
      <c r="T74" s="125">
        <v>87583.333333333328</v>
      </c>
      <c r="U74" s="125">
        <v>87583.333333333328</v>
      </c>
      <c r="V74" s="125">
        <v>87583.333333333328</v>
      </c>
      <c r="W74" s="125">
        <v>87583.333333333328</v>
      </c>
      <c r="X74" s="125">
        <v>1051000.0000000002</v>
      </c>
    </row>
    <row r="75" spans="2:24" ht="14.5" customHeight="1" x14ac:dyDescent="0.35">
      <c r="B75" s="131" t="s">
        <v>119</v>
      </c>
      <c r="C75" s="123" t="s">
        <v>597</v>
      </c>
      <c r="D75" s="132">
        <v>12</v>
      </c>
      <c r="E75" s="126">
        <v>180000</v>
      </c>
      <c r="F75" s="126">
        <v>2160000</v>
      </c>
      <c r="G75" s="126">
        <v>180000</v>
      </c>
      <c r="H75" s="127" t="s">
        <v>207</v>
      </c>
      <c r="I75" s="127" t="s">
        <v>207</v>
      </c>
      <c r="J75" s="142">
        <v>5.0999999999999997E-2</v>
      </c>
      <c r="K75" s="125">
        <v>2270160</v>
      </c>
      <c r="L75" s="125">
        <v>189180</v>
      </c>
      <c r="M75" s="125">
        <v>189180</v>
      </c>
      <c r="N75" s="125">
        <v>189180</v>
      </c>
      <c r="O75" s="125">
        <v>189180</v>
      </c>
      <c r="P75" s="125">
        <v>189180</v>
      </c>
      <c r="Q75" s="125">
        <v>189180</v>
      </c>
      <c r="R75" s="125">
        <v>189180</v>
      </c>
      <c r="S75" s="125">
        <v>189180</v>
      </c>
      <c r="T75" s="125">
        <v>189180</v>
      </c>
      <c r="U75" s="125">
        <v>189180</v>
      </c>
      <c r="V75" s="125">
        <v>189180</v>
      </c>
      <c r="W75" s="125">
        <v>189180</v>
      </c>
      <c r="X75" s="125">
        <v>2270160</v>
      </c>
    </row>
    <row r="76" spans="2:24" ht="14.5" customHeight="1" x14ac:dyDescent="0.35">
      <c r="B76" s="131" t="s">
        <v>119</v>
      </c>
      <c r="C76" s="123" t="s">
        <v>596</v>
      </c>
      <c r="D76" s="132">
        <v>40</v>
      </c>
      <c r="E76" s="126">
        <v>110000</v>
      </c>
      <c r="F76" s="126">
        <v>4400000</v>
      </c>
      <c r="G76" s="126">
        <v>366666.66666666669</v>
      </c>
      <c r="H76" s="127" t="s">
        <v>625</v>
      </c>
      <c r="I76" s="127" t="s">
        <v>646</v>
      </c>
      <c r="J76" s="142">
        <v>5.0999999999999997E-2</v>
      </c>
      <c r="K76" s="125">
        <v>4624400</v>
      </c>
      <c r="L76" s="125"/>
      <c r="M76" s="125"/>
      <c r="N76" s="125"/>
      <c r="O76" s="125">
        <v>1541466.6666666667</v>
      </c>
      <c r="P76" s="125"/>
      <c r="Q76" s="125"/>
      <c r="R76" s="125"/>
      <c r="S76" s="125">
        <v>1541466.6666666667</v>
      </c>
      <c r="T76" s="125"/>
      <c r="U76" s="125"/>
      <c r="V76" s="125"/>
      <c r="W76" s="125">
        <v>1541466.6666666667</v>
      </c>
      <c r="X76" s="125">
        <v>4624400</v>
      </c>
    </row>
    <row r="77" spans="2:24" ht="14.5" customHeight="1" x14ac:dyDescent="0.35">
      <c r="B77" s="131" t="s">
        <v>119</v>
      </c>
      <c r="C77" s="123" t="s">
        <v>615</v>
      </c>
      <c r="D77" s="132">
        <v>86</v>
      </c>
      <c r="E77" s="126">
        <v>25000</v>
      </c>
      <c r="F77" s="126">
        <v>2150000</v>
      </c>
      <c r="G77" s="126">
        <v>179166.66666666666</v>
      </c>
      <c r="H77" s="127" t="s">
        <v>616</v>
      </c>
      <c r="I77" s="127" t="s">
        <v>642</v>
      </c>
      <c r="J77" s="142">
        <v>0</v>
      </c>
      <c r="K77" s="125">
        <v>2150000</v>
      </c>
      <c r="L77" s="125"/>
      <c r="M77" s="125">
        <v>1075000</v>
      </c>
      <c r="N77" s="125"/>
      <c r="O77" s="125"/>
      <c r="P77" s="125"/>
      <c r="Q77" s="125"/>
      <c r="R77" s="125"/>
      <c r="S77" s="125">
        <v>1075000</v>
      </c>
      <c r="T77" s="125"/>
      <c r="U77" s="125"/>
      <c r="V77" s="125"/>
      <c r="W77" s="125"/>
      <c r="X77" s="125">
        <v>2150000</v>
      </c>
    </row>
    <row r="78" spans="2:24" ht="14.5" customHeight="1" x14ac:dyDescent="0.35">
      <c r="B78" s="131" t="s">
        <v>119</v>
      </c>
      <c r="C78" s="123" t="s">
        <v>609</v>
      </c>
      <c r="D78" s="132">
        <v>17</v>
      </c>
      <c r="E78" s="126">
        <v>690000</v>
      </c>
      <c r="F78" s="126">
        <v>690000</v>
      </c>
      <c r="G78" s="126">
        <v>57500</v>
      </c>
      <c r="H78" s="127" t="s">
        <v>207</v>
      </c>
      <c r="I78" s="127" t="s">
        <v>207</v>
      </c>
      <c r="J78" s="142">
        <v>0</v>
      </c>
      <c r="K78" s="125">
        <v>690000</v>
      </c>
      <c r="L78" s="125">
        <v>57500</v>
      </c>
      <c r="M78" s="125">
        <v>57500</v>
      </c>
      <c r="N78" s="125">
        <v>57500</v>
      </c>
      <c r="O78" s="125">
        <v>57500</v>
      </c>
      <c r="P78" s="125">
        <v>57500</v>
      </c>
      <c r="Q78" s="125">
        <v>57500</v>
      </c>
      <c r="R78" s="125">
        <v>57500</v>
      </c>
      <c r="S78" s="125">
        <v>57500</v>
      </c>
      <c r="T78" s="125">
        <v>57500</v>
      </c>
      <c r="U78" s="125">
        <v>57500</v>
      </c>
      <c r="V78" s="125">
        <v>57500</v>
      </c>
      <c r="W78" s="125">
        <v>57500</v>
      </c>
      <c r="X78" s="125">
        <v>690000</v>
      </c>
    </row>
    <row r="79" spans="2:24" s="118" customFormat="1" ht="14.5" customHeight="1" x14ac:dyDescent="0.35">
      <c r="B79" s="189" t="s">
        <v>658</v>
      </c>
      <c r="C79" s="190"/>
      <c r="D79" s="191"/>
      <c r="E79" s="192"/>
      <c r="F79" s="192">
        <v>65225000</v>
      </c>
      <c r="G79" s="192">
        <v>4960416.6666666679</v>
      </c>
      <c r="H79" s="193"/>
      <c r="I79" s="193"/>
      <c r="J79" s="194">
        <v>3.4079494059026445E-2</v>
      </c>
      <c r="K79" s="192">
        <v>67447835</v>
      </c>
      <c r="L79" s="192">
        <v>3090438.3333333335</v>
      </c>
      <c r="M79" s="192">
        <v>4165438.3333333335</v>
      </c>
      <c r="N79" s="192">
        <v>8765838.333333334</v>
      </c>
      <c r="O79" s="192">
        <v>6631905</v>
      </c>
      <c r="P79" s="192">
        <v>5061063.333333333</v>
      </c>
      <c r="Q79" s="192">
        <v>4193988.333333333</v>
      </c>
      <c r="R79" s="192">
        <v>3090438.3333333335</v>
      </c>
      <c r="S79" s="192">
        <v>5706905</v>
      </c>
      <c r="T79" s="192">
        <v>6138338.333333333</v>
      </c>
      <c r="U79" s="192">
        <v>3090438.3333333335</v>
      </c>
      <c r="V79" s="192">
        <v>6890438.333333333</v>
      </c>
      <c r="W79" s="192">
        <v>10622605</v>
      </c>
      <c r="X79" s="192">
        <f>+SUM(X58:X78)</f>
        <v>67447835</v>
      </c>
    </row>
    <row r="81" spans="1:25" s="196" customFormat="1" ht="14.5" customHeight="1" x14ac:dyDescent="0.35">
      <c r="A81" s="195"/>
      <c r="D81" s="197"/>
      <c r="E81" s="198"/>
      <c r="F81" s="198"/>
      <c r="G81" s="198"/>
      <c r="J81" s="200" t="s">
        <v>659</v>
      </c>
      <c r="K81" s="200">
        <f>+K79+K57+K54+K52+K42+K38+K28+K20</f>
        <v>625270650.77371001</v>
      </c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200" t="s">
        <v>659</v>
      </c>
      <c r="X81" s="200">
        <f>+X79+X57+X54+X52+X42+X38+X28+X20</f>
        <v>568853855.50485277</v>
      </c>
    </row>
    <row r="84" spans="1:25" ht="14.5" customHeight="1" x14ac:dyDescent="0.35">
      <c r="W84" s="140" t="s">
        <v>660</v>
      </c>
    </row>
    <row r="85" spans="1:25" ht="14.5" customHeight="1" x14ac:dyDescent="0.35">
      <c r="W85" s="140" t="s">
        <v>649</v>
      </c>
      <c r="X85" s="140">
        <v>147440.5385690585</v>
      </c>
      <c r="Y85" s="201">
        <f>+X85*TRM</f>
        <v>582390127.34778106</v>
      </c>
    </row>
    <row r="86" spans="1:25" ht="14.5" customHeight="1" x14ac:dyDescent="0.35">
      <c r="W86" s="140" t="s">
        <v>653</v>
      </c>
      <c r="X86" s="140">
        <v>46218.080966834168</v>
      </c>
      <c r="Y86" s="201">
        <f>+X86*TRM</f>
        <v>182561419.81899497</v>
      </c>
    </row>
    <row r="87" spans="1:25" ht="14.5" customHeight="1" x14ac:dyDescent="0.35">
      <c r="W87" s="140" t="s">
        <v>322</v>
      </c>
      <c r="X87" s="140">
        <v>56684.603622479117</v>
      </c>
      <c r="Y87" s="201">
        <f>+X87*TRM</f>
        <v>223904184.3087925</v>
      </c>
    </row>
    <row r="88" spans="1:25" ht="14.5" customHeight="1" x14ac:dyDescent="0.35">
      <c r="W88" s="140" t="s">
        <v>650</v>
      </c>
      <c r="X88" s="140">
        <v>1493117.9554219283</v>
      </c>
      <c r="Y88" s="201">
        <f>+X88*TRM</f>
        <v>5897815923.9166164</v>
      </c>
    </row>
    <row r="89" spans="1:25" ht="14.5" customHeight="1" x14ac:dyDescent="0.35">
      <c r="W89" s="140" t="s">
        <v>651</v>
      </c>
      <c r="X89" s="140">
        <v>1743461.1785803002</v>
      </c>
      <c r="Y89" s="201">
        <f>+X89*TRM</f>
        <v>6886671655.3921862</v>
      </c>
    </row>
    <row r="91" spans="1:25" ht="14.5" customHeight="1" x14ac:dyDescent="0.35">
      <c r="W91" s="140" t="s">
        <v>647</v>
      </c>
      <c r="X91" s="140">
        <v>2691464.5983220246</v>
      </c>
    </row>
    <row r="93" spans="1:25" ht="14.5" customHeight="1" x14ac:dyDescent="0.35">
      <c r="W93" s="140" t="s">
        <v>652</v>
      </c>
      <c r="X93" s="140">
        <v>4434925.7769023245</v>
      </c>
    </row>
  </sheetData>
  <autoFilter ref="A1:J79" xr:uid="{8B9C7B4C-5A95-4A81-81F6-1998A5EFDF7C}"/>
  <phoneticPr fontId="46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439B6-9969-4CE0-A20E-3CA7DE03B9A6}">
  <sheetPr>
    <tabColor rgb="FFFF0000"/>
  </sheetPr>
  <dimension ref="A1:V69"/>
  <sheetViews>
    <sheetView showGridLines="0" topLeftCell="C1" zoomScale="90" zoomScaleNormal="90" workbookViewId="0">
      <pane ySplit="1" topLeftCell="A2" activePane="bottomLeft" state="frozen"/>
      <selection activeCell="U16" sqref="U16:U17"/>
      <selection pane="bottomLeft" activeCell="C55" sqref="C55"/>
    </sheetView>
  </sheetViews>
  <sheetFormatPr baseColWidth="10" defaultColWidth="10.81640625" defaultRowHeight="11.5" outlineLevelRow="1" x14ac:dyDescent="0.25"/>
  <cols>
    <col min="1" max="1" width="16.1796875" style="90" customWidth="1"/>
    <col min="2" max="2" width="29.1796875" style="90" bestFit="1" customWidth="1"/>
    <col min="3" max="3" width="24.81640625" style="90" bestFit="1" customWidth="1"/>
    <col min="4" max="4" width="24.81640625" style="90" customWidth="1"/>
    <col min="5" max="5" width="33.1796875" style="91" bestFit="1" customWidth="1"/>
    <col min="6" max="6" width="45.453125" style="90" customWidth="1"/>
    <col min="7" max="7" width="18" style="90" bestFit="1" customWidth="1"/>
    <col min="8" max="8" width="22.81640625" style="90" bestFit="1" customWidth="1"/>
    <col min="9" max="9" width="14" style="90" customWidth="1"/>
    <col min="10" max="10" width="12.453125" style="90" customWidth="1"/>
    <col min="11" max="14" width="11.81640625" style="90" customWidth="1"/>
    <col min="15" max="20" width="11.81640625" style="90" bestFit="1" customWidth="1"/>
    <col min="21" max="21" width="12.453125" style="90" bestFit="1" customWidth="1"/>
    <col min="22" max="30" width="10.81640625" style="90" customWidth="1"/>
    <col min="31" max="16384" width="10.81640625" style="90"/>
  </cols>
  <sheetData>
    <row r="1" spans="1:21" s="45" customFormat="1" ht="10.5" x14ac:dyDescent="0.25">
      <c r="A1" s="41" t="s">
        <v>404</v>
      </c>
      <c r="B1" s="41" t="s">
        <v>405</v>
      </c>
      <c r="C1" s="41" t="s">
        <v>406</v>
      </c>
      <c r="D1" s="41" t="s">
        <v>194</v>
      </c>
      <c r="E1" s="41" t="s">
        <v>407</v>
      </c>
      <c r="F1" s="41" t="s">
        <v>408</v>
      </c>
      <c r="G1" s="41" t="s">
        <v>409</v>
      </c>
      <c r="H1" s="41" t="s">
        <v>410</v>
      </c>
      <c r="I1" s="41" t="s">
        <v>411</v>
      </c>
      <c r="J1" s="42" t="s">
        <v>412</v>
      </c>
      <c r="K1" s="43" t="s">
        <v>413</v>
      </c>
      <c r="L1" s="41" t="s">
        <v>414</v>
      </c>
      <c r="M1" s="41" t="s">
        <v>415</v>
      </c>
      <c r="N1" s="41" t="s">
        <v>416</v>
      </c>
      <c r="O1" s="41" t="s">
        <v>417</v>
      </c>
      <c r="P1" s="41" t="s">
        <v>418</v>
      </c>
      <c r="Q1" s="41" t="s">
        <v>419</v>
      </c>
      <c r="R1" s="41" t="s">
        <v>420</v>
      </c>
      <c r="S1" s="41" t="s">
        <v>421</v>
      </c>
      <c r="T1" s="41" t="s">
        <v>422</v>
      </c>
      <c r="U1" s="44" t="s">
        <v>318</v>
      </c>
    </row>
    <row r="2" spans="1:21" s="45" customFormat="1" ht="18" customHeight="1" x14ac:dyDescent="0.3">
      <c r="A2" s="204" t="s">
        <v>423</v>
      </c>
      <c r="B2" s="204"/>
      <c r="C2" s="204"/>
      <c r="D2" s="204"/>
      <c r="E2" s="204"/>
      <c r="F2" s="204"/>
      <c r="G2" s="204"/>
      <c r="H2" s="204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</row>
    <row r="3" spans="1:21" s="50" customFormat="1" outlineLevel="1" x14ac:dyDescent="0.25">
      <c r="A3" s="47" t="s">
        <v>424</v>
      </c>
      <c r="B3" s="47" t="s">
        <v>425</v>
      </c>
      <c r="C3" s="48" t="s">
        <v>426</v>
      </c>
      <c r="D3" s="48" t="s">
        <v>427</v>
      </c>
      <c r="E3" s="48" t="s">
        <v>509</v>
      </c>
      <c r="F3" s="49" t="s">
        <v>429</v>
      </c>
      <c r="G3" s="49" t="s">
        <v>430</v>
      </c>
      <c r="H3" s="49" t="s">
        <v>431</v>
      </c>
      <c r="I3" s="51">
        <v>0</v>
      </c>
      <c r="J3" s="51">
        <v>0</v>
      </c>
      <c r="K3" s="51">
        <v>0</v>
      </c>
      <c r="L3" s="51">
        <v>0</v>
      </c>
      <c r="M3" s="51">
        <v>0</v>
      </c>
      <c r="N3" s="51">
        <v>0</v>
      </c>
      <c r="O3" s="51">
        <v>0</v>
      </c>
      <c r="P3" s="51">
        <v>0</v>
      </c>
      <c r="Q3" s="51">
        <v>0</v>
      </c>
      <c r="R3" s="51">
        <v>0</v>
      </c>
      <c r="S3" s="51">
        <v>0</v>
      </c>
      <c r="T3" s="51">
        <v>0</v>
      </c>
      <c r="U3" s="51">
        <v>0</v>
      </c>
    </row>
    <row r="4" spans="1:21" s="50" customFormat="1" outlineLevel="1" x14ac:dyDescent="0.25">
      <c r="A4" s="47" t="s">
        <v>424</v>
      </c>
      <c r="B4" s="47" t="s">
        <v>425</v>
      </c>
      <c r="C4" s="48" t="s">
        <v>426</v>
      </c>
      <c r="D4" s="48" t="s">
        <v>427</v>
      </c>
      <c r="E4" s="48" t="s">
        <v>428</v>
      </c>
      <c r="F4" s="49" t="s">
        <v>432</v>
      </c>
      <c r="G4" s="49" t="s">
        <v>202</v>
      </c>
      <c r="H4" s="49" t="s">
        <v>431</v>
      </c>
      <c r="I4" s="51">
        <v>0</v>
      </c>
      <c r="J4" s="51">
        <v>0</v>
      </c>
      <c r="K4" s="51">
        <v>0</v>
      </c>
      <c r="L4" s="51">
        <v>0</v>
      </c>
      <c r="M4" s="51">
        <v>0</v>
      </c>
      <c r="N4" s="51">
        <v>0</v>
      </c>
      <c r="O4" s="51">
        <v>0</v>
      </c>
      <c r="P4" s="51">
        <v>0</v>
      </c>
      <c r="Q4" s="51">
        <v>0</v>
      </c>
      <c r="R4" s="51">
        <v>0</v>
      </c>
      <c r="S4" s="51">
        <v>0</v>
      </c>
      <c r="T4" s="51">
        <v>0</v>
      </c>
      <c r="U4" s="51">
        <v>0</v>
      </c>
    </row>
    <row r="5" spans="1:21" s="50" customFormat="1" outlineLevel="1" x14ac:dyDescent="0.25">
      <c r="A5" s="47" t="s">
        <v>424</v>
      </c>
      <c r="B5" s="47" t="s">
        <v>425</v>
      </c>
      <c r="C5" s="48" t="s">
        <v>426</v>
      </c>
      <c r="D5" s="48" t="s">
        <v>427</v>
      </c>
      <c r="E5" s="48" t="s">
        <v>433</v>
      </c>
      <c r="F5" s="49" t="s">
        <v>429</v>
      </c>
      <c r="G5" s="49" t="s">
        <v>202</v>
      </c>
      <c r="H5" s="49" t="s">
        <v>434</v>
      </c>
      <c r="I5" s="51">
        <v>0</v>
      </c>
      <c r="J5" s="51">
        <v>0</v>
      </c>
      <c r="K5" s="51">
        <v>0</v>
      </c>
      <c r="L5" s="51">
        <v>0</v>
      </c>
      <c r="M5" s="51">
        <v>0</v>
      </c>
      <c r="N5" s="51">
        <v>0</v>
      </c>
      <c r="O5" s="51">
        <v>0</v>
      </c>
      <c r="P5" s="51">
        <v>0</v>
      </c>
      <c r="Q5" s="51">
        <v>0</v>
      </c>
      <c r="R5" s="51">
        <v>0</v>
      </c>
      <c r="S5" s="51">
        <v>0</v>
      </c>
      <c r="T5" s="51">
        <v>0</v>
      </c>
      <c r="U5" s="51">
        <v>0</v>
      </c>
    </row>
    <row r="6" spans="1:21" s="50" customFormat="1" outlineLevel="1" x14ac:dyDescent="0.25">
      <c r="A6" s="47" t="s">
        <v>424</v>
      </c>
      <c r="B6" s="47" t="s">
        <v>425</v>
      </c>
      <c r="C6" s="48" t="s">
        <v>426</v>
      </c>
      <c r="D6" s="48" t="s">
        <v>427</v>
      </c>
      <c r="E6" s="48" t="s">
        <v>433</v>
      </c>
      <c r="F6" s="49" t="s">
        <v>429</v>
      </c>
      <c r="G6" s="49" t="s">
        <v>202</v>
      </c>
      <c r="H6" s="49" t="s">
        <v>435</v>
      </c>
      <c r="I6" s="51">
        <v>0</v>
      </c>
      <c r="J6" s="51">
        <v>0</v>
      </c>
      <c r="K6" s="51">
        <v>0</v>
      </c>
      <c r="L6" s="51">
        <v>0</v>
      </c>
      <c r="M6" s="51">
        <v>0</v>
      </c>
      <c r="N6" s="51">
        <v>0</v>
      </c>
      <c r="O6" s="51">
        <v>0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</row>
    <row r="7" spans="1:21" s="50" customFormat="1" outlineLevel="1" x14ac:dyDescent="0.25">
      <c r="A7" s="47" t="s">
        <v>424</v>
      </c>
      <c r="B7" s="47" t="s">
        <v>436</v>
      </c>
      <c r="C7" s="48" t="s">
        <v>437</v>
      </c>
      <c r="D7" s="48" t="s">
        <v>427</v>
      </c>
      <c r="E7" s="48"/>
      <c r="F7" s="49"/>
      <c r="G7" s="49"/>
      <c r="H7" s="49"/>
      <c r="I7" s="51">
        <v>0</v>
      </c>
      <c r="J7" s="51">
        <v>0</v>
      </c>
      <c r="K7" s="51">
        <v>0</v>
      </c>
      <c r="L7" s="51">
        <v>0</v>
      </c>
      <c r="M7" s="51">
        <v>0</v>
      </c>
      <c r="N7" s="51">
        <v>0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1">
        <v>0</v>
      </c>
      <c r="U7" s="51">
        <v>0</v>
      </c>
    </row>
    <row r="8" spans="1:21" s="50" customFormat="1" outlineLevel="1" x14ac:dyDescent="0.25">
      <c r="A8" s="47" t="s">
        <v>424</v>
      </c>
      <c r="B8" s="47" t="s">
        <v>436</v>
      </c>
      <c r="C8" s="48" t="s">
        <v>438</v>
      </c>
      <c r="D8" s="48" t="s">
        <v>427</v>
      </c>
      <c r="E8" s="48"/>
      <c r="F8" s="49"/>
      <c r="G8" s="49"/>
      <c r="H8" s="49"/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0</v>
      </c>
      <c r="U8" s="51">
        <v>0</v>
      </c>
    </row>
    <row r="9" spans="1:21" s="50" customFormat="1" outlineLevel="1" x14ac:dyDescent="0.25">
      <c r="A9" s="47" t="s">
        <v>424</v>
      </c>
      <c r="B9" s="47" t="s">
        <v>436</v>
      </c>
      <c r="C9" s="48" t="s">
        <v>439</v>
      </c>
      <c r="D9" s="48" t="s">
        <v>427</v>
      </c>
      <c r="E9" s="48"/>
      <c r="F9" s="49"/>
      <c r="G9" s="49"/>
      <c r="H9" s="49"/>
      <c r="I9" s="51">
        <v>0</v>
      </c>
      <c r="J9" s="51">
        <v>0</v>
      </c>
      <c r="K9" s="51">
        <v>0</v>
      </c>
      <c r="L9" s="51">
        <v>0</v>
      </c>
      <c r="M9" s="51">
        <v>0</v>
      </c>
      <c r="N9" s="51">
        <v>0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1">
        <v>0</v>
      </c>
      <c r="U9" s="51">
        <v>0</v>
      </c>
    </row>
    <row r="10" spans="1:21" s="50" customFormat="1" outlineLevel="1" x14ac:dyDescent="0.25">
      <c r="A10" s="47" t="s">
        <v>424</v>
      </c>
      <c r="B10" s="47" t="s">
        <v>440</v>
      </c>
      <c r="C10" s="48" t="s">
        <v>441</v>
      </c>
      <c r="D10" s="48" t="s">
        <v>427</v>
      </c>
      <c r="E10" s="48"/>
      <c r="F10" s="49"/>
      <c r="G10" s="49"/>
      <c r="H10" s="49"/>
      <c r="I10" s="51">
        <v>0</v>
      </c>
      <c r="J10" s="51">
        <v>0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1">
        <v>0</v>
      </c>
      <c r="U10" s="51">
        <v>0</v>
      </c>
    </row>
    <row r="11" spans="1:21" s="50" customFormat="1" outlineLevel="1" x14ac:dyDescent="0.25">
      <c r="A11" s="47" t="s">
        <v>424</v>
      </c>
      <c r="B11" s="47" t="s">
        <v>440</v>
      </c>
      <c r="C11" s="48" t="s">
        <v>442</v>
      </c>
      <c r="D11" s="48" t="s">
        <v>427</v>
      </c>
      <c r="E11" s="48" t="s">
        <v>443</v>
      </c>
      <c r="F11" s="48"/>
      <c r="G11" s="48" t="s">
        <v>444</v>
      </c>
      <c r="H11" s="49" t="s">
        <v>445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</row>
    <row r="12" spans="1:21" s="50" customFormat="1" outlineLevel="1" x14ac:dyDescent="0.25">
      <c r="A12" s="47" t="s">
        <v>424</v>
      </c>
      <c r="B12" s="47" t="s">
        <v>446</v>
      </c>
      <c r="C12" s="48" t="s">
        <v>447</v>
      </c>
      <c r="D12" s="48" t="s">
        <v>427</v>
      </c>
      <c r="E12" s="48" t="s">
        <v>448</v>
      </c>
      <c r="F12" s="48" t="s">
        <v>449</v>
      </c>
      <c r="G12" s="48" t="s">
        <v>450</v>
      </c>
      <c r="H12" s="49"/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51">
        <v>0</v>
      </c>
    </row>
    <row r="13" spans="1:21" s="50" customFormat="1" outlineLevel="1" x14ac:dyDescent="0.25">
      <c r="A13" s="47" t="s">
        <v>424</v>
      </c>
      <c r="B13" s="47" t="s">
        <v>446</v>
      </c>
      <c r="C13" s="48" t="s">
        <v>451</v>
      </c>
      <c r="D13" s="48" t="s">
        <v>427</v>
      </c>
      <c r="E13" s="48"/>
      <c r="F13" s="48"/>
      <c r="G13" s="48"/>
      <c r="H13" s="49"/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</row>
    <row r="14" spans="1:21" s="50" customFormat="1" outlineLevel="1" x14ac:dyDescent="0.25">
      <c r="A14" s="47" t="s">
        <v>424</v>
      </c>
      <c r="B14" s="47" t="s">
        <v>446</v>
      </c>
      <c r="C14" s="48" t="s">
        <v>452</v>
      </c>
      <c r="D14" s="48" t="s">
        <v>453</v>
      </c>
      <c r="E14" s="48" t="s">
        <v>454</v>
      </c>
      <c r="F14" s="48"/>
      <c r="G14" s="48" t="s">
        <v>455</v>
      </c>
      <c r="H14" s="52"/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</row>
    <row r="15" spans="1:21" s="50" customFormat="1" outlineLevel="1" x14ac:dyDescent="0.25">
      <c r="A15" s="47" t="s">
        <v>424</v>
      </c>
      <c r="B15" s="47" t="s">
        <v>456</v>
      </c>
      <c r="C15" s="48" t="s">
        <v>457</v>
      </c>
      <c r="D15" s="48" t="s">
        <v>453</v>
      </c>
      <c r="E15" s="48" t="s">
        <v>458</v>
      </c>
      <c r="F15" s="49" t="s">
        <v>459</v>
      </c>
      <c r="G15" s="49" t="s">
        <v>460</v>
      </c>
      <c r="H15" s="49" t="s">
        <v>461</v>
      </c>
      <c r="I15" s="51">
        <v>0</v>
      </c>
      <c r="J15" s="51">
        <v>0</v>
      </c>
      <c r="K15" s="51">
        <v>0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</v>
      </c>
    </row>
    <row r="16" spans="1:21" s="50" customFormat="1" outlineLevel="1" x14ac:dyDescent="0.25">
      <c r="A16" s="53" t="s">
        <v>424</v>
      </c>
      <c r="B16" s="53" t="s">
        <v>456</v>
      </c>
      <c r="C16" s="53"/>
      <c r="D16" s="53"/>
      <c r="E16" s="53"/>
      <c r="F16" s="54"/>
      <c r="G16" s="54"/>
      <c r="H16" s="54"/>
      <c r="I16" s="55">
        <f>SUM(I3:I15)</f>
        <v>0</v>
      </c>
      <c r="J16" s="55">
        <f t="shared" ref="J16:T16" si="0">SUM(J3:J15)</f>
        <v>0</v>
      </c>
      <c r="K16" s="55">
        <f t="shared" si="0"/>
        <v>0</v>
      </c>
      <c r="L16" s="55">
        <f t="shared" si="0"/>
        <v>0</v>
      </c>
      <c r="M16" s="55">
        <f t="shared" si="0"/>
        <v>0</v>
      </c>
      <c r="N16" s="55">
        <f t="shared" si="0"/>
        <v>0</v>
      </c>
      <c r="O16" s="55">
        <f t="shared" si="0"/>
        <v>0</v>
      </c>
      <c r="P16" s="55">
        <f t="shared" si="0"/>
        <v>0</v>
      </c>
      <c r="Q16" s="55">
        <f t="shared" si="0"/>
        <v>0</v>
      </c>
      <c r="R16" s="55">
        <f t="shared" si="0"/>
        <v>0</v>
      </c>
      <c r="S16" s="55">
        <f t="shared" si="0"/>
        <v>0</v>
      </c>
      <c r="T16" s="55">
        <f t="shared" si="0"/>
        <v>0</v>
      </c>
      <c r="U16" s="55">
        <f>SUM(I16:T16)</f>
        <v>0</v>
      </c>
    </row>
    <row r="17" spans="1:22" s="50" customFormat="1" outlineLevel="1" x14ac:dyDescent="0.25">
      <c r="A17" s="56" t="s">
        <v>462</v>
      </c>
      <c r="B17" s="56" t="s">
        <v>463</v>
      </c>
      <c r="C17" s="57" t="s">
        <v>464</v>
      </c>
      <c r="D17" s="57" t="s">
        <v>465</v>
      </c>
      <c r="E17" s="57" t="s">
        <v>466</v>
      </c>
      <c r="F17" s="58" t="s">
        <v>467</v>
      </c>
      <c r="G17" s="58" t="s">
        <v>468</v>
      </c>
      <c r="H17" s="58" t="s">
        <v>461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f>SUM(I17:T17)</f>
        <v>0</v>
      </c>
    </row>
    <row r="18" spans="1:22" s="50" customFormat="1" outlineLevel="1" x14ac:dyDescent="0.25">
      <c r="A18" s="56" t="s">
        <v>462</v>
      </c>
      <c r="B18" s="56" t="s">
        <v>469</v>
      </c>
      <c r="C18" s="57" t="s">
        <v>470</v>
      </c>
      <c r="D18" s="57" t="s">
        <v>471</v>
      </c>
      <c r="E18" s="57" t="s">
        <v>472</v>
      </c>
      <c r="F18" s="58" t="s">
        <v>473</v>
      </c>
      <c r="G18" s="58" t="s">
        <v>474</v>
      </c>
      <c r="H18" s="58" t="s">
        <v>461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f>SUM(I18:T18)</f>
        <v>0</v>
      </c>
    </row>
    <row r="19" spans="1:22" s="50" customFormat="1" outlineLevel="1" x14ac:dyDescent="0.25">
      <c r="A19" s="53" t="s">
        <v>462</v>
      </c>
      <c r="B19" s="53" t="s">
        <v>469</v>
      </c>
      <c r="C19" s="60"/>
      <c r="D19" s="60"/>
      <c r="E19" s="60"/>
      <c r="F19" s="61"/>
      <c r="G19" s="61"/>
      <c r="H19" s="61"/>
      <c r="I19" s="62">
        <f>SUM(I17:I18)</f>
        <v>0</v>
      </c>
      <c r="J19" s="62">
        <f t="shared" ref="J19:U19" si="1">SUM(J17:J18)</f>
        <v>0</v>
      </c>
      <c r="K19" s="62">
        <f t="shared" si="1"/>
        <v>0</v>
      </c>
      <c r="L19" s="62">
        <f t="shared" si="1"/>
        <v>0</v>
      </c>
      <c r="M19" s="62">
        <f t="shared" si="1"/>
        <v>0</v>
      </c>
      <c r="N19" s="62">
        <f t="shared" si="1"/>
        <v>0</v>
      </c>
      <c r="O19" s="62">
        <f t="shared" si="1"/>
        <v>0</v>
      </c>
      <c r="P19" s="62">
        <f t="shared" si="1"/>
        <v>0</v>
      </c>
      <c r="Q19" s="62">
        <f t="shared" si="1"/>
        <v>0</v>
      </c>
      <c r="R19" s="62">
        <f t="shared" si="1"/>
        <v>0</v>
      </c>
      <c r="S19" s="62">
        <f t="shared" si="1"/>
        <v>0</v>
      </c>
      <c r="T19" s="62">
        <f t="shared" si="1"/>
        <v>0</v>
      </c>
      <c r="U19" s="62">
        <f t="shared" si="1"/>
        <v>0</v>
      </c>
    </row>
    <row r="20" spans="1:22" s="50" customFormat="1" outlineLevel="1" x14ac:dyDescent="0.25">
      <c r="A20" s="63" t="s">
        <v>475</v>
      </c>
      <c r="B20" s="63" t="s">
        <v>476</v>
      </c>
      <c r="C20" s="64" t="s">
        <v>477</v>
      </c>
      <c r="D20" s="64" t="s">
        <v>427</v>
      </c>
      <c r="E20" s="64"/>
      <c r="F20" s="65"/>
      <c r="G20" s="65"/>
      <c r="H20" s="65"/>
      <c r="I20" s="66">
        <v>0</v>
      </c>
      <c r="J20" s="66">
        <v>0</v>
      </c>
      <c r="K20" s="66">
        <v>0</v>
      </c>
      <c r="L20" s="66">
        <v>0</v>
      </c>
      <c r="M20" s="66">
        <v>0</v>
      </c>
      <c r="N20" s="66">
        <v>0</v>
      </c>
      <c r="O20" s="66">
        <v>0</v>
      </c>
      <c r="P20" s="66">
        <v>0</v>
      </c>
      <c r="Q20" s="66">
        <v>0</v>
      </c>
      <c r="R20" s="66">
        <v>0</v>
      </c>
      <c r="S20" s="66">
        <v>0</v>
      </c>
      <c r="T20" s="66">
        <v>0</v>
      </c>
      <c r="U20" s="66">
        <v>0</v>
      </c>
    </row>
    <row r="21" spans="1:22" s="50" customFormat="1" outlineLevel="1" x14ac:dyDescent="0.25">
      <c r="A21" s="63" t="s">
        <v>478</v>
      </c>
      <c r="B21" s="63" t="s">
        <v>479</v>
      </c>
      <c r="C21" s="64" t="s">
        <v>477</v>
      </c>
      <c r="D21" s="64" t="s">
        <v>427</v>
      </c>
      <c r="E21" s="64"/>
      <c r="F21" s="65"/>
      <c r="G21" s="65"/>
      <c r="H21" s="65"/>
      <c r="I21" s="66">
        <v>0</v>
      </c>
      <c r="J21" s="66">
        <v>0</v>
      </c>
      <c r="K21" s="66">
        <v>0</v>
      </c>
      <c r="L21" s="66">
        <v>0</v>
      </c>
      <c r="M21" s="66">
        <v>0</v>
      </c>
      <c r="N21" s="66">
        <v>0</v>
      </c>
      <c r="O21" s="66">
        <v>0</v>
      </c>
      <c r="P21" s="66">
        <v>0</v>
      </c>
      <c r="Q21" s="66">
        <v>0</v>
      </c>
      <c r="R21" s="66">
        <v>0</v>
      </c>
      <c r="S21" s="66">
        <v>0</v>
      </c>
      <c r="T21" s="66">
        <v>0</v>
      </c>
      <c r="U21" s="66">
        <v>0</v>
      </c>
    </row>
    <row r="22" spans="1:22" s="50" customFormat="1" outlineLevel="1" x14ac:dyDescent="0.25">
      <c r="A22" s="63" t="s">
        <v>475</v>
      </c>
      <c r="B22" s="63" t="s">
        <v>476</v>
      </c>
      <c r="C22" s="64" t="s">
        <v>480</v>
      </c>
      <c r="D22" s="64" t="s">
        <v>481</v>
      </c>
      <c r="E22" s="64"/>
      <c r="F22" s="65"/>
      <c r="G22" s="65"/>
      <c r="H22" s="65"/>
      <c r="I22" s="66">
        <v>0</v>
      </c>
      <c r="J22" s="66">
        <v>0</v>
      </c>
      <c r="K22" s="66">
        <v>0</v>
      </c>
      <c r="L22" s="66">
        <v>0</v>
      </c>
      <c r="M22" s="66">
        <v>0</v>
      </c>
      <c r="N22" s="66">
        <v>0</v>
      </c>
      <c r="O22" s="66">
        <v>0</v>
      </c>
      <c r="P22" s="66">
        <v>0</v>
      </c>
      <c r="Q22" s="66">
        <v>0</v>
      </c>
      <c r="R22" s="66">
        <v>0</v>
      </c>
      <c r="S22" s="66">
        <v>0</v>
      </c>
      <c r="T22" s="66">
        <v>0</v>
      </c>
      <c r="U22" s="66">
        <v>0</v>
      </c>
    </row>
    <row r="23" spans="1:22" s="50" customFormat="1" outlineLevel="1" x14ac:dyDescent="0.25">
      <c r="A23" s="63" t="s">
        <v>478</v>
      </c>
      <c r="B23" s="63" t="s">
        <v>479</v>
      </c>
      <c r="C23" s="64" t="s">
        <v>482</v>
      </c>
      <c r="D23" s="64" t="s">
        <v>483</v>
      </c>
      <c r="E23" s="64"/>
      <c r="F23" s="65"/>
      <c r="G23" s="65"/>
      <c r="H23" s="65"/>
      <c r="I23" s="66">
        <v>0</v>
      </c>
      <c r="J23" s="66">
        <v>0</v>
      </c>
      <c r="K23" s="66">
        <v>0</v>
      </c>
      <c r="L23" s="66">
        <v>0</v>
      </c>
      <c r="M23" s="66">
        <v>0</v>
      </c>
      <c r="N23" s="66">
        <v>0</v>
      </c>
      <c r="O23" s="66">
        <v>0</v>
      </c>
      <c r="P23" s="66">
        <v>0</v>
      </c>
      <c r="Q23" s="66">
        <v>0</v>
      </c>
      <c r="R23" s="66">
        <v>0</v>
      </c>
      <c r="S23" s="66">
        <v>0</v>
      </c>
      <c r="T23" s="66">
        <v>0</v>
      </c>
      <c r="U23" s="66">
        <v>0</v>
      </c>
    </row>
    <row r="24" spans="1:22" s="50" customFormat="1" outlineLevel="1" x14ac:dyDescent="0.25">
      <c r="A24" s="53" t="s">
        <v>478</v>
      </c>
      <c r="B24" s="53" t="s">
        <v>479</v>
      </c>
      <c r="C24" s="53"/>
      <c r="D24" s="53"/>
      <c r="E24" s="53"/>
      <c r="F24" s="53"/>
      <c r="G24" s="53"/>
      <c r="H24" s="53"/>
      <c r="I24" s="67">
        <f>SUM(I20:I23)</f>
        <v>0</v>
      </c>
      <c r="J24" s="67">
        <f t="shared" ref="J24:T24" si="2">SUM(J20:J23)</f>
        <v>0</v>
      </c>
      <c r="K24" s="67">
        <f t="shared" si="2"/>
        <v>0</v>
      </c>
      <c r="L24" s="67">
        <f t="shared" si="2"/>
        <v>0</v>
      </c>
      <c r="M24" s="67">
        <f t="shared" si="2"/>
        <v>0</v>
      </c>
      <c r="N24" s="67">
        <f t="shared" si="2"/>
        <v>0</v>
      </c>
      <c r="O24" s="67">
        <f t="shared" si="2"/>
        <v>0</v>
      </c>
      <c r="P24" s="67">
        <f t="shared" si="2"/>
        <v>0</v>
      </c>
      <c r="Q24" s="67">
        <f t="shared" si="2"/>
        <v>0</v>
      </c>
      <c r="R24" s="67">
        <f t="shared" si="2"/>
        <v>0</v>
      </c>
      <c r="S24" s="67">
        <f t="shared" si="2"/>
        <v>0</v>
      </c>
      <c r="T24" s="67">
        <f t="shared" si="2"/>
        <v>0</v>
      </c>
      <c r="U24" s="67">
        <f>SUM(U20:U23)</f>
        <v>0</v>
      </c>
    </row>
    <row r="25" spans="1:22" s="73" customFormat="1" x14ac:dyDescent="0.25">
      <c r="A25" s="68" t="s">
        <v>484</v>
      </c>
      <c r="B25" s="68"/>
      <c r="C25" s="68"/>
      <c r="D25" s="68"/>
      <c r="E25" s="69"/>
      <c r="F25" s="68"/>
      <c r="G25" s="68"/>
      <c r="H25" s="70" t="s">
        <v>485</v>
      </c>
      <c r="I25" s="71">
        <f>SUM(I16,I19,I24)</f>
        <v>0</v>
      </c>
      <c r="J25" s="71">
        <f t="shared" ref="J25:T25" si="3">SUM(J16,J19,J24)</f>
        <v>0</v>
      </c>
      <c r="K25" s="71">
        <f t="shared" si="3"/>
        <v>0</v>
      </c>
      <c r="L25" s="71">
        <f t="shared" si="3"/>
        <v>0</v>
      </c>
      <c r="M25" s="71">
        <f t="shared" si="3"/>
        <v>0</v>
      </c>
      <c r="N25" s="71">
        <f t="shared" si="3"/>
        <v>0</v>
      </c>
      <c r="O25" s="71">
        <f t="shared" si="3"/>
        <v>0</v>
      </c>
      <c r="P25" s="71">
        <f t="shared" si="3"/>
        <v>0</v>
      </c>
      <c r="Q25" s="71">
        <f t="shared" si="3"/>
        <v>0</v>
      </c>
      <c r="R25" s="71">
        <f t="shared" si="3"/>
        <v>0</v>
      </c>
      <c r="S25" s="71">
        <f t="shared" si="3"/>
        <v>0</v>
      </c>
      <c r="T25" s="71">
        <f t="shared" si="3"/>
        <v>0</v>
      </c>
      <c r="U25" s="72">
        <f>SUM(U16,U19,U24)</f>
        <v>0</v>
      </c>
    </row>
    <row r="26" spans="1:22" s="77" customFormat="1" x14ac:dyDescent="0.25">
      <c r="A26" s="74"/>
      <c r="B26" s="74"/>
      <c r="C26" s="74"/>
      <c r="D26" s="74"/>
      <c r="E26" s="74"/>
      <c r="F26" s="74"/>
      <c r="G26" s="74"/>
      <c r="H26" s="75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</row>
    <row r="27" spans="1:22" s="77" customFormat="1" ht="13" x14ac:dyDescent="0.3">
      <c r="A27" s="205" t="s">
        <v>486</v>
      </c>
      <c r="B27" s="206"/>
      <c r="C27" s="206"/>
      <c r="D27" s="206"/>
      <c r="E27" s="206"/>
      <c r="F27" s="206"/>
      <c r="G27" s="206"/>
      <c r="H27" s="207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</row>
    <row r="28" spans="1:22" s="83" customFormat="1" ht="12" customHeight="1" outlineLevel="1" x14ac:dyDescent="0.25">
      <c r="A28" s="79" t="s">
        <v>487</v>
      </c>
      <c r="B28" s="79" t="s">
        <v>488</v>
      </c>
      <c r="C28" s="79" t="s">
        <v>489</v>
      </c>
      <c r="D28" s="79" t="s">
        <v>490</v>
      </c>
      <c r="E28" s="79" t="s">
        <v>491</v>
      </c>
      <c r="F28" s="80" t="s">
        <v>492</v>
      </c>
      <c r="G28" s="80" t="s">
        <v>468</v>
      </c>
      <c r="H28" s="75" t="s">
        <v>461</v>
      </c>
      <c r="I28" s="81">
        <v>0</v>
      </c>
      <c r="J28" s="81">
        <v>0</v>
      </c>
      <c r="K28" s="81">
        <v>0</v>
      </c>
      <c r="L28" s="81">
        <v>0</v>
      </c>
      <c r="M28" s="81">
        <v>0</v>
      </c>
      <c r="N28" s="81">
        <v>0</v>
      </c>
      <c r="O28" s="81">
        <v>0</v>
      </c>
      <c r="P28" s="81">
        <v>0</v>
      </c>
      <c r="Q28" s="81">
        <v>0</v>
      </c>
      <c r="R28" s="81">
        <v>0</v>
      </c>
      <c r="S28" s="81">
        <v>0</v>
      </c>
      <c r="T28" s="81">
        <v>0</v>
      </c>
      <c r="U28" s="81">
        <f>SUM(I28:T28)</f>
        <v>0</v>
      </c>
      <c r="V28" s="82"/>
    </row>
    <row r="29" spans="1:22" s="83" customFormat="1" outlineLevel="1" x14ac:dyDescent="0.25">
      <c r="A29" s="79" t="s">
        <v>487</v>
      </c>
      <c r="B29" s="79" t="s">
        <v>493</v>
      </c>
      <c r="C29" s="79" t="s">
        <v>489</v>
      </c>
      <c r="D29" s="79" t="s">
        <v>490</v>
      </c>
      <c r="E29" s="79" t="s">
        <v>494</v>
      </c>
      <c r="F29" s="80" t="s">
        <v>495</v>
      </c>
      <c r="G29" s="79" t="s">
        <v>468</v>
      </c>
      <c r="H29" s="75"/>
      <c r="I29" s="81">
        <v>0</v>
      </c>
      <c r="J29" s="81">
        <v>0</v>
      </c>
      <c r="K29" s="81">
        <v>0</v>
      </c>
      <c r="L29" s="81">
        <v>0</v>
      </c>
      <c r="M29" s="81">
        <v>0</v>
      </c>
      <c r="N29" s="81">
        <v>0</v>
      </c>
      <c r="O29" s="81">
        <v>0</v>
      </c>
      <c r="P29" s="81">
        <v>0</v>
      </c>
      <c r="Q29" s="81">
        <v>0</v>
      </c>
      <c r="R29" s="81">
        <v>0</v>
      </c>
      <c r="S29" s="81">
        <v>0</v>
      </c>
      <c r="T29" s="81">
        <v>0</v>
      </c>
      <c r="U29" s="81">
        <f>SUM(I29:T29)</f>
        <v>0</v>
      </c>
    </row>
    <row r="30" spans="1:22" s="83" customFormat="1" outlineLevel="1" x14ac:dyDescent="0.25">
      <c r="A30" s="84" t="s">
        <v>487</v>
      </c>
      <c r="B30" s="84"/>
      <c r="C30" s="84"/>
      <c r="D30" s="84"/>
      <c r="E30" s="84"/>
      <c r="F30" s="84"/>
      <c r="G30" s="84"/>
      <c r="H30" s="84"/>
      <c r="I30" s="67">
        <f>SUM(I28:I29)</f>
        <v>0</v>
      </c>
      <c r="J30" s="67">
        <f t="shared" ref="J30:U30" si="4">SUM(J28:J29)</f>
        <v>0</v>
      </c>
      <c r="K30" s="67">
        <f t="shared" si="4"/>
        <v>0</v>
      </c>
      <c r="L30" s="67">
        <f t="shared" si="4"/>
        <v>0</v>
      </c>
      <c r="M30" s="67">
        <f t="shared" si="4"/>
        <v>0</v>
      </c>
      <c r="N30" s="67">
        <f t="shared" si="4"/>
        <v>0</v>
      </c>
      <c r="O30" s="67">
        <f t="shared" si="4"/>
        <v>0</v>
      </c>
      <c r="P30" s="67">
        <f t="shared" si="4"/>
        <v>0</v>
      </c>
      <c r="Q30" s="67">
        <f t="shared" si="4"/>
        <v>0</v>
      </c>
      <c r="R30" s="67">
        <f t="shared" si="4"/>
        <v>0</v>
      </c>
      <c r="S30" s="67">
        <f t="shared" si="4"/>
        <v>0</v>
      </c>
      <c r="T30" s="67">
        <f t="shared" si="4"/>
        <v>0</v>
      </c>
      <c r="U30" s="67">
        <f t="shared" si="4"/>
        <v>0</v>
      </c>
    </row>
    <row r="31" spans="1:22" s="83" customFormat="1" outlineLevel="1" x14ac:dyDescent="0.25">
      <c r="A31" s="79" t="s">
        <v>496</v>
      </c>
      <c r="B31" s="79" t="s">
        <v>497</v>
      </c>
      <c r="C31" s="79" t="s">
        <v>489</v>
      </c>
      <c r="D31" s="79"/>
      <c r="E31" s="79"/>
      <c r="F31" s="80" t="s">
        <v>498</v>
      </c>
      <c r="G31" s="79"/>
      <c r="H31" s="75" t="s">
        <v>499</v>
      </c>
      <c r="I31" s="81">
        <v>0</v>
      </c>
      <c r="J31" s="81">
        <v>0</v>
      </c>
      <c r="K31" s="81">
        <v>0</v>
      </c>
      <c r="L31" s="81">
        <v>0</v>
      </c>
      <c r="M31" s="81">
        <v>0</v>
      </c>
      <c r="N31" s="81">
        <v>0</v>
      </c>
      <c r="O31" s="81">
        <v>0</v>
      </c>
      <c r="P31" s="81">
        <v>0</v>
      </c>
      <c r="Q31" s="81">
        <v>0</v>
      </c>
      <c r="R31" s="81">
        <v>0</v>
      </c>
      <c r="S31" s="81">
        <v>0</v>
      </c>
      <c r="T31" s="81">
        <v>0</v>
      </c>
      <c r="U31" s="81">
        <f>SUM(I31:T31)</f>
        <v>0</v>
      </c>
    </row>
    <row r="32" spans="1:22" s="83" customFormat="1" outlineLevel="1" x14ac:dyDescent="0.25">
      <c r="A32" s="79" t="s">
        <v>496</v>
      </c>
      <c r="B32" s="79" t="s">
        <v>500</v>
      </c>
      <c r="C32" s="79" t="s">
        <v>501</v>
      </c>
      <c r="D32" s="79" t="s">
        <v>490</v>
      </c>
      <c r="E32" s="79"/>
      <c r="F32" s="79" t="s">
        <v>502</v>
      </c>
      <c r="G32" s="79"/>
      <c r="H32" s="75"/>
      <c r="I32" s="81">
        <v>0</v>
      </c>
      <c r="J32" s="81">
        <v>0</v>
      </c>
      <c r="K32" s="81">
        <v>0</v>
      </c>
      <c r="L32" s="81">
        <v>0</v>
      </c>
      <c r="M32" s="81">
        <v>0</v>
      </c>
      <c r="N32" s="81">
        <v>0</v>
      </c>
      <c r="O32" s="81">
        <v>0</v>
      </c>
      <c r="P32" s="81">
        <v>0</v>
      </c>
      <c r="Q32" s="81">
        <v>0</v>
      </c>
      <c r="R32" s="81">
        <v>0</v>
      </c>
      <c r="S32" s="81">
        <v>0</v>
      </c>
      <c r="T32" s="81">
        <v>0</v>
      </c>
      <c r="U32" s="81">
        <f>SUM(I32:T32)</f>
        <v>0</v>
      </c>
    </row>
    <row r="33" spans="1:21" s="83" customFormat="1" outlineLevel="1" x14ac:dyDescent="0.25">
      <c r="A33" s="79" t="s">
        <v>496</v>
      </c>
      <c r="B33" s="75" t="s">
        <v>503</v>
      </c>
      <c r="C33" s="79" t="s">
        <v>489</v>
      </c>
      <c r="D33" s="79" t="s">
        <v>504</v>
      </c>
      <c r="E33" s="79"/>
      <c r="F33" s="79" t="s">
        <v>505</v>
      </c>
      <c r="G33" s="79"/>
      <c r="H33" s="75" t="s">
        <v>499</v>
      </c>
      <c r="I33" s="81">
        <v>0</v>
      </c>
      <c r="J33" s="81">
        <v>0</v>
      </c>
      <c r="K33" s="81">
        <v>0</v>
      </c>
      <c r="L33" s="81">
        <v>0</v>
      </c>
      <c r="M33" s="81">
        <v>0</v>
      </c>
      <c r="N33" s="81">
        <v>0</v>
      </c>
      <c r="O33" s="81">
        <v>0</v>
      </c>
      <c r="P33" s="81">
        <v>0</v>
      </c>
      <c r="Q33" s="81">
        <v>0</v>
      </c>
      <c r="R33" s="81">
        <v>0</v>
      </c>
      <c r="S33" s="81">
        <v>0</v>
      </c>
      <c r="T33" s="81">
        <v>0</v>
      </c>
      <c r="U33" s="81">
        <f>SUM(I33:T33)</f>
        <v>0</v>
      </c>
    </row>
    <row r="34" spans="1:21" s="77" customFormat="1" x14ac:dyDescent="0.25">
      <c r="A34" s="53" t="s">
        <v>496</v>
      </c>
      <c r="B34" s="84"/>
      <c r="C34" s="84"/>
      <c r="D34" s="84"/>
      <c r="E34" s="84"/>
      <c r="F34" s="84"/>
      <c r="G34" s="84"/>
      <c r="H34" s="84"/>
      <c r="I34" s="67">
        <f>SUM(I31:I33)</f>
        <v>0</v>
      </c>
      <c r="J34" s="67">
        <f t="shared" ref="J34:U34" si="5">SUM(J31:J33)</f>
        <v>0</v>
      </c>
      <c r="K34" s="67">
        <f t="shared" si="5"/>
        <v>0</v>
      </c>
      <c r="L34" s="67">
        <f t="shared" si="5"/>
        <v>0</v>
      </c>
      <c r="M34" s="67">
        <f t="shared" si="5"/>
        <v>0</v>
      </c>
      <c r="N34" s="67">
        <f t="shared" si="5"/>
        <v>0</v>
      </c>
      <c r="O34" s="67">
        <f t="shared" si="5"/>
        <v>0</v>
      </c>
      <c r="P34" s="67">
        <f t="shared" si="5"/>
        <v>0</v>
      </c>
      <c r="Q34" s="67">
        <f t="shared" si="5"/>
        <v>0</v>
      </c>
      <c r="R34" s="67">
        <f t="shared" si="5"/>
        <v>0</v>
      </c>
      <c r="S34" s="67">
        <f t="shared" si="5"/>
        <v>0</v>
      </c>
      <c r="T34" s="67">
        <f t="shared" si="5"/>
        <v>0</v>
      </c>
      <c r="U34" s="67">
        <f t="shared" si="5"/>
        <v>0</v>
      </c>
    </row>
    <row r="35" spans="1:21" s="89" customFormat="1" x14ac:dyDescent="0.25">
      <c r="A35" s="85" t="s">
        <v>223</v>
      </c>
      <c r="B35" s="86"/>
      <c r="C35" s="86"/>
      <c r="D35" s="86"/>
      <c r="E35" s="87"/>
      <c r="F35" s="86"/>
      <c r="G35" s="86"/>
      <c r="H35" s="86"/>
      <c r="I35" s="88">
        <f>SUM(I34)</f>
        <v>0</v>
      </c>
      <c r="J35" s="88">
        <f t="shared" ref="J35:T35" si="6">SUM(J34)</f>
        <v>0</v>
      </c>
      <c r="K35" s="88">
        <f t="shared" si="6"/>
        <v>0</v>
      </c>
      <c r="L35" s="88">
        <f t="shared" si="6"/>
        <v>0</v>
      </c>
      <c r="M35" s="88">
        <f t="shared" si="6"/>
        <v>0</v>
      </c>
      <c r="N35" s="88">
        <f t="shared" si="6"/>
        <v>0</v>
      </c>
      <c r="O35" s="88">
        <f t="shared" si="6"/>
        <v>0</v>
      </c>
      <c r="P35" s="88">
        <f t="shared" si="6"/>
        <v>0</v>
      </c>
      <c r="Q35" s="88">
        <f t="shared" si="6"/>
        <v>0</v>
      </c>
      <c r="R35" s="88">
        <f t="shared" si="6"/>
        <v>0</v>
      </c>
      <c r="S35" s="88">
        <f t="shared" si="6"/>
        <v>0</v>
      </c>
      <c r="T35" s="88">
        <f t="shared" si="6"/>
        <v>0</v>
      </c>
      <c r="U35" s="88">
        <f>SUM(I35:T35)</f>
        <v>0</v>
      </c>
    </row>
    <row r="36" spans="1:21" x14ac:dyDescent="0.25">
      <c r="A36" s="208" t="s">
        <v>506</v>
      </c>
      <c r="B36" s="210"/>
      <c r="C36" s="211"/>
      <c r="D36" s="211"/>
      <c r="E36" s="211"/>
      <c r="F36" s="211"/>
      <c r="G36" s="211"/>
      <c r="H36" s="212"/>
      <c r="I36" s="202">
        <f>SUM(I25,I35)</f>
        <v>0</v>
      </c>
      <c r="J36" s="202">
        <f t="shared" ref="J36:U36" si="7">SUM(J25,J35)</f>
        <v>0</v>
      </c>
      <c r="K36" s="202">
        <f t="shared" si="7"/>
        <v>0</v>
      </c>
      <c r="L36" s="202">
        <f t="shared" si="7"/>
        <v>0</v>
      </c>
      <c r="M36" s="202">
        <f t="shared" si="7"/>
        <v>0</v>
      </c>
      <c r="N36" s="202">
        <f t="shared" si="7"/>
        <v>0</v>
      </c>
      <c r="O36" s="202">
        <f t="shared" si="7"/>
        <v>0</v>
      </c>
      <c r="P36" s="202">
        <f t="shared" si="7"/>
        <v>0</v>
      </c>
      <c r="Q36" s="202">
        <f t="shared" si="7"/>
        <v>0</v>
      </c>
      <c r="R36" s="202">
        <f t="shared" si="7"/>
        <v>0</v>
      </c>
      <c r="S36" s="202">
        <f t="shared" si="7"/>
        <v>0</v>
      </c>
      <c r="T36" s="202">
        <f t="shared" si="7"/>
        <v>0</v>
      </c>
      <c r="U36" s="202">
        <f t="shared" si="7"/>
        <v>0</v>
      </c>
    </row>
    <row r="37" spans="1:21" x14ac:dyDescent="0.25">
      <c r="A37" s="209"/>
      <c r="B37" s="213"/>
      <c r="C37" s="214"/>
      <c r="D37" s="214"/>
      <c r="E37" s="214"/>
      <c r="F37" s="214"/>
      <c r="G37" s="214"/>
      <c r="H37" s="215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</row>
    <row r="41" spans="1:21" x14ac:dyDescent="0.25">
      <c r="L41" s="92"/>
    </row>
    <row r="42" spans="1:21" ht="14.5" x14ac:dyDescent="0.35">
      <c r="C42" s="93" t="s">
        <v>224</v>
      </c>
      <c r="D42" s="47" t="s">
        <v>424</v>
      </c>
      <c r="E42" s="75" t="s">
        <v>503</v>
      </c>
      <c r="F42" s="79"/>
      <c r="G42" s="79" t="s">
        <v>504</v>
      </c>
    </row>
    <row r="43" spans="1:21" ht="14.5" x14ac:dyDescent="0.35">
      <c r="C43" s="12" t="s">
        <v>225</v>
      </c>
      <c r="D43" s="47" t="s">
        <v>424</v>
      </c>
      <c r="E43" s="75" t="s">
        <v>503</v>
      </c>
    </row>
    <row r="44" spans="1:21" ht="14.5" x14ac:dyDescent="0.35">
      <c r="C44" s="93" t="s">
        <v>331</v>
      </c>
      <c r="D44" s="94" t="s">
        <v>424</v>
      </c>
      <c r="E44" s="94" t="s">
        <v>440</v>
      </c>
      <c r="F44" s="95" t="s">
        <v>442</v>
      </c>
    </row>
    <row r="45" spans="1:21" ht="14.5" x14ac:dyDescent="0.35">
      <c r="C45" s="12" t="s">
        <v>333</v>
      </c>
      <c r="D45" s="47" t="s">
        <v>424</v>
      </c>
      <c r="E45" s="47" t="s">
        <v>440</v>
      </c>
      <c r="F45" s="48" t="s">
        <v>442</v>
      </c>
    </row>
    <row r="46" spans="1:21" ht="14.5" x14ac:dyDescent="0.35">
      <c r="C46" s="12" t="s">
        <v>332</v>
      </c>
      <c r="D46" s="56" t="s">
        <v>462</v>
      </c>
      <c r="E46" s="56" t="s">
        <v>469</v>
      </c>
      <c r="F46" s="57" t="s">
        <v>470</v>
      </c>
    </row>
    <row r="47" spans="1:21" ht="14.5" x14ac:dyDescent="0.25">
      <c r="C47" s="23" t="s">
        <v>323</v>
      </c>
      <c r="D47" s="47" t="s">
        <v>424</v>
      </c>
      <c r="E47" s="47" t="s">
        <v>440</v>
      </c>
      <c r="F47" s="48" t="s">
        <v>442</v>
      </c>
    </row>
    <row r="48" spans="1:21" ht="14.5" x14ac:dyDescent="0.35">
      <c r="C48" s="26" t="s">
        <v>226</v>
      </c>
      <c r="D48" s="47" t="s">
        <v>424</v>
      </c>
      <c r="E48" s="47" t="s">
        <v>425</v>
      </c>
      <c r="F48" s="48" t="s">
        <v>426</v>
      </c>
    </row>
    <row r="49" spans="3:7" ht="14.5" x14ac:dyDescent="0.35">
      <c r="C49" s="12" t="s">
        <v>227</v>
      </c>
      <c r="D49" s="47" t="s">
        <v>424</v>
      </c>
      <c r="E49" s="47" t="s">
        <v>440</v>
      </c>
      <c r="F49" s="48" t="s">
        <v>442</v>
      </c>
    </row>
    <row r="50" spans="3:7" ht="14.5" x14ac:dyDescent="0.35">
      <c r="C50" s="12" t="s">
        <v>228</v>
      </c>
      <c r="D50" s="47" t="s">
        <v>424</v>
      </c>
      <c r="E50" s="47" t="s">
        <v>440</v>
      </c>
      <c r="F50" s="48" t="s">
        <v>442</v>
      </c>
    </row>
    <row r="51" spans="3:7" ht="14.5" x14ac:dyDescent="0.35">
      <c r="C51" s="12" t="s">
        <v>334</v>
      </c>
      <c r="D51" s="47" t="s">
        <v>424</v>
      </c>
      <c r="E51" s="75" t="s">
        <v>503</v>
      </c>
    </row>
    <row r="52" spans="3:7" ht="14.5" x14ac:dyDescent="0.35">
      <c r="C52" s="12" t="s">
        <v>230</v>
      </c>
      <c r="D52" s="47" t="s">
        <v>424</v>
      </c>
      <c r="E52" s="47" t="s">
        <v>456</v>
      </c>
      <c r="F52" s="48" t="s">
        <v>457</v>
      </c>
    </row>
    <row r="53" spans="3:7" ht="14.5" x14ac:dyDescent="0.35">
      <c r="C53" s="12" t="s">
        <v>231</v>
      </c>
      <c r="D53" s="47" t="s">
        <v>424</v>
      </c>
      <c r="E53" s="47" t="s">
        <v>425</v>
      </c>
      <c r="F53" s="48" t="s">
        <v>426</v>
      </c>
    </row>
    <row r="54" spans="3:7" ht="14.5" x14ac:dyDescent="0.35">
      <c r="C54" s="12" t="s">
        <v>232</v>
      </c>
      <c r="D54" s="47" t="s">
        <v>424</v>
      </c>
      <c r="E54" s="75" t="s">
        <v>503</v>
      </c>
    </row>
    <row r="55" spans="3:7" ht="14.5" x14ac:dyDescent="0.35">
      <c r="C55" s="12" t="s">
        <v>229</v>
      </c>
      <c r="D55" s="47" t="s">
        <v>424</v>
      </c>
      <c r="E55" s="47" t="s">
        <v>440</v>
      </c>
      <c r="F55" s="48" t="s">
        <v>441</v>
      </c>
    </row>
    <row r="56" spans="3:7" ht="14.5" x14ac:dyDescent="0.35">
      <c r="C56" t="s">
        <v>324</v>
      </c>
      <c r="D56" s="47" t="s">
        <v>424</v>
      </c>
      <c r="E56" s="47" t="s">
        <v>446</v>
      </c>
      <c r="F56" s="48" t="s">
        <v>451</v>
      </c>
    </row>
    <row r="57" spans="3:7" ht="14.5" x14ac:dyDescent="0.35">
      <c r="C57" t="s">
        <v>326</v>
      </c>
      <c r="D57" s="47" t="s">
        <v>424</v>
      </c>
      <c r="E57" s="47" t="s">
        <v>446</v>
      </c>
      <c r="F57" s="48" t="s">
        <v>451</v>
      </c>
    </row>
    <row r="58" spans="3:7" ht="14.5" x14ac:dyDescent="0.35">
      <c r="C58" s="12" t="s">
        <v>325</v>
      </c>
      <c r="D58" s="47" t="s">
        <v>424</v>
      </c>
      <c r="E58" s="75" t="s">
        <v>503</v>
      </c>
    </row>
    <row r="59" spans="3:7" ht="14.5" x14ac:dyDescent="0.35">
      <c r="C59" s="12" t="s">
        <v>316</v>
      </c>
      <c r="D59" s="47" t="s">
        <v>424</v>
      </c>
      <c r="E59" s="75" t="s">
        <v>503</v>
      </c>
    </row>
    <row r="60" spans="3:7" ht="13" x14ac:dyDescent="0.3">
      <c r="C60" s="11" t="s">
        <v>328</v>
      </c>
      <c r="D60" s="56" t="s">
        <v>462</v>
      </c>
      <c r="E60" s="56" t="s">
        <v>463</v>
      </c>
      <c r="F60" s="57" t="s">
        <v>507</v>
      </c>
    </row>
    <row r="61" spans="3:7" ht="13" x14ac:dyDescent="0.25">
      <c r="C61" s="19" t="s">
        <v>310</v>
      </c>
      <c r="F61" s="90" t="s">
        <v>508</v>
      </c>
    </row>
    <row r="62" spans="3:7" ht="13" x14ac:dyDescent="0.3">
      <c r="C62" s="11" t="s">
        <v>335</v>
      </c>
      <c r="D62" s="47" t="s">
        <v>424</v>
      </c>
      <c r="E62" s="47" t="s">
        <v>436</v>
      </c>
      <c r="F62" s="48" t="s">
        <v>437</v>
      </c>
      <c r="G62" s="48" t="s">
        <v>427</v>
      </c>
    </row>
    <row r="63" spans="3:7" ht="13" x14ac:dyDescent="0.3">
      <c r="C63" s="11" t="s">
        <v>336</v>
      </c>
      <c r="D63" s="47" t="s">
        <v>424</v>
      </c>
      <c r="E63" s="47" t="s">
        <v>436</v>
      </c>
      <c r="F63" s="48" t="s">
        <v>437</v>
      </c>
      <c r="G63" s="48" t="s">
        <v>427</v>
      </c>
    </row>
    <row r="64" spans="3:7" ht="13" x14ac:dyDescent="0.25">
      <c r="C64" s="19" t="s">
        <v>309</v>
      </c>
    </row>
    <row r="65" spans="3:6" ht="13" x14ac:dyDescent="0.25">
      <c r="C65" s="20" t="s">
        <v>201</v>
      </c>
      <c r="D65" s="94" t="s">
        <v>424</v>
      </c>
      <c r="E65" s="94" t="s">
        <v>425</v>
      </c>
      <c r="F65" s="95" t="s">
        <v>426</v>
      </c>
    </row>
    <row r="66" spans="3:6" ht="13" x14ac:dyDescent="0.25">
      <c r="C66" s="20" t="s">
        <v>202</v>
      </c>
      <c r="D66" s="94" t="s">
        <v>424</v>
      </c>
      <c r="E66" s="94" t="s">
        <v>425</v>
      </c>
      <c r="F66" s="95" t="s">
        <v>426</v>
      </c>
    </row>
    <row r="67" spans="3:6" ht="13" x14ac:dyDescent="0.25">
      <c r="C67" s="22" t="s">
        <v>311</v>
      </c>
      <c r="D67" s="94" t="s">
        <v>424</v>
      </c>
      <c r="E67" s="94" t="s">
        <v>425</v>
      </c>
      <c r="F67" s="95" t="s">
        <v>426</v>
      </c>
    </row>
    <row r="68" spans="3:6" ht="13" x14ac:dyDescent="0.25">
      <c r="C68" s="20" t="s">
        <v>203</v>
      </c>
      <c r="D68" s="94" t="s">
        <v>424</v>
      </c>
      <c r="E68" s="94" t="s">
        <v>425</v>
      </c>
      <c r="F68" s="95" t="s">
        <v>426</v>
      </c>
    </row>
    <row r="69" spans="3:6" ht="13" x14ac:dyDescent="0.25">
      <c r="C69" s="20" t="s">
        <v>204</v>
      </c>
      <c r="D69" s="94" t="s">
        <v>424</v>
      </c>
      <c r="E69" s="94" t="s">
        <v>425</v>
      </c>
      <c r="F69" s="95" t="s">
        <v>426</v>
      </c>
    </row>
  </sheetData>
  <autoFilter ref="A1:U35" xr:uid="{00000000-0001-0000-0000-000000000000}"/>
  <mergeCells count="17">
    <mergeCell ref="Q36:Q37"/>
    <mergeCell ref="R36:R37"/>
    <mergeCell ref="S36:S37"/>
    <mergeCell ref="T36:T37"/>
    <mergeCell ref="U36:U37"/>
    <mergeCell ref="P36:P37"/>
    <mergeCell ref="A2:H2"/>
    <mergeCell ref="A27:H27"/>
    <mergeCell ref="A36:A37"/>
    <mergeCell ref="B36:H37"/>
    <mergeCell ref="I36:I37"/>
    <mergeCell ref="J36:J37"/>
    <mergeCell ref="K36:K37"/>
    <mergeCell ref="L36:L37"/>
    <mergeCell ref="M36:M37"/>
    <mergeCell ref="N36:N37"/>
    <mergeCell ref="O36:O37"/>
  </mergeCells>
  <conditionalFormatting sqref="A1:XFD1 A2 I2:XFD2 A3:XFD26 A27 I27:XFD27 A28:XFD31 A32:T32 U32:XFD33 C33:T33 A33:A35 B34:XFD35 A36:B36 I36:U36 V36:XFD37 A38:XFD41 A42:D43 F42:XFD43 A44:XFD50 A51:D51 F51:XFD51 A52:XFD53 A54:D54 F54:XFD54 A55:XFD57 A58:D59 F58:XFD59 A60:B69 D60:XFD69 A70:XFD1048576">
    <cfRule type="cellIs" dxfId="1" priority="1" operator="lessThan">
      <formula>0</formula>
    </cfRule>
  </conditionalFormatting>
  <conditionalFormatting sqref="I1:I2">
    <cfRule type="cellIs" dxfId="0" priority="2" operator="lessThan">
      <formula>0</formula>
    </cfRule>
  </conditionalFormatting>
  <pageMargins left="0.78740157499999996" right="0.78740157499999996" top="0.984251969" bottom="0.984251969" header="0.4921259845" footer="0.4921259845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8C8CE-35C3-47D2-9BF5-B2E1DC065C9F}">
  <dimension ref="A1:L83"/>
  <sheetViews>
    <sheetView topLeftCell="A14" zoomScale="70" zoomScaleNormal="70" workbookViewId="0">
      <selection activeCell="H22" sqref="H22"/>
    </sheetView>
  </sheetViews>
  <sheetFormatPr baseColWidth="10" defaultRowHeight="14.5" x14ac:dyDescent="0.35"/>
  <cols>
    <col min="1" max="1" width="46.81640625" customWidth="1"/>
    <col min="3" max="3" width="14.1796875" bestFit="1" customWidth="1"/>
    <col min="4" max="4" width="26.81640625" bestFit="1" customWidth="1"/>
    <col min="6" max="6" width="12.54296875" bestFit="1" customWidth="1"/>
    <col min="7" max="7" width="14.1796875" bestFit="1" customWidth="1"/>
    <col min="8" max="8" width="15.1796875" bestFit="1" customWidth="1"/>
    <col min="9" max="9" width="12.54296875" bestFit="1" customWidth="1"/>
    <col min="10" max="10" width="14.1796875" bestFit="1" customWidth="1"/>
  </cols>
  <sheetData>
    <row r="1" spans="1:12" x14ac:dyDescent="0.35">
      <c r="A1" t="s">
        <v>373</v>
      </c>
      <c r="B1" t="s">
        <v>370</v>
      </c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x14ac:dyDescent="0.35">
      <c r="A2" t="s">
        <v>374</v>
      </c>
      <c r="B2" t="s">
        <v>370</v>
      </c>
      <c r="C2" s="21"/>
      <c r="D2" s="21" t="s">
        <v>382</v>
      </c>
      <c r="E2" s="21"/>
      <c r="F2" s="21"/>
      <c r="G2" s="21">
        <v>4250</v>
      </c>
      <c r="H2" s="21" t="s">
        <v>383</v>
      </c>
      <c r="I2" s="21"/>
      <c r="J2" s="21"/>
      <c r="K2" s="21"/>
      <c r="L2" s="21"/>
    </row>
    <row r="3" spans="1:12" x14ac:dyDescent="0.35">
      <c r="A3" t="s">
        <v>375</v>
      </c>
      <c r="B3" t="s">
        <v>401</v>
      </c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x14ac:dyDescent="0.35">
      <c r="A4" t="s">
        <v>377</v>
      </c>
      <c r="B4" t="s">
        <v>401</v>
      </c>
      <c r="C4" s="21"/>
      <c r="D4" s="21">
        <v>-10013434700.915796</v>
      </c>
      <c r="E4" s="21" t="s">
        <v>384</v>
      </c>
      <c r="F4" s="21"/>
      <c r="G4" s="21"/>
      <c r="H4" s="21"/>
      <c r="I4" s="21"/>
      <c r="J4" s="21"/>
      <c r="K4" s="21"/>
      <c r="L4" s="21"/>
    </row>
    <row r="5" spans="1:12" x14ac:dyDescent="0.35">
      <c r="A5" s="28" t="s">
        <v>378</v>
      </c>
      <c r="B5" t="s">
        <v>402</v>
      </c>
      <c r="C5" s="21"/>
      <c r="D5" s="21">
        <v>-57684832.243199974</v>
      </c>
      <c r="E5" s="21"/>
      <c r="F5" s="21" t="s">
        <v>385</v>
      </c>
      <c r="G5" s="21"/>
      <c r="H5" s="21"/>
      <c r="I5" s="21"/>
      <c r="J5" s="21"/>
      <c r="K5" s="21"/>
      <c r="L5" s="21"/>
    </row>
    <row r="6" spans="1:12" x14ac:dyDescent="0.35">
      <c r="A6" s="28" t="s">
        <v>379</v>
      </c>
      <c r="B6" t="s">
        <v>370</v>
      </c>
      <c r="C6" s="21"/>
      <c r="D6" s="21">
        <v>-57684832.243199974</v>
      </c>
      <c r="E6" s="21"/>
      <c r="F6" s="21" t="s">
        <v>386</v>
      </c>
      <c r="G6" s="21"/>
      <c r="H6" s="21"/>
      <c r="I6" s="21"/>
      <c r="J6" s="21"/>
      <c r="K6" s="21"/>
      <c r="L6" s="21"/>
    </row>
    <row r="7" spans="1:12" x14ac:dyDescent="0.35">
      <c r="A7" t="s">
        <v>380</v>
      </c>
      <c r="C7" s="21"/>
      <c r="D7" s="21">
        <v>-57684832.243199974</v>
      </c>
      <c r="E7" s="21"/>
      <c r="F7" s="21" t="s">
        <v>387</v>
      </c>
      <c r="G7" s="21"/>
      <c r="H7" s="21"/>
      <c r="I7" s="21"/>
      <c r="J7" s="21"/>
      <c r="K7" s="21"/>
      <c r="L7" s="21"/>
    </row>
    <row r="8" spans="1:12" x14ac:dyDescent="0.35">
      <c r="A8" t="s">
        <v>381</v>
      </c>
      <c r="C8" s="21"/>
      <c r="D8" s="21">
        <v>-57684832.243199974</v>
      </c>
      <c r="E8" s="21"/>
      <c r="F8" s="21" t="s">
        <v>388</v>
      </c>
      <c r="G8" s="21"/>
      <c r="H8" s="21"/>
      <c r="I8" s="21"/>
      <c r="J8" s="21"/>
      <c r="K8" s="21"/>
      <c r="L8" s="21"/>
    </row>
    <row r="9" spans="1:12" x14ac:dyDescent="0.35">
      <c r="A9" t="s">
        <v>376</v>
      </c>
      <c r="B9" t="s">
        <v>370</v>
      </c>
      <c r="C9" s="21"/>
      <c r="D9" s="21">
        <v>-57684832.243199974</v>
      </c>
      <c r="E9" s="21"/>
      <c r="F9" s="21" t="s">
        <v>389</v>
      </c>
      <c r="G9" s="21"/>
      <c r="H9" s="21"/>
      <c r="I9" s="21"/>
      <c r="J9" s="21"/>
      <c r="K9" s="21"/>
      <c r="L9" s="21"/>
    </row>
    <row r="10" spans="1:12" x14ac:dyDescent="0.35">
      <c r="C10" s="21"/>
      <c r="D10" s="21">
        <v>-10301858862.131798</v>
      </c>
      <c r="E10" s="21"/>
      <c r="F10" s="21" t="s">
        <v>223</v>
      </c>
      <c r="G10" s="21">
        <v>-2423966.7910898346</v>
      </c>
      <c r="H10" s="21">
        <v>-92705.050600328948</v>
      </c>
      <c r="I10" s="21">
        <v>170000</v>
      </c>
      <c r="J10" s="21">
        <v>2040000</v>
      </c>
      <c r="K10" s="21"/>
      <c r="L10" s="21"/>
    </row>
    <row r="11" spans="1:12" x14ac:dyDescent="0.35">
      <c r="A11" s="37" t="s">
        <v>403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spans="1:12" x14ac:dyDescent="0.35">
      <c r="C12" s="21"/>
      <c r="D12" s="21" t="s">
        <v>390</v>
      </c>
      <c r="E12" s="21"/>
      <c r="F12" s="21"/>
      <c r="G12" s="21"/>
      <c r="H12" s="21"/>
      <c r="I12" s="21"/>
      <c r="J12" s="21"/>
      <c r="K12" s="21"/>
      <c r="L12" s="21"/>
    </row>
    <row r="13" spans="1:12" x14ac:dyDescent="0.35"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2" x14ac:dyDescent="0.35">
      <c r="C14" s="21"/>
      <c r="D14" s="21">
        <v>-9525060635.864397</v>
      </c>
      <c r="E14" s="21"/>
      <c r="F14" s="21"/>
      <c r="G14" s="21"/>
      <c r="H14" s="21"/>
      <c r="I14" s="21"/>
      <c r="J14" s="21"/>
      <c r="K14" s="21"/>
      <c r="L14" s="21"/>
    </row>
    <row r="15" spans="1:12" x14ac:dyDescent="0.35">
      <c r="A15" s="38" t="s">
        <v>393</v>
      </c>
      <c r="C15" s="21"/>
      <c r="D15" s="21">
        <v>-57684832.243199974</v>
      </c>
      <c r="E15" s="21"/>
      <c r="F15" s="21" t="s">
        <v>385</v>
      </c>
      <c r="G15" s="21"/>
      <c r="H15" s="21"/>
      <c r="I15" s="21"/>
      <c r="J15" s="21"/>
      <c r="K15" s="21"/>
      <c r="L15" s="21"/>
    </row>
    <row r="16" spans="1:12" x14ac:dyDescent="0.35">
      <c r="C16" s="21"/>
      <c r="D16" s="21">
        <v>-57684832.243199974</v>
      </c>
      <c r="E16" s="21"/>
      <c r="F16" s="21" t="s">
        <v>386</v>
      </c>
      <c r="G16" s="21"/>
      <c r="H16" s="21"/>
      <c r="I16" s="21"/>
      <c r="J16" s="21"/>
      <c r="K16" s="21"/>
      <c r="L16" s="21"/>
    </row>
    <row r="17" spans="1:12" x14ac:dyDescent="0.35">
      <c r="A17" s="25" t="s">
        <v>371</v>
      </c>
      <c r="C17" s="21"/>
      <c r="D17" s="21">
        <v>-57684832.243199974</v>
      </c>
      <c r="E17" s="21"/>
      <c r="F17" s="21" t="s">
        <v>387</v>
      </c>
      <c r="G17" s="21"/>
      <c r="H17" s="21"/>
      <c r="I17" s="21"/>
      <c r="J17" s="21"/>
      <c r="K17" s="21"/>
      <c r="L17" s="21"/>
    </row>
    <row r="18" spans="1:12" x14ac:dyDescent="0.35">
      <c r="A18" s="25" t="s">
        <v>395</v>
      </c>
      <c r="C18" s="21"/>
      <c r="D18" s="21">
        <v>-57684832.243199974</v>
      </c>
      <c r="E18" s="21"/>
      <c r="F18" s="21" t="s">
        <v>388</v>
      </c>
      <c r="G18" s="21"/>
      <c r="H18" s="21"/>
      <c r="I18" s="21"/>
      <c r="J18" s="21"/>
      <c r="K18" s="21"/>
      <c r="L18" s="21"/>
    </row>
    <row r="19" spans="1:12" x14ac:dyDescent="0.35">
      <c r="A19" s="25" t="s">
        <v>394</v>
      </c>
      <c r="C19" s="21"/>
      <c r="D19" s="21">
        <v>-57684832.243199974</v>
      </c>
      <c r="E19" s="21"/>
      <c r="F19" s="21" t="s">
        <v>389</v>
      </c>
      <c r="G19" s="21"/>
      <c r="H19" s="21"/>
      <c r="I19" s="21"/>
      <c r="J19" s="21"/>
      <c r="K19" s="21"/>
      <c r="L19" s="21"/>
    </row>
    <row r="20" spans="1:12" x14ac:dyDescent="0.35">
      <c r="A20" s="25"/>
      <c r="C20" s="21"/>
      <c r="D20" s="21">
        <v>-9813484797.0803986</v>
      </c>
      <c r="E20" s="21"/>
      <c r="F20" s="21"/>
      <c r="G20" s="21">
        <v>-2309055.2463718583</v>
      </c>
      <c r="H20" s="21"/>
      <c r="I20" s="21"/>
      <c r="J20" s="21"/>
      <c r="K20" s="21"/>
      <c r="L20" s="21"/>
    </row>
    <row r="21" spans="1:12" x14ac:dyDescent="0.35">
      <c r="A21" s="25" t="s">
        <v>396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x14ac:dyDescent="0.35">
      <c r="A22" s="25" t="s">
        <v>397</v>
      </c>
      <c r="C22" s="21"/>
      <c r="D22" s="37" t="s">
        <v>391</v>
      </c>
      <c r="E22" s="37"/>
      <c r="F22" s="37"/>
      <c r="G22" s="37"/>
      <c r="H22" s="21"/>
      <c r="I22" s="21"/>
      <c r="J22" s="21"/>
      <c r="K22" s="21"/>
      <c r="L22" s="21"/>
    </row>
    <row r="23" spans="1:12" x14ac:dyDescent="0.35">
      <c r="A23" s="25" t="s">
        <v>398</v>
      </c>
      <c r="C23" s="21"/>
      <c r="D23" s="37">
        <v>-9525060635.864397</v>
      </c>
      <c r="E23" s="37"/>
      <c r="F23" s="37"/>
      <c r="G23" s="37"/>
      <c r="H23" s="21"/>
      <c r="I23" s="21"/>
      <c r="J23" s="21"/>
      <c r="K23" s="21"/>
      <c r="L23" s="21"/>
    </row>
    <row r="24" spans="1:12" ht="29" x14ac:dyDescent="0.35">
      <c r="A24" s="40" t="s">
        <v>399</v>
      </c>
      <c r="C24" s="21"/>
      <c r="D24" s="37">
        <v>-57684832.243199974</v>
      </c>
      <c r="E24" s="37"/>
      <c r="F24" s="37" t="s">
        <v>385</v>
      </c>
      <c r="G24" s="37"/>
      <c r="H24" s="21"/>
      <c r="I24" s="21"/>
      <c r="J24" s="21"/>
      <c r="K24" s="21"/>
      <c r="L24" s="21"/>
    </row>
    <row r="25" spans="1:12" x14ac:dyDescent="0.35">
      <c r="A25" s="25" t="s">
        <v>400</v>
      </c>
      <c r="C25" s="21"/>
      <c r="D25" s="37">
        <v>-57684832.243199974</v>
      </c>
      <c r="E25" s="37"/>
      <c r="F25" s="37" t="s">
        <v>386</v>
      </c>
      <c r="G25" s="37"/>
      <c r="H25" s="21"/>
      <c r="I25" s="21"/>
      <c r="J25" s="21"/>
      <c r="K25" s="21"/>
      <c r="L25" s="21"/>
    </row>
    <row r="26" spans="1:12" x14ac:dyDescent="0.35">
      <c r="C26" s="21"/>
      <c r="D26" s="37">
        <v>-57684832.243199974</v>
      </c>
      <c r="E26" s="37"/>
      <c r="F26" s="37" t="s">
        <v>387</v>
      </c>
      <c r="G26" s="37"/>
      <c r="H26" s="21"/>
      <c r="I26" s="21"/>
      <c r="J26" s="21"/>
      <c r="K26" s="21"/>
      <c r="L26" s="21"/>
    </row>
    <row r="27" spans="1:12" x14ac:dyDescent="0.35">
      <c r="C27" s="21"/>
      <c r="D27" s="37">
        <v>-57684832.243199974</v>
      </c>
      <c r="E27" s="37"/>
      <c r="F27" s="37" t="s">
        <v>388</v>
      </c>
      <c r="G27" s="37"/>
      <c r="H27" s="21"/>
      <c r="I27" s="21"/>
      <c r="J27" s="21"/>
      <c r="K27" s="21"/>
      <c r="L27" s="21"/>
    </row>
    <row r="28" spans="1:12" x14ac:dyDescent="0.35">
      <c r="C28" s="21"/>
      <c r="D28" s="37">
        <v>-57684832.243199974</v>
      </c>
      <c r="E28" s="37"/>
      <c r="F28" s="37" t="s">
        <v>389</v>
      </c>
      <c r="G28" s="37"/>
      <c r="H28" s="21"/>
      <c r="I28" s="21"/>
      <c r="J28" s="21"/>
      <c r="K28" s="21"/>
      <c r="L28" s="21"/>
    </row>
    <row r="29" spans="1:12" x14ac:dyDescent="0.35">
      <c r="C29" s="21"/>
      <c r="D29" s="37">
        <v>-23594400</v>
      </c>
      <c r="E29" s="37"/>
      <c r="F29" s="37" t="s">
        <v>392</v>
      </c>
      <c r="G29" s="37"/>
      <c r="H29" s="21"/>
      <c r="I29" s="21"/>
      <c r="J29" s="21"/>
      <c r="K29" s="21"/>
      <c r="L29" s="21"/>
    </row>
    <row r="30" spans="1:12" x14ac:dyDescent="0.35">
      <c r="C30" s="21"/>
      <c r="D30" s="37">
        <v>-23594400</v>
      </c>
      <c r="E30" s="37"/>
      <c r="F30" s="37" t="s">
        <v>392</v>
      </c>
      <c r="G30" s="37"/>
      <c r="H30" s="21"/>
      <c r="I30" s="21"/>
      <c r="J30" s="21"/>
      <c r="K30" s="21"/>
      <c r="L30" s="21"/>
    </row>
    <row r="31" spans="1:12" x14ac:dyDescent="0.35">
      <c r="C31" s="21"/>
      <c r="D31" s="37">
        <v>-23594400</v>
      </c>
      <c r="E31" s="37"/>
      <c r="F31" s="37" t="s">
        <v>392</v>
      </c>
      <c r="G31" s="37"/>
      <c r="H31" s="21"/>
      <c r="I31" s="21"/>
      <c r="J31" s="21"/>
      <c r="K31" s="21"/>
      <c r="L31" s="21"/>
    </row>
    <row r="32" spans="1:12" x14ac:dyDescent="0.35">
      <c r="C32" s="21"/>
      <c r="D32" s="37">
        <v>-23594400</v>
      </c>
      <c r="E32" s="37"/>
      <c r="F32" s="37" t="s">
        <v>392</v>
      </c>
      <c r="G32" s="37"/>
      <c r="H32" s="21"/>
      <c r="I32" s="21"/>
      <c r="J32" s="21"/>
      <c r="K32" s="21"/>
      <c r="L32" s="21"/>
    </row>
    <row r="33" spans="3:12" x14ac:dyDescent="0.35">
      <c r="C33" s="21"/>
      <c r="D33" s="37">
        <v>-9907862397.0803986</v>
      </c>
      <c r="E33" s="37"/>
      <c r="F33" s="37"/>
      <c r="G33" s="37">
        <v>-2331261.7404895057</v>
      </c>
      <c r="H33" s="21"/>
      <c r="I33" s="21"/>
      <c r="J33" s="21"/>
      <c r="K33" s="21"/>
      <c r="L33" s="21"/>
    </row>
    <row r="34" spans="3:12" x14ac:dyDescent="0.35"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3:12" x14ac:dyDescent="0.35"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spans="3:12" x14ac:dyDescent="0.35">
      <c r="C36" s="21">
        <v>1160000</v>
      </c>
      <c r="D36" s="21">
        <v>1310799.9999999998</v>
      </c>
      <c r="E36" s="21"/>
      <c r="F36" s="21">
        <v>655399.99999999988</v>
      </c>
      <c r="G36" s="21">
        <v>1966199.9999999995</v>
      </c>
      <c r="H36" s="21">
        <v>23594399.999999993</v>
      </c>
      <c r="I36" s="21"/>
      <c r="J36" s="21"/>
      <c r="K36" s="21"/>
      <c r="L36" s="21"/>
    </row>
    <row r="37" spans="3:12" x14ac:dyDescent="0.35"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3:12" x14ac:dyDescent="0.35"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spans="3:12" x14ac:dyDescent="0.35"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0" spans="3:12" x14ac:dyDescent="0.35"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pans="3:12" x14ac:dyDescent="0.35"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 spans="3:12" x14ac:dyDescent="0.35">
      <c r="C42" s="21"/>
      <c r="D42" s="21"/>
      <c r="E42" s="21"/>
      <c r="F42" s="21"/>
      <c r="G42" s="21"/>
      <c r="H42" s="21"/>
      <c r="I42" s="21"/>
      <c r="J42" s="21"/>
      <c r="K42" s="21"/>
      <c r="L42" s="21"/>
    </row>
    <row r="43" spans="3:12" x14ac:dyDescent="0.35"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3:12" x14ac:dyDescent="0.35"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spans="3:12" x14ac:dyDescent="0.35">
      <c r="C45" s="21"/>
      <c r="D45" s="21"/>
      <c r="E45" s="21"/>
      <c r="F45" s="21"/>
      <c r="G45" s="21"/>
      <c r="H45" s="21"/>
      <c r="I45" s="21"/>
      <c r="J45" s="21"/>
      <c r="K45" s="21"/>
      <c r="L45" s="21"/>
    </row>
    <row r="46" spans="3:12" x14ac:dyDescent="0.35">
      <c r="C46" s="21"/>
      <c r="D46" s="21"/>
      <c r="E46" s="21"/>
      <c r="F46" s="21"/>
      <c r="G46" s="21"/>
      <c r="H46" s="21"/>
      <c r="I46" s="21"/>
      <c r="J46" s="21"/>
      <c r="K46" s="21"/>
      <c r="L46" s="21"/>
    </row>
    <row r="47" spans="3:12" x14ac:dyDescent="0.35">
      <c r="C47" s="21"/>
      <c r="D47" s="21"/>
      <c r="E47" s="21"/>
      <c r="F47" s="21"/>
      <c r="G47" s="21"/>
      <c r="H47" s="21"/>
      <c r="I47" s="21"/>
      <c r="J47" s="21"/>
      <c r="K47" s="21"/>
      <c r="L47" s="21"/>
    </row>
    <row r="48" spans="3:12" x14ac:dyDescent="0.35">
      <c r="C48" s="21"/>
      <c r="D48" s="21"/>
      <c r="E48" s="21"/>
      <c r="F48" s="21"/>
      <c r="G48" s="21"/>
      <c r="H48" s="21"/>
      <c r="I48" s="21"/>
      <c r="J48" s="21"/>
      <c r="K48" s="21"/>
      <c r="L48" s="21"/>
    </row>
    <row r="49" spans="3:12" x14ac:dyDescent="0.35"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 spans="3:12" x14ac:dyDescent="0.35">
      <c r="C50" s="21"/>
      <c r="D50" s="21"/>
      <c r="E50" s="21"/>
      <c r="F50" s="21"/>
      <c r="G50" s="21"/>
      <c r="H50" s="21"/>
      <c r="I50" s="21"/>
      <c r="J50" s="21"/>
      <c r="K50" s="21"/>
      <c r="L50" s="21"/>
    </row>
    <row r="51" spans="3:12" x14ac:dyDescent="0.35">
      <c r="C51" s="21"/>
      <c r="D51" s="21"/>
      <c r="E51" s="21"/>
      <c r="F51" s="21"/>
      <c r="G51" s="21"/>
      <c r="H51" s="21"/>
      <c r="I51" s="21"/>
      <c r="J51" s="21"/>
      <c r="K51" s="21"/>
      <c r="L51" s="21"/>
    </row>
    <row r="52" spans="3:12" x14ac:dyDescent="0.35">
      <c r="C52" s="21"/>
      <c r="D52" s="21"/>
      <c r="E52" s="21"/>
      <c r="F52" s="21"/>
      <c r="G52" s="21"/>
      <c r="H52" s="21"/>
      <c r="I52" s="21"/>
      <c r="J52" s="21"/>
      <c r="K52" s="21"/>
      <c r="L52" s="21"/>
    </row>
    <row r="53" spans="3:12" x14ac:dyDescent="0.35">
      <c r="C53" s="21"/>
      <c r="D53" s="21"/>
      <c r="E53" s="21"/>
      <c r="F53" s="21"/>
      <c r="G53" s="21"/>
      <c r="H53" s="21"/>
      <c r="I53" s="21"/>
      <c r="J53" s="21"/>
      <c r="K53" s="21"/>
      <c r="L53" s="21"/>
    </row>
    <row r="54" spans="3:12" x14ac:dyDescent="0.35">
      <c r="C54" s="21"/>
      <c r="D54" s="21"/>
      <c r="E54" s="21"/>
      <c r="F54" s="21"/>
      <c r="G54" s="21"/>
      <c r="H54" s="21"/>
      <c r="I54" s="21"/>
      <c r="J54" s="21"/>
      <c r="K54" s="21"/>
      <c r="L54" s="21"/>
    </row>
    <row r="55" spans="3:12" x14ac:dyDescent="0.35">
      <c r="C55" s="21"/>
      <c r="D55" s="21"/>
      <c r="E55" s="21"/>
      <c r="F55" s="21"/>
      <c r="G55" s="21"/>
      <c r="H55" s="21"/>
      <c r="I55" s="21"/>
      <c r="J55" s="21"/>
      <c r="K55" s="21"/>
      <c r="L55" s="21"/>
    </row>
    <row r="56" spans="3:12" x14ac:dyDescent="0.35">
      <c r="C56" s="21"/>
      <c r="D56" s="21"/>
      <c r="E56" s="21"/>
      <c r="F56" s="21"/>
      <c r="G56" s="21"/>
      <c r="H56" s="21"/>
      <c r="I56" s="21"/>
      <c r="J56" s="21"/>
      <c r="K56" s="21"/>
      <c r="L56" s="21"/>
    </row>
    <row r="57" spans="3:12" x14ac:dyDescent="0.35">
      <c r="C57" s="21"/>
      <c r="D57" s="21"/>
      <c r="E57" s="21"/>
      <c r="F57" s="21"/>
      <c r="G57" s="21"/>
      <c r="H57" s="21"/>
      <c r="I57" s="21"/>
      <c r="J57" s="21"/>
      <c r="K57" s="21"/>
      <c r="L57" s="21"/>
    </row>
    <row r="58" spans="3:12" x14ac:dyDescent="0.35">
      <c r="C58" s="21"/>
      <c r="D58" s="21"/>
      <c r="E58" s="21"/>
      <c r="F58" s="21"/>
      <c r="G58" s="21"/>
      <c r="H58" s="21"/>
      <c r="I58" s="21"/>
      <c r="J58" s="21"/>
      <c r="K58" s="21"/>
      <c r="L58" s="21"/>
    </row>
    <row r="59" spans="3:12" x14ac:dyDescent="0.35">
      <c r="C59" s="21"/>
      <c r="D59" s="21"/>
      <c r="E59" s="21"/>
      <c r="F59" s="21"/>
      <c r="G59" s="21"/>
      <c r="H59" s="21"/>
      <c r="I59" s="21"/>
      <c r="J59" s="21"/>
      <c r="K59" s="21"/>
      <c r="L59" s="21"/>
    </row>
    <row r="60" spans="3:12" x14ac:dyDescent="0.35">
      <c r="C60" s="21"/>
      <c r="D60" s="21"/>
      <c r="E60" s="21"/>
      <c r="F60" s="21"/>
      <c r="G60" s="21"/>
      <c r="H60" s="21"/>
      <c r="I60" s="21"/>
      <c r="J60" s="21"/>
      <c r="K60" s="21"/>
      <c r="L60" s="21"/>
    </row>
    <row r="61" spans="3:12" x14ac:dyDescent="0.35">
      <c r="C61" s="21"/>
      <c r="D61" s="21"/>
      <c r="E61" s="21"/>
      <c r="F61" s="21"/>
      <c r="G61" s="21"/>
      <c r="H61" s="21"/>
      <c r="I61" s="21"/>
      <c r="J61" s="21"/>
      <c r="K61" s="21"/>
      <c r="L61" s="21"/>
    </row>
    <row r="62" spans="3:12" x14ac:dyDescent="0.35">
      <c r="C62" s="21"/>
      <c r="D62" s="21"/>
      <c r="E62" s="21"/>
      <c r="F62" s="21"/>
      <c r="G62" s="21"/>
      <c r="H62" s="21"/>
      <c r="I62" s="21"/>
      <c r="J62" s="21"/>
      <c r="K62" s="21"/>
      <c r="L62" s="21"/>
    </row>
    <row r="63" spans="3:12" x14ac:dyDescent="0.35">
      <c r="C63" s="21"/>
      <c r="D63" s="21"/>
      <c r="E63" s="21"/>
      <c r="F63" s="21"/>
      <c r="G63" s="21"/>
      <c r="H63" s="21"/>
      <c r="I63" s="21"/>
      <c r="J63" s="21"/>
      <c r="K63" s="21"/>
      <c r="L63" s="21"/>
    </row>
    <row r="64" spans="3:12" x14ac:dyDescent="0.35">
      <c r="C64" s="21"/>
      <c r="D64" s="21"/>
      <c r="E64" s="21"/>
      <c r="F64" s="21"/>
      <c r="G64" s="21"/>
      <c r="H64" s="21"/>
      <c r="I64" s="21"/>
      <c r="J64" s="21"/>
      <c r="K64" s="21"/>
      <c r="L64" s="21"/>
    </row>
    <row r="65" spans="3:12" x14ac:dyDescent="0.35">
      <c r="C65" s="21"/>
      <c r="D65" s="21"/>
      <c r="E65" s="21"/>
      <c r="F65" s="21"/>
      <c r="G65" s="21"/>
      <c r="H65" s="21"/>
      <c r="I65" s="21"/>
      <c r="J65" s="21"/>
      <c r="K65" s="21"/>
      <c r="L65" s="21"/>
    </row>
    <row r="66" spans="3:12" x14ac:dyDescent="0.35"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3:12" x14ac:dyDescent="0.35">
      <c r="C67" s="21"/>
      <c r="D67" s="21"/>
      <c r="E67" s="21"/>
      <c r="F67" s="21"/>
      <c r="G67" s="21"/>
      <c r="H67" s="21"/>
      <c r="I67" s="21"/>
      <c r="J67" s="21"/>
      <c r="K67" s="21"/>
      <c r="L67" s="21"/>
    </row>
    <row r="68" spans="3:12" x14ac:dyDescent="0.35">
      <c r="C68" s="21"/>
      <c r="D68" s="21"/>
      <c r="E68" s="21"/>
      <c r="F68" s="21"/>
      <c r="G68" s="21"/>
      <c r="H68" s="21"/>
      <c r="I68" s="21"/>
      <c r="J68" s="21"/>
      <c r="K68" s="21"/>
      <c r="L68" s="21"/>
    </row>
    <row r="69" spans="3:12" x14ac:dyDescent="0.35">
      <c r="C69" s="21"/>
      <c r="D69" s="21"/>
      <c r="E69" s="21"/>
      <c r="F69" s="21"/>
      <c r="G69" s="21"/>
      <c r="H69" s="21"/>
      <c r="I69" s="21"/>
      <c r="J69" s="21"/>
      <c r="K69" s="21"/>
      <c r="L69" s="21"/>
    </row>
    <row r="70" spans="3:12" x14ac:dyDescent="0.35">
      <c r="C70" s="21"/>
      <c r="D70" s="21"/>
      <c r="E70" s="21"/>
      <c r="F70" s="21"/>
      <c r="G70" s="21"/>
      <c r="H70" s="21"/>
      <c r="I70" s="21"/>
      <c r="J70" s="21"/>
      <c r="K70" s="21"/>
      <c r="L70" s="21"/>
    </row>
    <row r="71" spans="3:12" x14ac:dyDescent="0.35">
      <c r="C71" s="21"/>
      <c r="D71" s="21"/>
      <c r="E71" s="21"/>
      <c r="F71" s="21"/>
      <c r="G71" s="21"/>
      <c r="H71" s="21"/>
      <c r="I71" s="21"/>
      <c r="J71" s="21"/>
      <c r="K71" s="21"/>
      <c r="L71" s="21"/>
    </row>
    <row r="72" spans="3:12" x14ac:dyDescent="0.35">
      <c r="C72" s="21"/>
      <c r="D72" s="21"/>
      <c r="E72" s="21"/>
      <c r="F72" s="21"/>
      <c r="G72" s="21"/>
      <c r="H72" s="21"/>
      <c r="I72" s="21"/>
      <c r="J72" s="21"/>
      <c r="K72" s="21"/>
      <c r="L72" s="21"/>
    </row>
    <row r="73" spans="3:12" x14ac:dyDescent="0.35">
      <c r="C73" s="21"/>
      <c r="D73" s="21"/>
      <c r="E73" s="21"/>
      <c r="F73" s="21"/>
      <c r="G73" s="21"/>
      <c r="H73" s="21"/>
      <c r="I73" s="21"/>
      <c r="J73" s="21"/>
      <c r="K73" s="21"/>
      <c r="L73" s="21"/>
    </row>
    <row r="74" spans="3:12" x14ac:dyDescent="0.35">
      <c r="C74" s="21"/>
      <c r="D74" s="21"/>
      <c r="E74" s="21"/>
      <c r="F74" s="21"/>
      <c r="G74" s="21"/>
      <c r="H74" s="21"/>
      <c r="I74" s="21"/>
      <c r="J74" s="21"/>
      <c r="K74" s="21"/>
      <c r="L74" s="21"/>
    </row>
    <row r="75" spans="3:12" x14ac:dyDescent="0.35">
      <c r="C75" s="21"/>
      <c r="D75" s="21"/>
      <c r="E75" s="21"/>
      <c r="F75" s="21"/>
      <c r="G75" s="21"/>
      <c r="H75" s="21"/>
      <c r="I75" s="21"/>
      <c r="J75" s="21"/>
      <c r="K75" s="21"/>
      <c r="L75" s="21"/>
    </row>
    <row r="76" spans="3:12" x14ac:dyDescent="0.35">
      <c r="C76" s="21"/>
      <c r="D76" s="21"/>
      <c r="E76" s="21"/>
      <c r="F76" s="21"/>
      <c r="G76" s="21"/>
      <c r="H76" s="21"/>
      <c r="I76" s="21"/>
      <c r="J76" s="21"/>
      <c r="K76" s="21"/>
      <c r="L76" s="21"/>
    </row>
    <row r="77" spans="3:12" x14ac:dyDescent="0.35"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3:12" x14ac:dyDescent="0.35">
      <c r="C78" s="21"/>
      <c r="D78" s="21"/>
      <c r="E78" s="21"/>
      <c r="F78" s="21"/>
      <c r="G78" s="21"/>
      <c r="H78" s="21"/>
      <c r="I78" s="21"/>
      <c r="J78" s="21"/>
      <c r="K78" s="21"/>
      <c r="L78" s="21"/>
    </row>
    <row r="79" spans="3:12" x14ac:dyDescent="0.35">
      <c r="C79" s="21"/>
      <c r="D79" s="21"/>
      <c r="E79" s="21"/>
      <c r="F79" s="21"/>
      <c r="G79" s="21"/>
      <c r="H79" s="21"/>
      <c r="I79" s="21"/>
      <c r="J79" s="21"/>
      <c r="K79" s="21"/>
      <c r="L79" s="21"/>
    </row>
    <row r="80" spans="3:12" x14ac:dyDescent="0.35">
      <c r="C80" s="21"/>
      <c r="D80" s="21"/>
      <c r="E80" s="21"/>
      <c r="F80" s="21"/>
      <c r="G80" s="21"/>
      <c r="H80" s="21"/>
      <c r="I80" s="21"/>
      <c r="J80" s="21"/>
      <c r="K80" s="21"/>
      <c r="L80" s="21"/>
    </row>
    <row r="81" spans="3:12" x14ac:dyDescent="0.35">
      <c r="C81" s="21"/>
      <c r="D81" s="21"/>
      <c r="E81" s="21"/>
      <c r="F81" s="21"/>
      <c r="G81" s="21"/>
      <c r="H81" s="21"/>
      <c r="I81" s="21"/>
      <c r="J81" s="21"/>
      <c r="K81" s="21"/>
      <c r="L81" s="21"/>
    </row>
    <row r="82" spans="3:12" x14ac:dyDescent="0.35"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3:12" x14ac:dyDescent="0.35">
      <c r="C83" s="21"/>
      <c r="D83" s="21"/>
      <c r="E83" s="21"/>
      <c r="F83" s="21"/>
      <c r="G83" s="21"/>
      <c r="H83" s="21"/>
      <c r="I83" s="21"/>
      <c r="J83" s="21"/>
      <c r="K83" s="21"/>
      <c r="L83" s="2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39edf2-cd88-4e92-9910-32e7e5832556">
      <Terms xmlns="http://schemas.microsoft.com/office/infopath/2007/PartnerControls"/>
    </lcf76f155ced4ddcb4097134ff3c332f>
    <TaxCatchAll xmlns="d5dcee30-359a-4489-9aaa-d1b205cce26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6556DBA09C30439C5C09DA19FF8880" ma:contentTypeVersion="14" ma:contentTypeDescription="Crear nuevo documento." ma:contentTypeScope="" ma:versionID="684cb77eeaadc58b63e0a05f2ac98248">
  <xsd:schema xmlns:xsd="http://www.w3.org/2001/XMLSchema" xmlns:xs="http://www.w3.org/2001/XMLSchema" xmlns:p="http://schemas.microsoft.com/office/2006/metadata/properties" xmlns:ns2="3339edf2-cd88-4e92-9910-32e7e5832556" xmlns:ns3="d5dcee30-359a-4489-9aaa-d1b205cce266" targetNamespace="http://schemas.microsoft.com/office/2006/metadata/properties" ma:root="true" ma:fieldsID="6e9639dd9b27d70d962eea1b537d71de" ns2:_="" ns3:_="">
    <xsd:import namespace="3339edf2-cd88-4e92-9910-32e7e5832556"/>
    <xsd:import namespace="d5dcee30-359a-4489-9aaa-d1b205cce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9edf2-cd88-4e92-9910-32e7e5832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6dd7a111-9761-4ccb-ba91-79ca13af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dcee30-359a-4489-9aaa-d1b205cce26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77fd177-a72f-4701-8af8-417f32cd8aab}" ma:internalName="TaxCatchAll" ma:showField="CatchAllData" ma:web="d5dcee30-359a-4489-9aaa-d1b205cce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003228-B0B6-4C4B-9EAF-DEC53E99A340}">
  <ds:schemaRefs>
    <ds:schemaRef ds:uri="http://schemas.microsoft.com/office/2006/metadata/properties"/>
    <ds:schemaRef ds:uri="http://schemas.microsoft.com/office/infopath/2007/PartnerControls"/>
    <ds:schemaRef ds:uri="3339edf2-cd88-4e92-9910-32e7e5832556"/>
    <ds:schemaRef ds:uri="d5dcee30-359a-4489-9aaa-d1b205cce266"/>
  </ds:schemaRefs>
</ds:datastoreItem>
</file>

<file path=customXml/itemProps2.xml><?xml version="1.0" encoding="utf-8"?>
<ds:datastoreItem xmlns:ds="http://schemas.openxmlformats.org/officeDocument/2006/customXml" ds:itemID="{993A8859-69B4-42A3-9213-E2A887E69E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39edf2-cd88-4e92-9910-32e7e5832556"/>
    <ds:schemaRef ds:uri="d5dcee30-359a-4489-9aaa-d1b205cce2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710570-0126-4DE3-81EB-6BAAAF5168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</vt:i4>
      </vt:variant>
    </vt:vector>
  </HeadingPairs>
  <TitlesOfParts>
    <vt:vector size="9" baseType="lpstr">
      <vt:lpstr>MapeoAura</vt:lpstr>
      <vt:lpstr>Premisas</vt:lpstr>
      <vt:lpstr>GH</vt:lpstr>
      <vt:lpstr>BD HR</vt:lpstr>
      <vt:lpstr>BDIT BR</vt:lpstr>
      <vt:lpstr>Hoja2</vt:lpstr>
      <vt:lpstr>IPC</vt:lpstr>
      <vt:lpstr>SMMLV</vt:lpstr>
      <vt:lpstr>TRM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Franco</dc:creator>
  <cp:lastModifiedBy>Ginna Castro Correa</cp:lastModifiedBy>
  <cp:lastPrinted>2025-11-18T12:41:59Z</cp:lastPrinted>
  <dcterms:created xsi:type="dcterms:W3CDTF">2023-11-09T19:28:28Z</dcterms:created>
  <dcterms:modified xsi:type="dcterms:W3CDTF">2026-06-22T12:02:23Z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0x010100506556DBA09C30439C5C09DA19FF8880</vt:lpwstr>
  </property>
  <property fmtid="{D5CDD505-2E9C-101B-9397-08002B2CF9AE}" pid="3" name="MediaServiceImageTags">
    <vt:lpwstr/>
  </property>
</Properties>
</file>