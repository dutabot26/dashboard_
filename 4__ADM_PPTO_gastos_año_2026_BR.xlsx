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aftms-my.sharepoint.com/personal/ginna_castro_craftmulti_com/Documents/Ginna Castro C/Proyectos/PPTO Admtivo 2025/2026/Budget Brasil 2026/Enero 2026/"/>
    </mc:Choice>
  </mc:AlternateContent>
  <xr:revisionPtr revIDLastSave="0" documentId="8_{A9F97706-5FBA-4AED-9476-66FAF62D301A}" xr6:coauthVersionLast="47" xr6:coauthVersionMax="47" xr10:uidLastSave="{00000000-0000-0000-0000-000000000000}"/>
  <bookViews>
    <workbookView xWindow="-110" yWindow="-110" windowWidth="19420" windowHeight="10300" tabRatio="916" xr2:uid="{347A9C78-0A7E-4415-ACBE-923109CDB7E0}"/>
  </bookViews>
  <sheets>
    <sheet name="Presupuesto Anual Sucursal ADM" sheetId="3" r:id="rId1"/>
    <sheet name="Presupuesto mensual ADM General" sheetId="15" r:id="rId2"/>
    <sheet name="BDIT BR" sheetId="14" state="hidden" r:id="rId3"/>
    <sheet name="Hoja2" sheetId="13" state="hidden" r:id="rId4"/>
  </sheets>
  <definedNames>
    <definedName name="_xlnm._FilterDatabase" localSheetId="2" hidden="1">'BDIT BR'!$A$1:$U$35</definedName>
    <definedName name="IPC">#REF!</definedName>
    <definedName name="SMMLV">#REF!</definedName>
    <definedName name="TR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5" l="1"/>
  <c r="C23" i="15"/>
  <c r="C22" i="15"/>
  <c r="C24" i="3"/>
  <c r="C23" i="3"/>
  <c r="C22" i="3"/>
  <c r="C21" i="3"/>
  <c r="I3" i="3"/>
  <c r="I37" i="3" s="1"/>
  <c r="H3" i="3"/>
  <c r="H37" i="3" s="1"/>
  <c r="G3" i="3"/>
  <c r="G37" i="3" s="1"/>
  <c r="F3" i="3"/>
  <c r="F37" i="3" s="1"/>
  <c r="E3" i="3"/>
  <c r="E37" i="3" s="1"/>
  <c r="D3" i="3"/>
  <c r="D37" i="3" s="1"/>
  <c r="C3" i="3"/>
  <c r="C37" i="3" s="1"/>
  <c r="J37" i="3" l="1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U33" i="14"/>
  <c r="U32" i="14"/>
  <c r="U31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U29" i="14"/>
  <c r="U28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U18" i="14"/>
  <c r="U17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U6" i="3"/>
  <c r="T6" i="3"/>
  <c r="U5" i="3"/>
  <c r="T5" i="3"/>
  <c r="U4" i="3"/>
  <c r="T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Ginna Castro Correa</author>
  </authors>
  <commentList>
    <comment ref="B4" authorId="0" shapeId="0" xr:uid="{717A6B1D-9392-4B93-AD37-9B542C696674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" authorId="0" shapeId="0" xr:uid="{5BA991A4-C37A-44BC-8EC7-031E2C1ADEBB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Septiembre + IPC+1%</t>
        </r>
      </text>
    </comment>
    <comment ref="D4" authorId="0" shapeId="0" xr:uid="{66C9B256-3B56-43FC-8BA7-C430A128A87A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DIC IPC+2%</t>
        </r>
      </text>
    </comment>
    <comment ref="E4" authorId="0" shapeId="0" xr:uid="{2FF4824B-639C-494E-9991-F79C3EF8856D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SEPTIEMBRE IPC+1,5%</t>
        </r>
      </text>
    </comment>
    <comment ref="F4" authorId="0" shapeId="0" xr:uid="{468D3CBE-2833-4F24-8DBA-5D75D8709A31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Diciembre IPC+5%</t>
        </r>
      </text>
    </comment>
    <comment ref="G4" authorId="0" shapeId="0" xr:uid="{23FDC400-FF1B-4E8A-B423-9BB712B7495D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Enero + IPC</t>
        </r>
      </text>
    </comment>
    <comment ref="H4" authorId="0" shapeId="0" xr:uid="{E0E7CF53-4E96-4797-B2CE-5FB0A5C00370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MAYO IPC + 1%</t>
        </r>
      </text>
    </comment>
    <comment ref="I4" authorId="0" shapeId="0" xr:uid="{A8090A4A-D76C-4EB0-A417-8F9920AF840F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NOVIEMBRE IPC+2%</t>
        </r>
      </text>
    </comment>
    <comment ref="B7" authorId="0" shapeId="0" xr:uid="{CE6E1BE9-1E21-4ED5-BB5A-26E1EE905BF3}">
      <text>
        <r>
          <rPr>
            <b/>
            <sz val="9"/>
            <color indexed="81"/>
            <rFont val="Tahoma"/>
            <family val="2"/>
          </rPr>
          <t xml:space="preserve">Ginna Castro Correa
</t>
        </r>
        <r>
          <rPr>
            <sz val="9"/>
            <color indexed="81"/>
            <rFont val="Tahoma"/>
            <family val="2"/>
          </rPr>
          <t>Referencia Oct/25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Ginna Castro Correa</author>
  </authors>
  <commentList>
    <comment ref="B5" authorId="0" shapeId="0" xr:uid="{DA5AE99B-9243-4802-9F93-D3F0E786A8B7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" authorId="0" shapeId="0" xr:uid="{D506C302-1DD8-4413-9B82-430D85EC9C54}">
      <text>
        <r>
          <rPr>
            <b/>
            <sz val="9"/>
            <color indexed="81"/>
            <rFont val="Tahoma"/>
            <family val="2"/>
          </rPr>
          <t xml:space="preserve">Ginna Castro Correa
</t>
        </r>
        <r>
          <rPr>
            <sz val="9"/>
            <color indexed="81"/>
            <rFont val="Tahoma"/>
            <family val="2"/>
          </rPr>
          <t>Referencia Oct/25</t>
        </r>
      </text>
    </comment>
    <comment ref="C22" authorId="0" shapeId="0" xr:uid="{CEAC4AC4-882A-4BBF-952E-7F1E5A91FDBD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BASC EXTERNA
1.5 Días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tc={DB35D134-17A6-4D02-B8FE-6BB63996B7CD}</author>
  </authors>
  <commentList>
    <comment ref="F33" authorId="0" shapeId="0" xr:uid="{DB35D134-17A6-4D02-B8FE-6BB63996B7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Considerando 111 laptops a 6k cada</t>
      </text>
    </comment>
  </commentList>
</comments>
</file>

<file path=xl/sharedStrings.xml><?xml version="1.0" encoding="utf-8"?>
<sst xmlns="http://schemas.openxmlformats.org/spreadsheetml/2006/main" count="414" uniqueCount="216">
  <si>
    <t>Conservacion Y Manutenimiento De Oficina</t>
  </si>
  <si>
    <t>Celulares</t>
  </si>
  <si>
    <t>Material De Escritorio</t>
  </si>
  <si>
    <t>Material Copa/Cozinha</t>
  </si>
  <si>
    <t>Conducao E Taxi</t>
  </si>
  <si>
    <t>Malote</t>
  </si>
  <si>
    <t>Viagens E Estadias</t>
  </si>
  <si>
    <t>Gastos De Representacion</t>
  </si>
  <si>
    <t>Intermodal</t>
  </si>
  <si>
    <t>Publicidad Y Propaganda</t>
  </si>
  <si>
    <t>AREA</t>
  </si>
  <si>
    <t>IFX</t>
  </si>
  <si>
    <t>CLARO</t>
  </si>
  <si>
    <t>MOVISTAR</t>
  </si>
  <si>
    <t>TIGO</t>
  </si>
  <si>
    <t>BOGOTA</t>
  </si>
  <si>
    <t>BOGOTA AEROPUERTO</t>
  </si>
  <si>
    <t>CALI</t>
  </si>
  <si>
    <t>CARTAGENA</t>
  </si>
  <si>
    <t>BUENAVENTURA</t>
  </si>
  <si>
    <t>MEDELLIN</t>
  </si>
  <si>
    <t>VISITAS PROVEEDORES</t>
  </si>
  <si>
    <t>Informa</t>
  </si>
  <si>
    <t>TOTAL</t>
  </si>
  <si>
    <t>PC + 5 años</t>
  </si>
  <si>
    <t>Aumento memorias</t>
  </si>
  <si>
    <t>Canal backup intenet</t>
  </si>
  <si>
    <t>Nuevo Firewall</t>
  </si>
  <si>
    <t>Programa Desaster Recovery</t>
  </si>
  <si>
    <t>Migracion a la nube</t>
  </si>
  <si>
    <t>Licencias de visio</t>
  </si>
  <si>
    <t>Extensiones ETB</t>
  </si>
  <si>
    <t>Monitores</t>
  </si>
  <si>
    <t>Administración</t>
  </si>
  <si>
    <t>BARRANQUILLA</t>
  </si>
  <si>
    <t>internet</t>
  </si>
  <si>
    <t>Telefone/Celulares</t>
  </si>
  <si>
    <t>Agua</t>
  </si>
  <si>
    <t>SIM DATOS</t>
  </si>
  <si>
    <t>Insumos y perifericos</t>
  </si>
  <si>
    <t>Total Budget</t>
  </si>
  <si>
    <t>Repositorio Veembackup</t>
  </si>
  <si>
    <t>Renovación impresoras</t>
  </si>
  <si>
    <t>Morrales PC</t>
  </si>
  <si>
    <t>Biometrico</t>
  </si>
  <si>
    <t>Servicios de Terceros</t>
  </si>
  <si>
    <t>licencias Firewall &amp; veembackup</t>
  </si>
  <si>
    <t>Licencias SEC &amp; PQR</t>
  </si>
  <si>
    <t>licencias Vmware &amp; servidor DL360 &amp; windows server</t>
  </si>
  <si>
    <t>Capacidad NAS</t>
  </si>
  <si>
    <t>celulares</t>
  </si>
  <si>
    <t>Telefono fijo</t>
  </si>
  <si>
    <t>ok</t>
  </si>
  <si>
    <t>COMISIONES</t>
  </si>
  <si>
    <t xml:space="preserve">Cambio de TRM </t>
  </si>
  <si>
    <t>incluir 4 practicantes sena</t>
  </si>
  <si>
    <t>Incluir Alberto y miguel damian</t>
  </si>
  <si>
    <t>reemplazo de olga espejo =Natalia</t>
  </si>
  <si>
    <t>incluir emiro</t>
  </si>
  <si>
    <t>incluir al nuevo de VAS</t>
  </si>
  <si>
    <t>incluir al nuevo de aereo</t>
  </si>
  <si>
    <t>caclular nuevamente el impacto de flexibilizacion</t>
  </si>
  <si>
    <t>calcular valores de 3 visitas (Marcio, Marcus, Rita)</t>
  </si>
  <si>
    <t>CON TODO SIN COMISIONES</t>
  </si>
  <si>
    <t>TRM</t>
  </si>
  <si>
    <t>CON  tb SIN PUERTOS</t>
  </si>
  <si>
    <t>EMIRO</t>
  </si>
  <si>
    <t>NATALIA</t>
  </si>
  <si>
    <t>ALBERTO</t>
  </si>
  <si>
    <t>MIGUEL</t>
  </si>
  <si>
    <t>AEREO</t>
  </si>
  <si>
    <t>TODO SIN TBH</t>
  </si>
  <si>
    <t>SIN TBH PERO PASANTES</t>
  </si>
  <si>
    <t>PASANTES</t>
  </si>
  <si>
    <t>Total personal 92</t>
  </si>
  <si>
    <t>pendiente presupuesto solo bta</t>
  </si>
  <si>
    <t>cambiar el de laura comisiones</t>
  </si>
  <si>
    <t>PONER META  a los inside</t>
  </si>
  <si>
    <t>errores en cotizaciones se descuentan de comisiones</t>
  </si>
  <si>
    <t>50% al inside del monto de la embarrada</t>
  </si>
  <si>
    <t>descontar el monto que corresponde al error sin que supere el valor de la comision de ese mes</t>
  </si>
  <si>
    <t>aplicable a todo inside</t>
  </si>
  <si>
    <t>OK</t>
  </si>
  <si>
    <t>Inlcuido Miguel</t>
  </si>
  <si>
    <t>SIN TBH PERO CON PASANTES</t>
  </si>
  <si>
    <t>GROUP</t>
  </si>
  <si>
    <t>FISCAL GROUP</t>
  </si>
  <si>
    <t>IT GROUP</t>
  </si>
  <si>
    <t>DESCRIPTION 1</t>
  </si>
  <si>
    <t>DESCRIPTION 2</t>
  </si>
  <si>
    <t>SUPPLIER</t>
  </si>
  <si>
    <t>BRANCH</t>
  </si>
  <si>
    <t>Jan/24 BP</t>
  </si>
  <si>
    <t>Fev/24BP</t>
  </si>
  <si>
    <t>Mar/24 BP</t>
  </si>
  <si>
    <t>Apr/24 BP</t>
  </si>
  <si>
    <t>May/24 BP</t>
  </si>
  <si>
    <t>Jun/24 BP</t>
  </si>
  <si>
    <t>Jul/24 BP</t>
  </si>
  <si>
    <t>Ago/24 BP</t>
  </si>
  <si>
    <t>Sep/24 BP</t>
  </si>
  <si>
    <t>Out/24 BP</t>
  </si>
  <si>
    <t>Nov/24 BP</t>
  </si>
  <si>
    <t>Dec/24 BP</t>
  </si>
  <si>
    <t>EXPENSES</t>
  </si>
  <si>
    <t>IT Infraestructure</t>
  </si>
  <si>
    <t>IT Network transmission Expenses</t>
  </si>
  <si>
    <t>Data Network</t>
  </si>
  <si>
    <t>IT Infrastructure and Support</t>
  </si>
  <si>
    <t>Enlace Internet</t>
  </si>
  <si>
    <t xml:space="preserve">Link of Internet </t>
  </si>
  <si>
    <t>GTD</t>
  </si>
  <si>
    <t>COLÔMBIA (BOGOTÁ)</t>
  </si>
  <si>
    <t>Second Link of Internet</t>
  </si>
  <si>
    <t>MPLS com CASA MATRIZ</t>
  </si>
  <si>
    <t>COLÔMBIA (CALI)</t>
  </si>
  <si>
    <t>COLÔMBIA (BUENAVENTURA)</t>
  </si>
  <si>
    <t>IT Comunnications</t>
  </si>
  <si>
    <t>Telephony (Mobile)</t>
  </si>
  <si>
    <t>Telephony (VOIP)</t>
  </si>
  <si>
    <t>Telephony (PABX)</t>
  </si>
  <si>
    <t>IT Security</t>
  </si>
  <si>
    <t>Firewall (Maintenance)</t>
  </si>
  <si>
    <t>Firewall License</t>
  </si>
  <si>
    <t xml:space="preserve">License Firewall - FORTINET F100 </t>
  </si>
  <si>
    <t>FORTINET</t>
  </si>
  <si>
    <t>ARGENTINA</t>
  </si>
  <si>
    <t>IT Hardware Expenses</t>
  </si>
  <si>
    <t>Printers (Outsourcing)</t>
  </si>
  <si>
    <t>Ptrinters Outsourcing</t>
  </si>
  <si>
    <t>30 Printers - Brother - MFC 200</t>
  </si>
  <si>
    <t>XPTO OUTSOURCING</t>
  </si>
  <si>
    <t>Printers (Maintenance)</t>
  </si>
  <si>
    <t xml:space="preserve">Servers &amp; Local Datacenter services </t>
  </si>
  <si>
    <t>IT Infraestrutura e Sustentação</t>
  </si>
  <si>
    <t>Garantee Contract - 12 months</t>
  </si>
  <si>
    <t>DELL</t>
  </si>
  <si>
    <t>IT Sofware Expenses - End User</t>
  </si>
  <si>
    <t>End User Computing - Collaboration</t>
  </si>
  <si>
    <t>Acrobat License - PDFCreator</t>
  </si>
  <si>
    <t>License to 12 users - PDF Creator</t>
  </si>
  <si>
    <t>ADOBE</t>
  </si>
  <si>
    <t>PERU</t>
  </si>
  <si>
    <t>IT SOFTWARE</t>
  </si>
  <si>
    <t>IT Software Expenses Consultoria</t>
  </si>
  <si>
    <t>Support and Maintenance - SAP</t>
  </si>
  <si>
    <t>IT Sotware Support</t>
  </si>
  <si>
    <t>Support and Update - SAP (32 Hours/Month)</t>
  </si>
  <si>
    <t xml:space="preserve">Contract Support Consultoria SAP </t>
  </si>
  <si>
    <t>XPLORA</t>
  </si>
  <si>
    <t>IT Software License - SaaS</t>
  </si>
  <si>
    <t>License SAP</t>
  </si>
  <si>
    <t>IT Sotware License</t>
  </si>
  <si>
    <t>License SAP - 24 Users</t>
  </si>
  <si>
    <t>License Use - SAP to 24 users</t>
  </si>
  <si>
    <t>SAP</t>
  </si>
  <si>
    <t xml:space="preserve">IT PEOPLE </t>
  </si>
  <si>
    <t>IT People Contractors - External Services</t>
  </si>
  <si>
    <t>Support End User / Network</t>
  </si>
  <si>
    <t>IT PEOPLE</t>
  </si>
  <si>
    <t>IT People Colaborators</t>
  </si>
  <si>
    <t>Support End User / SAP Systems</t>
  </si>
  <si>
    <t>IT Security Analist</t>
  </si>
  <si>
    <t>Project SAP (Contract Temp)</t>
  </si>
  <si>
    <t>IT Systems Analyst</t>
  </si>
  <si>
    <t xml:space="preserve">TOTAL </t>
  </si>
  <si>
    <t xml:space="preserve"> </t>
  </si>
  <si>
    <t>INVESTIMENTS</t>
  </si>
  <si>
    <t>IT Project</t>
  </si>
  <si>
    <t>Software Maintenance</t>
  </si>
  <si>
    <t>Sustainable growth</t>
  </si>
  <si>
    <t>IT Systems</t>
  </si>
  <si>
    <t>Software Maintenance like INVESTIMENT</t>
  </si>
  <si>
    <t>Support and Maintenance during project phase</t>
  </si>
  <si>
    <t>Project Consulting &amp; Implementation</t>
  </si>
  <si>
    <t xml:space="preserve">Project Implementation SAP </t>
  </si>
  <si>
    <t xml:space="preserve">Implementation SAP </t>
  </si>
  <si>
    <t>IT Investiment</t>
  </si>
  <si>
    <t>Project Consulting&amp;Implementation</t>
  </si>
  <si>
    <t>Support and Maintenance  like investiment</t>
  </si>
  <si>
    <t>Corporate</t>
  </si>
  <si>
    <t>IT Software aquisition &amp; implementation</t>
  </si>
  <si>
    <t>Operational Excelence</t>
  </si>
  <si>
    <t>Software Aquisition like investiment</t>
  </si>
  <si>
    <t>Hardware Aquisition</t>
  </si>
  <si>
    <t>IT Infraestrutura</t>
  </si>
  <si>
    <t>Hardware aquisition like investiment</t>
  </si>
  <si>
    <t>TOTAL GERAL</t>
  </si>
  <si>
    <t>Support and Maintenance - BUK</t>
  </si>
  <si>
    <t>x</t>
  </si>
  <si>
    <t>Enlace Internet pais</t>
  </si>
  <si>
    <t>AUDITORiA interna externa BASC</t>
  </si>
  <si>
    <t>ADM</t>
  </si>
  <si>
    <t>Regalos clientes</t>
  </si>
  <si>
    <t>Cuota de sostenimiento BASC</t>
  </si>
  <si>
    <t>Fundación Techo para mi país</t>
  </si>
  <si>
    <t>FITAC Cuota de sostenimiento</t>
  </si>
  <si>
    <t>FITAC Congreso</t>
  </si>
  <si>
    <t>FITAC Patronicio</t>
  </si>
  <si>
    <t>FITAC Asistencia extra congreso</t>
  </si>
  <si>
    <t>Compra sellos liberación</t>
  </si>
  <si>
    <t>Compra sellos Craft</t>
  </si>
  <si>
    <t>Reuniones gerenciales CEM (Comida)</t>
  </si>
  <si>
    <t>Reuniones gerenciales CEM (Sala reuniones)</t>
  </si>
  <si>
    <t>Arriendos</t>
  </si>
  <si>
    <t>Bodegas</t>
  </si>
  <si>
    <t>Luz</t>
  </si>
  <si>
    <t>USD 2026</t>
  </si>
  <si>
    <t>Otros Gastos CASA LIMPIA PLANILLA AC OTROS</t>
  </si>
  <si>
    <t>Precintos/SELLOS</t>
  </si>
  <si>
    <t>Trámites notariales autenticaciones</t>
  </si>
  <si>
    <t>Renovacion camara de comercio</t>
  </si>
  <si>
    <t>Parqueaderos</t>
  </si>
  <si>
    <t>PRESUPUESTO MES 2026</t>
  </si>
  <si>
    <t>ITEMS ADM</t>
  </si>
  <si>
    <t>PRESUPUESTO MENSUALPOR SUCURSALES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</si>
</sst>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409]mmmm\-yy;@"/>
    <numFmt numFmtId="166" formatCode="_-&quot;R$&quot;\ * #,##0.00_-;\-&quot;R$&quot;\ * #,##0.00_-;_-&quot;R$&quot;\ * &quot;-&quot;??_-;_-@_-"/>
    <numFmt numFmtId="167" formatCode="[$USD]\ #,##0.00;\-[$USD]\ #,##0.00"/>
    <numFmt numFmtId="168" formatCode="0.0%"/>
    <numFmt numFmtId="169" formatCode="_-[$$-240A]\ * #,##0_-;\-[$$-240A]\ * #,##0_-;_-[$$-24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sz val="10"/>
      <color theme="1"/>
      <name val="Arial Nova Cond Light"/>
      <family val="2"/>
    </font>
    <font>
      <sz val="10"/>
      <color theme="0"/>
      <name val="Arial Nova Cond Light"/>
      <family val="2"/>
    </font>
    <font>
      <sz val="10"/>
      <name val="Arial Nova Cond Light"/>
      <family val="2"/>
    </font>
    <font>
      <b/>
      <sz val="8"/>
      <color theme="0"/>
      <name val="Arial Narrow"/>
      <family val="2"/>
    </font>
    <font>
      <sz val="9"/>
      <color theme="4" tint="-0.499984740745262"/>
      <name val="Arial Narrow"/>
      <family val="2"/>
    </font>
    <font>
      <b/>
      <sz val="9"/>
      <color theme="4" tint="-0.499984740745262"/>
      <name val="Arial Narrow"/>
      <family val="2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0"/>
      <color theme="0"/>
      <name val="Arial Narrow"/>
      <family val="2"/>
    </font>
    <font>
      <b/>
      <sz val="9"/>
      <color theme="0"/>
      <name val="Arial Narrow"/>
      <family val="2"/>
    </font>
    <font>
      <sz val="9"/>
      <color theme="0"/>
      <name val="Arial Narrow"/>
      <family val="2"/>
    </font>
    <font>
      <b/>
      <sz val="9"/>
      <color rgb="FF002060"/>
      <name val="Arial Narrow"/>
      <family val="2"/>
    </font>
    <font>
      <sz val="9"/>
      <color rgb="FF002060"/>
      <name val="Arial Narrow"/>
      <family val="2"/>
    </font>
    <font>
      <sz val="9"/>
      <name val="Arial Narrow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12" fillId="0" borderId="0" applyFont="0" applyFill="0" applyBorder="0" applyAlignment="0" applyProtection="0"/>
    <xf numFmtId="0" fontId="14" fillId="0" borderId="0"/>
    <xf numFmtId="166" fontId="2" fillId="0" borderId="0" applyFont="0" applyFill="0" applyBorder="0" applyAlignment="0" applyProtection="0"/>
  </cellStyleXfs>
  <cellXfs count="151">
    <xf numFmtId="0" fontId="0" fillId="0" borderId="0" xfId="0"/>
    <xf numFmtId="0" fontId="6" fillId="0" borderId="0" xfId="0" applyFont="1"/>
    <xf numFmtId="0" fontId="5" fillId="0" borderId="0" xfId="0" applyFont="1"/>
    <xf numFmtId="0" fontId="7" fillId="1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44" fontId="0" fillId="0" borderId="0" xfId="2" applyFont="1"/>
    <xf numFmtId="0" fontId="8" fillId="11" borderId="0" xfId="0" applyFont="1" applyFill="1" applyAlignment="1">
      <alignment horizontal="left" vertical="center" indent="1"/>
    </xf>
    <xf numFmtId="0" fontId="0" fillId="0" borderId="5" xfId="0" applyBorder="1" applyAlignment="1">
      <alignment horizontal="left" vertical="center"/>
    </xf>
    <xf numFmtId="0" fontId="0" fillId="9" borderId="0" xfId="0" applyFill="1"/>
    <xf numFmtId="0" fontId="5" fillId="6" borderId="0" xfId="0" applyFont="1" applyFill="1"/>
    <xf numFmtId="0" fontId="0" fillId="11" borderId="0" xfId="0" applyFill="1"/>
    <xf numFmtId="44" fontId="0" fillId="9" borderId="0" xfId="2" applyFont="1" applyFill="1"/>
    <xf numFmtId="0" fontId="13" fillId="0" borderId="0" xfId="0" applyFont="1"/>
    <xf numFmtId="0" fontId="0" fillId="9" borderId="0" xfId="0" applyFill="1" applyAlignment="1">
      <alignment horizontal="center" wrapText="1"/>
    </xf>
    <xf numFmtId="165" fontId="9" fillId="13" borderId="8" xfId="9" applyNumberFormat="1" applyFont="1" applyFill="1" applyBorder="1" applyAlignment="1">
      <alignment horizontal="center"/>
    </xf>
    <xf numFmtId="165" fontId="9" fillId="13" borderId="9" xfId="9" applyNumberFormat="1" applyFont="1" applyFill="1" applyBorder="1" applyAlignment="1">
      <alignment horizontal="center"/>
    </xf>
    <xf numFmtId="165" fontId="9" fillId="13" borderId="10" xfId="9" applyNumberFormat="1" applyFont="1" applyFill="1" applyBorder="1" applyAlignment="1">
      <alignment horizontal="center"/>
    </xf>
    <xf numFmtId="165" fontId="9" fillId="13" borderId="11" xfId="9" applyNumberFormat="1" applyFont="1" applyFill="1" applyBorder="1" applyAlignment="1">
      <alignment horizontal="center"/>
    </xf>
    <xf numFmtId="0" fontId="15" fillId="0" borderId="0" xfId="9" applyFont="1"/>
    <xf numFmtId="165" fontId="9" fillId="14" borderId="0" xfId="9" applyNumberFormat="1" applyFont="1" applyFill="1" applyAlignment="1">
      <alignment horizontal="center"/>
    </xf>
    <xf numFmtId="49" fontId="11" fillId="4" borderId="5" xfId="9" applyNumberFormat="1" applyFont="1" applyFill="1" applyBorder="1"/>
    <xf numFmtId="49" fontId="10" fillId="4" borderId="5" xfId="9" applyNumberFormat="1" applyFont="1" applyFill="1" applyBorder="1"/>
    <xf numFmtId="0" fontId="10" fillId="15" borderId="5" xfId="9" applyFont="1" applyFill="1" applyBorder="1"/>
    <xf numFmtId="0" fontId="10" fillId="6" borderId="0" xfId="9" applyFont="1" applyFill="1"/>
    <xf numFmtId="167" fontId="10" fillId="4" borderId="5" xfId="10" applyNumberFormat="1" applyFont="1" applyFill="1" applyBorder="1"/>
    <xf numFmtId="0" fontId="10" fillId="4" borderId="5" xfId="9" applyFont="1" applyFill="1" applyBorder="1"/>
    <xf numFmtId="49" fontId="17" fillId="16" borderId="5" xfId="9" applyNumberFormat="1" applyFont="1" applyFill="1" applyBorder="1"/>
    <xf numFmtId="0" fontId="17" fillId="17" borderId="5" xfId="9" applyFont="1" applyFill="1" applyBorder="1"/>
    <xf numFmtId="167" fontId="17" fillId="16" borderId="5" xfId="10" applyNumberFormat="1" applyFont="1" applyFill="1" applyBorder="1" applyAlignment="1">
      <alignment horizontal="center"/>
    </xf>
    <xf numFmtId="49" fontId="11" fillId="8" borderId="5" xfId="9" applyNumberFormat="1" applyFont="1" applyFill="1" applyBorder="1"/>
    <xf numFmtId="49" fontId="10" fillId="8" borderId="5" xfId="9" applyNumberFormat="1" applyFont="1" applyFill="1" applyBorder="1"/>
    <xf numFmtId="0" fontId="10" fillId="18" borderId="5" xfId="9" applyFont="1" applyFill="1" applyBorder="1"/>
    <xf numFmtId="167" fontId="10" fillId="8" borderId="5" xfId="10" applyNumberFormat="1" applyFont="1" applyFill="1" applyBorder="1"/>
    <xf numFmtId="49" fontId="18" fillId="16" borderId="5" xfId="9" applyNumberFormat="1" applyFont="1" applyFill="1" applyBorder="1"/>
    <xf numFmtId="0" fontId="18" fillId="17" borderId="5" xfId="9" applyFont="1" applyFill="1" applyBorder="1"/>
    <xf numFmtId="167" fontId="18" fillId="16" borderId="5" xfId="10" applyNumberFormat="1" applyFont="1" applyFill="1" applyBorder="1" applyAlignment="1">
      <alignment horizontal="center"/>
    </xf>
    <xf numFmtId="49" fontId="11" fillId="7" borderId="5" xfId="9" applyNumberFormat="1" applyFont="1" applyFill="1" applyBorder="1"/>
    <xf numFmtId="49" fontId="10" fillId="7" borderId="5" xfId="9" applyNumberFormat="1" applyFont="1" applyFill="1" applyBorder="1"/>
    <xf numFmtId="0" fontId="10" fillId="19" borderId="5" xfId="9" applyFont="1" applyFill="1" applyBorder="1"/>
    <xf numFmtId="167" fontId="10" fillId="7" borderId="5" xfId="10" applyNumberFormat="1" applyFont="1" applyFill="1" applyBorder="1"/>
    <xf numFmtId="167" fontId="17" fillId="16" borderId="5" xfId="9" applyNumberFormat="1" applyFont="1" applyFill="1" applyBorder="1" applyAlignment="1">
      <alignment horizontal="center"/>
    </xf>
    <xf numFmtId="49" fontId="17" fillId="5" borderId="12" xfId="9" applyNumberFormat="1" applyFont="1" applyFill="1" applyBorder="1"/>
    <xf numFmtId="49" fontId="19" fillId="5" borderId="12" xfId="9" applyNumberFormat="1" applyFont="1" applyFill="1" applyBorder="1"/>
    <xf numFmtId="0" fontId="18" fillId="5" borderId="12" xfId="9" applyFont="1" applyFill="1" applyBorder="1"/>
    <xf numFmtId="167" fontId="18" fillId="5" borderId="12" xfId="9" applyNumberFormat="1" applyFont="1" applyFill="1" applyBorder="1" applyAlignment="1">
      <alignment horizontal="center"/>
    </xf>
    <xf numFmtId="167" fontId="18" fillId="5" borderId="13" xfId="9" applyNumberFormat="1" applyFont="1" applyFill="1" applyBorder="1" applyAlignment="1">
      <alignment horizontal="center"/>
    </xf>
    <xf numFmtId="0" fontId="17" fillId="6" borderId="0" xfId="9" applyFont="1" applyFill="1"/>
    <xf numFmtId="49" fontId="19" fillId="6" borderId="5" xfId="9" applyNumberFormat="1" applyFont="1" applyFill="1" applyBorder="1"/>
    <xf numFmtId="0" fontId="20" fillId="6" borderId="5" xfId="9" applyFont="1" applyFill="1" applyBorder="1"/>
    <xf numFmtId="167" fontId="19" fillId="6" borderId="5" xfId="10" applyNumberFormat="1" applyFont="1" applyFill="1" applyBorder="1"/>
    <xf numFmtId="0" fontId="19" fillId="6" borderId="0" xfId="9" applyFont="1" applyFill="1"/>
    <xf numFmtId="166" fontId="17" fillId="3" borderId="5" xfId="10" applyFont="1" applyFill="1" applyBorder="1"/>
    <xf numFmtId="49" fontId="20" fillId="6" borderId="5" xfId="9" applyNumberFormat="1" applyFont="1" applyFill="1" applyBorder="1"/>
    <xf numFmtId="49" fontId="20" fillId="0" borderId="5" xfId="9" applyNumberFormat="1" applyFont="1" applyBorder="1"/>
    <xf numFmtId="167" fontId="20" fillId="6" borderId="5" xfId="10" applyNumberFormat="1" applyFont="1" applyFill="1" applyBorder="1"/>
    <xf numFmtId="166" fontId="20" fillId="6" borderId="0" xfId="9" applyNumberFormat="1" applyFont="1" applyFill="1"/>
    <xf numFmtId="0" fontId="20" fillId="6" borderId="0" xfId="9" applyFont="1" applyFill="1"/>
    <xf numFmtId="2" fontId="17" fillId="16" borderId="5" xfId="9" applyNumberFormat="1" applyFont="1" applyFill="1" applyBorder="1"/>
    <xf numFmtId="167" fontId="17" fillId="5" borderId="5" xfId="9" applyNumberFormat="1" applyFont="1" applyFill="1" applyBorder="1"/>
    <xf numFmtId="167" fontId="18" fillId="5" borderId="5" xfId="9" applyNumberFormat="1" applyFont="1" applyFill="1" applyBorder="1"/>
    <xf numFmtId="167" fontId="20" fillId="5" borderId="5" xfId="9" applyNumberFormat="1" applyFont="1" applyFill="1" applyBorder="1"/>
    <xf numFmtId="167" fontId="18" fillId="5" borderId="5" xfId="9" applyNumberFormat="1" applyFont="1" applyFill="1" applyBorder="1" applyAlignment="1">
      <alignment horizontal="center"/>
    </xf>
    <xf numFmtId="167" fontId="21" fillId="0" borderId="0" xfId="9" applyNumberFormat="1" applyFont="1"/>
    <xf numFmtId="0" fontId="21" fillId="0" borderId="0" xfId="9" applyFont="1"/>
    <xf numFmtId="0" fontId="20" fillId="0" borderId="0" xfId="9" applyFont="1"/>
    <xf numFmtId="166" fontId="21" fillId="0" borderId="0" xfId="9" applyNumberFormat="1" applyFont="1"/>
    <xf numFmtId="0" fontId="5" fillId="9" borderId="0" xfId="0" applyFont="1" applyFill="1"/>
    <xf numFmtId="49" fontId="11" fillId="9" borderId="5" xfId="9" applyNumberFormat="1" applyFont="1" applyFill="1" applyBorder="1"/>
    <xf numFmtId="49" fontId="10" fillId="9" borderId="5" xfId="9" applyNumberFormat="1" applyFont="1" applyFill="1" applyBorder="1"/>
    <xf numFmtId="0" fontId="23" fillId="0" borderId="0" xfId="0" applyFont="1"/>
    <xf numFmtId="0" fontId="23" fillId="9" borderId="0" xfId="0" applyFont="1" applyFill="1"/>
    <xf numFmtId="0" fontId="25" fillId="12" borderId="5" xfId="0" applyFont="1" applyFill="1" applyBorder="1" applyAlignment="1">
      <alignment horizontal="left" vertical="center"/>
    </xf>
    <xf numFmtId="164" fontId="23" fillId="12" borderId="5" xfId="2" applyNumberFormat="1" applyFont="1" applyFill="1" applyBorder="1" applyAlignment="1">
      <alignment horizontal="right" vertical="center"/>
    </xf>
    <xf numFmtId="0" fontId="23" fillId="12" borderId="5" xfId="0" applyFont="1" applyFill="1" applyBorder="1"/>
    <xf numFmtId="0" fontId="25" fillId="7" borderId="5" xfId="0" applyFont="1" applyFill="1" applyBorder="1" applyAlignment="1">
      <alignment horizontal="left" vertical="center"/>
    </xf>
    <xf numFmtId="164" fontId="23" fillId="7" borderId="5" xfId="0" applyNumberFormat="1" applyFont="1" applyFill="1" applyBorder="1" applyAlignment="1">
      <alignment horizontal="center" vertical="center"/>
    </xf>
    <xf numFmtId="169" fontId="23" fillId="7" borderId="5" xfId="0" applyNumberFormat="1" applyFont="1" applyFill="1" applyBorder="1" applyAlignment="1">
      <alignment horizontal="center" vertical="center"/>
    </xf>
    <xf numFmtId="169" fontId="23" fillId="7" borderId="5" xfId="0" applyNumberFormat="1" applyFont="1" applyFill="1" applyBorder="1"/>
    <xf numFmtId="164" fontId="23" fillId="12" borderId="20" xfId="2" applyNumberFormat="1" applyFont="1" applyFill="1" applyBorder="1" applyAlignment="1">
      <alignment horizontal="right" vertical="center"/>
    </xf>
    <xf numFmtId="164" fontId="23" fillId="12" borderId="21" xfId="2" applyNumberFormat="1" applyFont="1" applyFill="1" applyBorder="1" applyAlignment="1">
      <alignment horizontal="right" vertical="center"/>
    </xf>
    <xf numFmtId="164" fontId="23" fillId="7" borderId="20" xfId="0" applyNumberFormat="1" applyFont="1" applyFill="1" applyBorder="1" applyAlignment="1">
      <alignment horizontal="center" vertical="center"/>
    </xf>
    <xf numFmtId="169" fontId="23" fillId="7" borderId="20" xfId="0" applyNumberFormat="1" applyFont="1" applyFill="1" applyBorder="1" applyAlignment="1">
      <alignment horizontal="center" vertical="center"/>
    </xf>
    <xf numFmtId="169" fontId="23" fillId="7" borderId="20" xfId="0" applyNumberFormat="1" applyFont="1" applyFill="1" applyBorder="1"/>
    <xf numFmtId="0" fontId="26" fillId="0" borderId="0" xfId="0" applyFont="1"/>
    <xf numFmtId="0" fontId="24" fillId="20" borderId="24" xfId="0" applyFont="1" applyFill="1" applyBorder="1" applyAlignment="1">
      <alignment horizontal="center" vertical="center"/>
    </xf>
    <xf numFmtId="0" fontId="24" fillId="20" borderId="25" xfId="0" applyFont="1" applyFill="1" applyBorder="1" applyAlignment="1">
      <alignment horizontal="center" vertical="center"/>
    </xf>
    <xf numFmtId="0" fontId="24" fillId="20" borderId="26" xfId="0" applyFont="1" applyFill="1" applyBorder="1" applyAlignment="1">
      <alignment horizontal="center" vertical="center"/>
    </xf>
    <xf numFmtId="0" fontId="24" fillId="20" borderId="11" xfId="0" applyFont="1" applyFill="1" applyBorder="1" applyAlignment="1">
      <alignment horizontal="center" vertical="center"/>
    </xf>
    <xf numFmtId="43" fontId="23" fillId="6" borderId="0" xfId="1" applyFont="1" applyFill="1"/>
    <xf numFmtId="0" fontId="23" fillId="6" borderId="0" xfId="0" applyFont="1" applyFill="1"/>
    <xf numFmtId="43" fontId="26" fillId="6" borderId="0" xfId="1" applyFont="1" applyFill="1"/>
    <xf numFmtId="0" fontId="26" fillId="6" borderId="0" xfId="0" applyFont="1" applyFill="1"/>
    <xf numFmtId="168" fontId="23" fillId="6" borderId="0" xfId="3" applyNumberFormat="1" applyFont="1" applyFill="1"/>
    <xf numFmtId="0" fontId="25" fillId="0" borderId="5" xfId="0" applyFont="1" applyBorder="1" applyAlignment="1">
      <alignment horizontal="left" vertical="center"/>
    </xf>
    <xf numFmtId="169" fontId="23" fillId="0" borderId="20" xfId="0" applyNumberFormat="1" applyFont="1" applyBorder="1" applyAlignment="1">
      <alignment horizontal="center" vertical="center"/>
    </xf>
    <xf numFmtId="169" fontId="23" fillId="0" borderId="5" xfId="0" applyNumberFormat="1" applyFont="1" applyBorder="1" applyAlignment="1">
      <alignment horizontal="center" vertical="center"/>
    </xf>
    <xf numFmtId="169" fontId="23" fillId="0" borderId="20" xfId="2" applyNumberFormat="1" applyFont="1" applyFill="1" applyBorder="1" applyAlignment="1">
      <alignment horizontal="right" vertical="center"/>
    </xf>
    <xf numFmtId="169" fontId="23" fillId="0" borderId="5" xfId="2" applyNumberFormat="1" applyFont="1" applyFill="1" applyBorder="1" applyAlignment="1">
      <alignment horizontal="right" vertical="center"/>
    </xf>
    <xf numFmtId="13" fontId="23" fillId="6" borderId="0" xfId="1" applyNumberFormat="1" applyFont="1" applyFill="1"/>
    <xf numFmtId="164" fontId="23" fillId="0" borderId="20" xfId="2" applyNumberFormat="1" applyFont="1" applyFill="1" applyBorder="1" applyAlignment="1">
      <alignment horizontal="right" vertical="center"/>
    </xf>
    <xf numFmtId="0" fontId="23" fillId="0" borderId="5" xfId="0" applyFont="1" applyBorder="1"/>
    <xf numFmtId="164" fontId="23" fillId="0" borderId="5" xfId="2" applyNumberFormat="1" applyFont="1" applyFill="1" applyBorder="1" applyAlignment="1">
      <alignment horizontal="right" vertical="center"/>
    </xf>
    <xf numFmtId="164" fontId="23" fillId="0" borderId="21" xfId="2" applyNumberFormat="1" applyFont="1" applyFill="1" applyBorder="1" applyAlignment="1">
      <alignment horizontal="right" vertical="center"/>
    </xf>
    <xf numFmtId="44" fontId="23" fillId="0" borderId="20" xfId="2" applyFont="1" applyFill="1" applyBorder="1" applyAlignment="1">
      <alignment horizontal="right" vertical="center"/>
    </xf>
    <xf numFmtId="44" fontId="23" fillId="0" borderId="5" xfId="2" applyFont="1" applyFill="1" applyBorder="1" applyAlignment="1">
      <alignment horizontal="right" vertical="center"/>
    </xf>
    <xf numFmtId="168" fontId="23" fillId="0" borderId="0" xfId="3" applyNumberFormat="1" applyFont="1" applyFill="1"/>
    <xf numFmtId="43" fontId="23" fillId="0" borderId="0" xfId="1" applyFont="1" applyFill="1"/>
    <xf numFmtId="0" fontId="25" fillId="2" borderId="5" xfId="0" applyFont="1" applyFill="1" applyBorder="1" applyAlignment="1">
      <alignment horizontal="left" vertical="center"/>
    </xf>
    <xf numFmtId="169" fontId="23" fillId="2" borderId="20" xfId="0" applyNumberFormat="1" applyFont="1" applyFill="1" applyBorder="1"/>
    <xf numFmtId="169" fontId="23" fillId="2" borderId="5" xfId="0" applyNumberFormat="1" applyFont="1" applyFill="1" applyBorder="1"/>
    <xf numFmtId="164" fontId="23" fillId="0" borderId="0" xfId="2" applyNumberFormat="1" applyFont="1"/>
    <xf numFmtId="164" fontId="23" fillId="6" borderId="0" xfId="2" applyNumberFormat="1" applyFont="1" applyFill="1"/>
    <xf numFmtId="0" fontId="25" fillId="6" borderId="5" xfId="0" applyFont="1" applyFill="1" applyBorder="1" applyAlignment="1">
      <alignment horizontal="left" vertical="center"/>
    </xf>
    <xf numFmtId="0" fontId="23" fillId="6" borderId="5" xfId="0" applyFont="1" applyFill="1" applyBorder="1"/>
    <xf numFmtId="164" fontId="24" fillId="20" borderId="27" xfId="2" applyNumberFormat="1" applyFont="1" applyFill="1" applyBorder="1" applyAlignment="1">
      <alignment horizontal="center" vertical="center"/>
    </xf>
    <xf numFmtId="164" fontId="24" fillId="20" borderId="28" xfId="2" applyNumberFormat="1" applyFont="1" applyFill="1" applyBorder="1" applyAlignment="1">
      <alignment horizontal="center" vertical="center"/>
    </xf>
    <xf numFmtId="164" fontId="23" fillId="6" borderId="5" xfId="2" applyNumberFormat="1" applyFont="1" applyFill="1" applyBorder="1" applyAlignment="1">
      <alignment horizontal="right" vertical="center"/>
    </xf>
    <xf numFmtId="164" fontId="23" fillId="6" borderId="5" xfId="0" applyNumberFormat="1" applyFont="1" applyFill="1" applyBorder="1" applyAlignment="1">
      <alignment horizontal="center" vertical="center"/>
    </xf>
    <xf numFmtId="169" fontId="23" fillId="6" borderId="5" xfId="0" applyNumberFormat="1" applyFont="1" applyFill="1" applyBorder="1" applyAlignment="1">
      <alignment horizontal="center" vertical="center"/>
    </xf>
    <xf numFmtId="169" fontId="23" fillId="6" borderId="5" xfId="2" applyNumberFormat="1" applyFont="1" applyFill="1" applyBorder="1" applyAlignment="1">
      <alignment horizontal="right" vertical="center"/>
    </xf>
    <xf numFmtId="169" fontId="23" fillId="6" borderId="5" xfId="0" applyNumberFormat="1" applyFont="1" applyFill="1" applyBorder="1"/>
    <xf numFmtId="164" fontId="23" fillId="6" borderId="5" xfId="0" applyNumberFormat="1" applyFont="1" applyFill="1" applyBorder="1"/>
    <xf numFmtId="164" fontId="23" fillId="6" borderId="5" xfId="2" applyNumberFormat="1" applyFont="1" applyFill="1" applyBorder="1"/>
    <xf numFmtId="169" fontId="23" fillId="0" borderId="21" xfId="0" applyNumberFormat="1" applyFont="1" applyBorder="1" applyAlignment="1">
      <alignment horizontal="center" vertical="center"/>
    </xf>
    <xf numFmtId="164" fontId="23" fillId="7" borderId="21" xfId="0" applyNumberFormat="1" applyFont="1" applyFill="1" applyBorder="1" applyAlignment="1">
      <alignment horizontal="center" vertical="center"/>
    </xf>
    <xf numFmtId="169" fontId="23" fillId="7" borderId="21" xfId="0" applyNumberFormat="1" applyFont="1" applyFill="1" applyBorder="1" applyAlignment="1">
      <alignment horizontal="center" vertical="center"/>
    </xf>
    <xf numFmtId="169" fontId="23" fillId="0" borderId="21" xfId="2" applyNumberFormat="1" applyFont="1" applyFill="1" applyBorder="1" applyAlignment="1">
      <alignment horizontal="right" vertical="center"/>
    </xf>
    <xf numFmtId="169" fontId="23" fillId="2" borderId="21" xfId="0" applyNumberFormat="1" applyFont="1" applyFill="1" applyBorder="1"/>
    <xf numFmtId="44" fontId="23" fillId="0" borderId="21" xfId="2" applyFont="1" applyFill="1" applyBorder="1" applyAlignment="1">
      <alignment horizontal="right" vertical="center"/>
    </xf>
    <xf numFmtId="169" fontId="23" fillId="7" borderId="29" xfId="0" applyNumberFormat="1" applyFont="1" applyFill="1" applyBorder="1"/>
    <xf numFmtId="169" fontId="23" fillId="7" borderId="21" xfId="0" applyNumberFormat="1" applyFont="1" applyFill="1" applyBorder="1"/>
    <xf numFmtId="164" fontId="24" fillId="20" borderId="24" xfId="2" applyNumberFormat="1" applyFont="1" applyFill="1" applyBorder="1" applyAlignment="1">
      <alignment horizontal="center" vertical="center"/>
    </xf>
    <xf numFmtId="164" fontId="24" fillId="20" borderId="25" xfId="2" applyNumberFormat="1" applyFont="1" applyFill="1" applyBorder="1" applyAlignment="1">
      <alignment horizontal="center" vertical="center"/>
    </xf>
    <xf numFmtId="164" fontId="24" fillId="20" borderId="26" xfId="2" applyNumberFormat="1" applyFont="1" applyFill="1" applyBorder="1" applyAlignment="1">
      <alignment horizontal="center" vertical="center"/>
    </xf>
    <xf numFmtId="0" fontId="27" fillId="20" borderId="22" xfId="0" applyFont="1" applyFill="1" applyBorder="1" applyAlignment="1">
      <alignment horizontal="center"/>
    </xf>
    <xf numFmtId="0" fontId="27" fillId="20" borderId="23" xfId="0" applyFont="1" applyFill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167" fontId="18" fillId="14" borderId="7" xfId="9" applyNumberFormat="1" applyFont="1" applyFill="1" applyBorder="1" applyAlignment="1">
      <alignment horizontal="center" vertical="center"/>
    </xf>
    <xf numFmtId="0" fontId="18" fillId="14" borderId="17" xfId="9" applyFont="1" applyFill="1" applyBorder="1" applyAlignment="1">
      <alignment horizontal="center" vertical="center"/>
    </xf>
    <xf numFmtId="165" fontId="16" fillId="14" borderId="1" xfId="9" applyNumberFormat="1" applyFont="1" applyFill="1" applyBorder="1" applyAlignment="1">
      <alignment horizontal="center"/>
    </xf>
    <xf numFmtId="49" fontId="16" fillId="3" borderId="14" xfId="9" applyNumberFormat="1" applyFont="1" applyFill="1" applyBorder="1" applyAlignment="1">
      <alignment horizontal="center"/>
    </xf>
    <xf numFmtId="49" fontId="16" fillId="3" borderId="3" xfId="9" applyNumberFormat="1" applyFont="1" applyFill="1" applyBorder="1" applyAlignment="1">
      <alignment horizontal="center"/>
    </xf>
    <xf numFmtId="49" fontId="16" fillId="3" borderId="6" xfId="9" applyNumberFormat="1" applyFont="1" applyFill="1" applyBorder="1" applyAlignment="1">
      <alignment horizontal="center"/>
    </xf>
    <xf numFmtId="0" fontId="17" fillId="14" borderId="7" xfId="9" applyFont="1" applyFill="1" applyBorder="1" applyAlignment="1">
      <alignment horizontal="center" vertical="center"/>
    </xf>
    <xf numFmtId="0" fontId="17" fillId="14" borderId="17" xfId="9" applyFont="1" applyFill="1" applyBorder="1" applyAlignment="1">
      <alignment horizontal="center" vertical="center"/>
    </xf>
    <xf numFmtId="0" fontId="18" fillId="14" borderId="15" xfId="9" applyFont="1" applyFill="1" applyBorder="1" applyAlignment="1">
      <alignment horizontal="center" vertical="center"/>
    </xf>
    <xf numFmtId="0" fontId="18" fillId="14" borderId="2" xfId="9" applyFont="1" applyFill="1" applyBorder="1" applyAlignment="1">
      <alignment horizontal="center" vertical="center"/>
    </xf>
    <xf numFmtId="0" fontId="18" fillId="14" borderId="16" xfId="9" applyFont="1" applyFill="1" applyBorder="1" applyAlignment="1">
      <alignment horizontal="center" vertical="center"/>
    </xf>
    <xf numFmtId="0" fontId="18" fillId="14" borderId="18" xfId="9" applyFont="1" applyFill="1" applyBorder="1" applyAlignment="1">
      <alignment horizontal="center" vertical="center"/>
    </xf>
    <xf numFmtId="0" fontId="18" fillId="14" borderId="1" xfId="9" applyFont="1" applyFill="1" applyBorder="1" applyAlignment="1">
      <alignment horizontal="center" vertical="center"/>
    </xf>
    <xf numFmtId="0" fontId="18" fillId="14" borderId="19" xfId="9" applyFont="1" applyFill="1" applyBorder="1" applyAlignment="1">
      <alignment horizontal="center" vertical="center"/>
    </xf>
  </cellXfs>
  <cellStyles count="11">
    <cellStyle name="Millares" xfId="1" builtinId="3"/>
    <cellStyle name="Moneda" xfId="2" builtinId="4"/>
    <cellStyle name="Moneda 2" xfId="5" xr:uid="{0C0574D2-9BCF-458D-8C88-617306447BA9}"/>
    <cellStyle name="Moneda 3" xfId="6" xr:uid="{5660C082-0285-402A-85BB-A9FD3E8C1F41}"/>
    <cellStyle name="Moneda 4" xfId="10" xr:uid="{56717E46-54CC-43B3-A62F-B4A4681DE3B4}"/>
    <cellStyle name="Normal" xfId="0" builtinId="0"/>
    <cellStyle name="Normal 2" xfId="9" xr:uid="{4FDD7DD2-79F9-4E56-9F1E-85CF3DE76A4D}"/>
    <cellStyle name="Normal 2 182" xfId="7" xr:uid="{686CD537-7B84-41D3-9497-6721B5070883}"/>
    <cellStyle name="Normal 2 2" xfId="4" xr:uid="{CD2C4A95-8C1F-42D8-A37C-1C65C65DA4DA}"/>
    <cellStyle name="Porcentaje" xfId="3" builtinId="5"/>
    <cellStyle name="Vírgula 4" xfId="8" xr:uid="{E88C9052-C208-47EE-9CBD-66E54C9D6B7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C5D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bio Munhoz" id="{E615FAB8-6FC3-4E46-B919-348C121CD521}" userId="S::fabio.munhoz@craftmulti.com::787bd6c0-73e1-4457-906e-4b71273a9b9b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3" dT="2022-12-21T14:18:46.92" personId="{E615FAB8-6FC3-4E46-B919-348C121CD521}" id="{DB35D134-17A6-4D02-B8FE-6BB63996B7CD}">
    <text>Considerando 111 laptops a 6k cada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C13D-BDE1-4278-B34E-7A14F83DD572}">
  <sheetPr>
    <tabColor rgb="FF00B0F0"/>
  </sheetPr>
  <dimension ref="A1:W37"/>
  <sheetViews>
    <sheetView showGridLines="0" tabSelected="1" zoomScale="80" zoomScaleNormal="80" workbookViewId="0">
      <pane xSplit="2" ySplit="3" topLeftCell="C13" activePane="bottomRight" state="frozen"/>
      <selection pane="topRight" activeCell="E1" sqref="E1"/>
      <selection pane="bottomLeft" activeCell="A6" sqref="A6"/>
      <selection pane="bottomRight" activeCell="D11" sqref="D11"/>
    </sheetView>
  </sheetViews>
  <sheetFormatPr baseColWidth="10" defaultColWidth="10.81640625" defaultRowHeight="13" x14ac:dyDescent="0.3"/>
  <cols>
    <col min="1" max="1" width="10.26953125" style="69" customWidth="1"/>
    <col min="2" max="2" width="42.54296875" style="69" bestFit="1" customWidth="1"/>
    <col min="3" max="3" width="15.26953125" style="69" bestFit="1" customWidth="1"/>
    <col min="4" max="4" width="18.453125" style="69" bestFit="1" customWidth="1"/>
    <col min="5" max="9" width="15.26953125" style="69" bestFit="1" customWidth="1"/>
    <col min="10" max="11" width="13.453125" style="89" bestFit="1" customWidth="1"/>
    <col min="12" max="16" width="12.36328125" style="88" bestFit="1" customWidth="1"/>
    <col min="17" max="23" width="10.81640625" style="89"/>
    <col min="24" max="16384" width="10.81640625" style="69"/>
  </cols>
  <sheetData>
    <row r="1" spans="1:23" s="83" customFormat="1" ht="16" thickBot="1" x14ac:dyDescent="0.4">
      <c r="C1" s="134" t="s">
        <v>215</v>
      </c>
      <c r="D1" s="135"/>
      <c r="E1" s="135"/>
      <c r="F1" s="135"/>
      <c r="G1" s="135"/>
      <c r="H1" s="135"/>
      <c r="I1" s="136"/>
      <c r="J1" s="91"/>
      <c r="K1" s="91"/>
      <c r="L1" s="90"/>
      <c r="M1" s="90"/>
      <c r="N1" s="90"/>
      <c r="O1" s="90"/>
      <c r="P1" s="90"/>
      <c r="Q1" s="91"/>
      <c r="R1" s="91"/>
      <c r="S1" s="91"/>
      <c r="T1" s="91"/>
      <c r="U1" s="91"/>
      <c r="V1" s="91"/>
      <c r="W1" s="91"/>
    </row>
    <row r="2" spans="1:23" x14ac:dyDescent="0.3">
      <c r="C2" s="84" t="s">
        <v>15</v>
      </c>
      <c r="D2" s="85" t="s">
        <v>16</v>
      </c>
      <c r="E2" s="85" t="s">
        <v>17</v>
      </c>
      <c r="F2" s="85" t="s">
        <v>18</v>
      </c>
      <c r="G2" s="85" t="s">
        <v>19</v>
      </c>
      <c r="H2" s="85" t="s">
        <v>20</v>
      </c>
      <c r="I2" s="86" t="s">
        <v>34</v>
      </c>
    </row>
    <row r="3" spans="1:23" x14ac:dyDescent="0.3">
      <c r="A3" s="69" t="s">
        <v>192</v>
      </c>
      <c r="B3" s="71" t="s">
        <v>0</v>
      </c>
      <c r="C3" s="78">
        <f>13242600/12</f>
        <v>1103550</v>
      </c>
      <c r="D3" s="72">
        <f>3678500/12</f>
        <v>306541.66666666669</v>
      </c>
      <c r="E3" s="72">
        <f>1051000/12</f>
        <v>87583.333333333328</v>
      </c>
      <c r="F3" s="72">
        <f>3678500/12</f>
        <v>306541.66666666669</v>
      </c>
      <c r="G3" s="72">
        <f>3678500/12</f>
        <v>306541.66666666669</v>
      </c>
      <c r="H3" s="72">
        <f>1051000/12</f>
        <v>87583.333333333328</v>
      </c>
      <c r="I3" s="79">
        <f>1051000/12</f>
        <v>87583.333333333328</v>
      </c>
      <c r="J3" s="92"/>
      <c r="K3" s="92"/>
      <c r="Q3" s="92"/>
      <c r="R3" s="92"/>
      <c r="S3" s="92"/>
      <c r="T3" s="92"/>
      <c r="U3" s="92"/>
      <c r="V3" s="92"/>
      <c r="W3" s="92"/>
    </row>
    <row r="4" spans="1:23" x14ac:dyDescent="0.3">
      <c r="B4" s="71" t="s">
        <v>204</v>
      </c>
      <c r="C4" s="78">
        <v>25626231</v>
      </c>
      <c r="D4" s="72">
        <v>6168956</v>
      </c>
      <c r="E4" s="72">
        <v>3794105</v>
      </c>
      <c r="F4" s="72">
        <v>7117795</v>
      </c>
      <c r="G4" s="72">
        <v>5544459</v>
      </c>
      <c r="H4" s="72">
        <v>7090362.7369999997</v>
      </c>
      <c r="I4" s="79">
        <v>3093937</v>
      </c>
      <c r="J4" s="92"/>
      <c r="K4" s="92"/>
      <c r="Q4" s="92"/>
      <c r="R4" s="92"/>
      <c r="S4" s="92"/>
      <c r="T4" s="92" t="e">
        <f>+(I4-#REF!)/#REF!</f>
        <v>#REF!</v>
      </c>
      <c r="U4" s="92" t="e">
        <f>+(#REF!-#REF!)/#REF!</f>
        <v>#REF!</v>
      </c>
      <c r="V4" s="92"/>
      <c r="W4" s="92"/>
    </row>
    <row r="5" spans="1:23" x14ac:dyDescent="0.3">
      <c r="B5" s="73" t="s">
        <v>33</v>
      </c>
      <c r="C5" s="78">
        <v>5039750</v>
      </c>
      <c r="D5" s="72">
        <v>681494</v>
      </c>
      <c r="E5" s="72">
        <v>0</v>
      </c>
      <c r="F5" s="72">
        <v>389509</v>
      </c>
      <c r="G5" s="72">
        <v>592344</v>
      </c>
      <c r="H5" s="72">
        <v>0</v>
      </c>
      <c r="I5" s="79">
        <v>815580</v>
      </c>
      <c r="J5" s="92"/>
      <c r="K5" s="92"/>
      <c r="Q5" s="92"/>
      <c r="R5" s="92"/>
      <c r="S5" s="92"/>
      <c r="T5" s="92" t="e">
        <f>+(I5-#REF!)/#REF!</f>
        <v>#REF!</v>
      </c>
      <c r="U5" s="92" t="e">
        <f>+(#REF!-#REF!)/#REF!</f>
        <v>#REF!</v>
      </c>
    </row>
    <row r="6" spans="1:23" x14ac:dyDescent="0.3">
      <c r="B6" s="71" t="s">
        <v>205</v>
      </c>
      <c r="C6" s="78">
        <v>2228076</v>
      </c>
      <c r="D6" s="72">
        <v>0</v>
      </c>
      <c r="E6" s="72">
        <v>0</v>
      </c>
      <c r="F6" s="72">
        <v>891828.12600000005</v>
      </c>
      <c r="G6" s="72">
        <v>512750.00000000006</v>
      </c>
      <c r="H6" s="72">
        <v>0</v>
      </c>
      <c r="I6" s="79">
        <v>0</v>
      </c>
      <c r="J6" s="92"/>
      <c r="K6" s="92"/>
      <c r="Q6" s="92"/>
      <c r="R6" s="92"/>
      <c r="S6" s="92"/>
      <c r="T6" s="92" t="e">
        <f>+(I6-#REF!)/#REF!</f>
        <v>#REF!</v>
      </c>
      <c r="U6" s="92" t="e">
        <f>+(#REF!-#REF!)/#REF!</f>
        <v>#REF!</v>
      </c>
    </row>
    <row r="7" spans="1:23" x14ac:dyDescent="0.3">
      <c r="B7" s="71" t="s">
        <v>37</v>
      </c>
      <c r="C7" s="78">
        <v>157650</v>
      </c>
      <c r="D7" s="72">
        <v>0</v>
      </c>
      <c r="E7" s="72">
        <v>42040</v>
      </c>
      <c r="F7" s="72">
        <v>70066.666666666672</v>
      </c>
      <c r="G7" s="72">
        <v>0</v>
      </c>
      <c r="H7" s="72">
        <v>42040</v>
      </c>
      <c r="I7" s="79">
        <v>273260</v>
      </c>
      <c r="J7" s="92"/>
      <c r="K7" s="92"/>
    </row>
    <row r="8" spans="1:23" x14ac:dyDescent="0.3">
      <c r="B8" s="71" t="s">
        <v>206</v>
      </c>
      <c r="C8" s="78">
        <v>714680</v>
      </c>
      <c r="D8" s="72">
        <v>668768.11599999992</v>
      </c>
      <c r="E8" s="72">
        <v>315300</v>
      </c>
      <c r="F8" s="72">
        <v>352085</v>
      </c>
      <c r="G8" s="72">
        <v>479803.571</v>
      </c>
      <c r="H8" s="72">
        <v>278515</v>
      </c>
      <c r="I8" s="79">
        <v>472949.99999999994</v>
      </c>
      <c r="J8" s="92"/>
      <c r="K8" s="92"/>
    </row>
    <row r="9" spans="1:23" x14ac:dyDescent="0.3">
      <c r="B9" s="71" t="s">
        <v>1</v>
      </c>
      <c r="C9" s="78">
        <v>3262304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9">
        <v>0</v>
      </c>
      <c r="J9" s="92"/>
      <c r="K9" s="92"/>
    </row>
    <row r="10" spans="1:23" x14ac:dyDescent="0.3">
      <c r="B10" s="73" t="s">
        <v>51</v>
      </c>
      <c r="C10" s="78">
        <v>1062047.061</v>
      </c>
      <c r="D10" s="72">
        <v>0</v>
      </c>
      <c r="E10" s="72">
        <v>35734</v>
      </c>
      <c r="F10" s="72">
        <v>121705.79999999999</v>
      </c>
      <c r="G10" s="72">
        <v>83554.5</v>
      </c>
      <c r="H10" s="72">
        <v>145406.90099999998</v>
      </c>
      <c r="I10" s="79">
        <v>52550</v>
      </c>
      <c r="J10" s="92"/>
      <c r="K10" s="92"/>
    </row>
    <row r="11" spans="1:23" x14ac:dyDescent="0.3">
      <c r="B11" s="71" t="s">
        <v>2</v>
      </c>
      <c r="C11" s="78">
        <v>390972</v>
      </c>
      <c r="D11" s="72">
        <v>589611</v>
      </c>
      <c r="E11" s="72">
        <v>25013.8</v>
      </c>
      <c r="F11" s="72">
        <v>462440</v>
      </c>
      <c r="G11" s="72">
        <v>346830</v>
      </c>
      <c r="H11" s="72">
        <v>50448</v>
      </c>
      <c r="I11" s="79">
        <v>25013.8</v>
      </c>
      <c r="J11" s="92"/>
      <c r="K11" s="92"/>
      <c r="L11" s="98"/>
    </row>
    <row r="12" spans="1:23" x14ac:dyDescent="0.3">
      <c r="B12" s="71" t="s">
        <v>3</v>
      </c>
      <c r="C12" s="78">
        <v>1824426.5278399999</v>
      </c>
      <c r="D12" s="72">
        <v>532542.55131000001</v>
      </c>
      <c r="E12" s="72">
        <v>62534.499999999993</v>
      </c>
      <c r="F12" s="72">
        <v>612838.1</v>
      </c>
      <c r="G12" s="72">
        <v>525289.79999999993</v>
      </c>
      <c r="H12" s="72">
        <v>378360</v>
      </c>
      <c r="I12" s="79">
        <v>62534.499999999993</v>
      </c>
      <c r="J12" s="92"/>
      <c r="K12" s="92"/>
    </row>
    <row r="13" spans="1:23" x14ac:dyDescent="0.3">
      <c r="B13" s="93" t="s">
        <v>4</v>
      </c>
      <c r="C13" s="94">
        <v>4868232</v>
      </c>
      <c r="D13" s="95">
        <v>0</v>
      </c>
      <c r="E13" s="95">
        <v>413883.8</v>
      </c>
      <c r="F13" s="95">
        <v>413883.8</v>
      </c>
      <c r="G13" s="95">
        <v>413883.8</v>
      </c>
      <c r="H13" s="95">
        <v>413883.8</v>
      </c>
      <c r="I13" s="123">
        <v>413883.8</v>
      </c>
      <c r="J13" s="105"/>
      <c r="K13" s="105"/>
      <c r="L13" s="106"/>
      <c r="M13" s="106"/>
      <c r="N13" s="106"/>
      <c r="O13" s="106"/>
      <c r="P13" s="106"/>
      <c r="Q13" s="69"/>
      <c r="R13" s="69"/>
      <c r="S13" s="69"/>
      <c r="T13" s="69"/>
      <c r="U13" s="69"/>
      <c r="V13" s="69"/>
      <c r="W13" s="69"/>
    </row>
    <row r="14" spans="1:23" x14ac:dyDescent="0.3">
      <c r="B14" s="71" t="s">
        <v>5</v>
      </c>
      <c r="C14" s="78">
        <v>678795.85714285704</v>
      </c>
      <c r="D14" s="72">
        <v>259446.85714285713</v>
      </c>
      <c r="E14" s="72">
        <v>259446.85714285713</v>
      </c>
      <c r="F14" s="72">
        <v>259446.85714285713</v>
      </c>
      <c r="G14" s="72">
        <v>259446.85714285713</v>
      </c>
      <c r="H14" s="72">
        <v>259446.85714285713</v>
      </c>
      <c r="I14" s="79">
        <v>259446.85714285713</v>
      </c>
      <c r="J14" s="92"/>
      <c r="K14" s="92"/>
    </row>
    <row r="15" spans="1:23" x14ac:dyDescent="0.3">
      <c r="B15" s="74" t="s">
        <v>6</v>
      </c>
      <c r="C15" s="80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124">
        <v>0</v>
      </c>
      <c r="J15" s="92"/>
      <c r="K15" s="92"/>
    </row>
    <row r="16" spans="1:23" x14ac:dyDescent="0.3">
      <c r="B16" s="71" t="s">
        <v>208</v>
      </c>
      <c r="C16" s="78">
        <v>0</v>
      </c>
      <c r="D16" s="72">
        <v>0</v>
      </c>
      <c r="E16" s="72">
        <v>376775.092</v>
      </c>
      <c r="F16" s="72">
        <v>1782056.6819999998</v>
      </c>
      <c r="G16" s="72">
        <v>1706298.5</v>
      </c>
      <c r="H16" s="72">
        <v>799754.24599999993</v>
      </c>
      <c r="I16" s="79">
        <v>376775.092</v>
      </c>
      <c r="J16" s="88"/>
      <c r="K16" s="88"/>
    </row>
    <row r="17" spans="1:11" x14ac:dyDescent="0.3">
      <c r="B17" s="74" t="s">
        <v>7</v>
      </c>
      <c r="C17" s="81">
        <v>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125">
        <v>0</v>
      </c>
      <c r="J17" s="92"/>
      <c r="K17" s="92"/>
    </row>
    <row r="18" spans="1:11" x14ac:dyDescent="0.3">
      <c r="B18" s="93" t="s">
        <v>212</v>
      </c>
      <c r="C18" s="94">
        <v>0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123">
        <v>0</v>
      </c>
      <c r="J18" s="92"/>
      <c r="K18" s="92"/>
    </row>
    <row r="19" spans="1:11" x14ac:dyDescent="0.3">
      <c r="B19" s="93" t="s">
        <v>8</v>
      </c>
      <c r="C19" s="96">
        <v>26275000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126">
        <v>0</v>
      </c>
      <c r="J19" s="92"/>
      <c r="K19" s="92"/>
    </row>
    <row r="20" spans="1:11" x14ac:dyDescent="0.3">
      <c r="B20" s="74" t="s">
        <v>193</v>
      </c>
      <c r="C20" s="81">
        <v>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125">
        <v>0</v>
      </c>
      <c r="J20" s="88"/>
      <c r="K20" s="88"/>
    </row>
    <row r="21" spans="1:11" x14ac:dyDescent="0.3">
      <c r="B21" s="100" t="s">
        <v>191</v>
      </c>
      <c r="C21" s="99">
        <f>6137840/12</f>
        <v>511486.66666666669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2">
        <v>0</v>
      </c>
      <c r="J21" s="88"/>
      <c r="K21" s="88"/>
    </row>
    <row r="22" spans="1:11" x14ac:dyDescent="0.3">
      <c r="A22" s="70"/>
      <c r="B22" s="100" t="s">
        <v>194</v>
      </c>
      <c r="C22" s="99">
        <f>4098900/12</f>
        <v>341575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2">
        <v>0</v>
      </c>
      <c r="J22" s="88"/>
      <c r="K22" s="88"/>
    </row>
    <row r="23" spans="1:11" x14ac:dyDescent="0.3">
      <c r="B23" s="107" t="s">
        <v>21</v>
      </c>
      <c r="C23" s="108">
        <f>3153000/12</f>
        <v>262750</v>
      </c>
      <c r="D23" s="109">
        <v>262750</v>
      </c>
      <c r="E23" s="109">
        <v>0</v>
      </c>
      <c r="F23" s="109">
        <v>0</v>
      </c>
      <c r="G23" s="109">
        <v>0</v>
      </c>
      <c r="H23" s="109">
        <v>0</v>
      </c>
      <c r="I23" s="127">
        <v>0</v>
      </c>
      <c r="J23" s="92"/>
      <c r="K23" s="92"/>
    </row>
    <row r="24" spans="1:11" x14ac:dyDescent="0.3">
      <c r="B24" s="100" t="s">
        <v>195</v>
      </c>
      <c r="C24" s="99">
        <f>1261200/12</f>
        <v>105100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2">
        <v>0</v>
      </c>
      <c r="J24" s="92"/>
      <c r="K24" s="92"/>
    </row>
    <row r="25" spans="1:11" x14ac:dyDescent="0.3">
      <c r="B25" s="100" t="s">
        <v>201</v>
      </c>
      <c r="C25" s="99">
        <v>0</v>
      </c>
      <c r="D25" s="101">
        <v>262750</v>
      </c>
      <c r="E25" s="101">
        <v>0</v>
      </c>
      <c r="F25" s="101">
        <v>262750</v>
      </c>
      <c r="G25" s="101">
        <v>262750</v>
      </c>
      <c r="H25" s="101">
        <v>0</v>
      </c>
      <c r="I25" s="102">
        <v>0</v>
      </c>
      <c r="J25" s="92"/>
      <c r="K25" s="92"/>
    </row>
    <row r="26" spans="1:11" x14ac:dyDescent="0.3">
      <c r="B26" s="100" t="s">
        <v>200</v>
      </c>
      <c r="C26" s="99">
        <v>0</v>
      </c>
      <c r="D26" s="101">
        <v>0</v>
      </c>
      <c r="E26" s="101">
        <v>0</v>
      </c>
      <c r="F26" s="101">
        <v>78825</v>
      </c>
      <c r="G26" s="101">
        <v>78825</v>
      </c>
      <c r="H26" s="101">
        <v>0</v>
      </c>
      <c r="I26" s="102">
        <v>0</v>
      </c>
      <c r="J26" s="92"/>
      <c r="K26" s="92"/>
    </row>
    <row r="27" spans="1:11" x14ac:dyDescent="0.3">
      <c r="B27" s="100" t="s">
        <v>196</v>
      </c>
      <c r="C27" s="99">
        <v>381101.35833333328</v>
      </c>
      <c r="D27" s="101">
        <v>0</v>
      </c>
      <c r="E27" s="101">
        <v>0</v>
      </c>
      <c r="F27" s="101">
        <v>233672.33333333334</v>
      </c>
      <c r="G27" s="101">
        <v>194435</v>
      </c>
      <c r="H27" s="101">
        <v>0</v>
      </c>
      <c r="I27" s="102">
        <v>236474.99999999997</v>
      </c>
      <c r="J27" s="92"/>
      <c r="K27" s="92"/>
    </row>
    <row r="28" spans="1:11" x14ac:dyDescent="0.3">
      <c r="B28" s="100" t="s">
        <v>197</v>
      </c>
      <c r="C28" s="103">
        <v>0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  <c r="I28" s="128">
        <v>0</v>
      </c>
      <c r="J28" s="92"/>
      <c r="K28" s="92"/>
    </row>
    <row r="29" spans="1:11" x14ac:dyDescent="0.3">
      <c r="B29" s="100" t="s">
        <v>198</v>
      </c>
      <c r="C29" s="103">
        <v>0</v>
      </c>
      <c r="D29" s="104">
        <v>0</v>
      </c>
      <c r="E29" s="104">
        <v>0</v>
      </c>
      <c r="F29" s="104">
        <v>0</v>
      </c>
      <c r="G29" s="104">
        <v>0</v>
      </c>
      <c r="H29" s="104">
        <v>0</v>
      </c>
      <c r="I29" s="128">
        <v>0</v>
      </c>
      <c r="J29" s="92"/>
      <c r="K29" s="92"/>
    </row>
    <row r="30" spans="1:11" x14ac:dyDescent="0.3">
      <c r="B30" s="100" t="s">
        <v>199</v>
      </c>
      <c r="C30" s="103">
        <v>0</v>
      </c>
      <c r="D30" s="104">
        <v>0</v>
      </c>
      <c r="E30" s="104">
        <v>0</v>
      </c>
      <c r="F30" s="104">
        <v>0</v>
      </c>
      <c r="G30" s="104">
        <v>0</v>
      </c>
      <c r="H30" s="104">
        <v>0</v>
      </c>
      <c r="I30" s="128">
        <v>0</v>
      </c>
      <c r="J30" s="92"/>
      <c r="K30" s="92"/>
    </row>
    <row r="31" spans="1:11" x14ac:dyDescent="0.3">
      <c r="B31" s="100" t="s">
        <v>22</v>
      </c>
      <c r="C31" s="103">
        <v>0</v>
      </c>
      <c r="D31" s="104">
        <v>0</v>
      </c>
      <c r="E31" s="104">
        <v>0</v>
      </c>
      <c r="F31" s="104">
        <v>0</v>
      </c>
      <c r="G31" s="104">
        <v>0</v>
      </c>
      <c r="H31" s="104">
        <v>0</v>
      </c>
      <c r="I31" s="128">
        <v>0</v>
      </c>
      <c r="J31" s="92"/>
      <c r="K31" s="92"/>
    </row>
    <row r="32" spans="1:11" x14ac:dyDescent="0.3">
      <c r="B32" s="74" t="s">
        <v>202</v>
      </c>
      <c r="C32" s="82">
        <v>2270160</v>
      </c>
      <c r="D32" s="77"/>
      <c r="E32" s="77"/>
      <c r="F32" s="77"/>
      <c r="G32" s="77"/>
      <c r="H32" s="77"/>
      <c r="I32" s="129"/>
      <c r="J32" s="92"/>
      <c r="K32" s="92"/>
    </row>
    <row r="33" spans="2:23" x14ac:dyDescent="0.3">
      <c r="B33" s="74" t="s">
        <v>203</v>
      </c>
      <c r="C33" s="82">
        <v>1213905</v>
      </c>
      <c r="D33" s="77"/>
      <c r="E33" s="77"/>
      <c r="F33" s="77"/>
      <c r="G33" s="77"/>
      <c r="H33" s="77"/>
      <c r="I33" s="129"/>
      <c r="J33" s="88"/>
      <c r="K33" s="88"/>
    </row>
    <row r="34" spans="2:23" x14ac:dyDescent="0.3">
      <c r="B34" s="74" t="s">
        <v>9</v>
      </c>
      <c r="C34" s="82">
        <v>0</v>
      </c>
      <c r="D34" s="77">
        <v>0</v>
      </c>
      <c r="E34" s="77">
        <v>0</v>
      </c>
      <c r="F34" s="77">
        <v>0</v>
      </c>
      <c r="G34" s="77">
        <v>0</v>
      </c>
      <c r="H34" s="77">
        <v>0</v>
      </c>
      <c r="I34" s="130"/>
      <c r="J34" s="88"/>
      <c r="K34" s="88"/>
    </row>
    <row r="35" spans="2:23" ht="12.5" customHeight="1" x14ac:dyDescent="0.3">
      <c r="B35" s="74" t="s">
        <v>210</v>
      </c>
      <c r="C35" s="82">
        <v>21020</v>
      </c>
      <c r="D35" s="77"/>
      <c r="E35" s="77"/>
      <c r="F35" s="77"/>
      <c r="G35" s="77"/>
      <c r="H35" s="77"/>
      <c r="I35" s="130"/>
      <c r="J35" s="92"/>
      <c r="K35" s="92"/>
    </row>
    <row r="36" spans="2:23" ht="13.5" thickBot="1" x14ac:dyDescent="0.35">
      <c r="B36" s="74" t="s">
        <v>211</v>
      </c>
      <c r="C36" s="82">
        <v>21020</v>
      </c>
      <c r="D36" s="77"/>
      <c r="E36" s="77"/>
      <c r="F36" s="77"/>
      <c r="G36" s="77"/>
      <c r="H36" s="77"/>
      <c r="I36" s="130"/>
      <c r="J36" s="92"/>
      <c r="K36" s="92"/>
    </row>
    <row r="37" spans="2:23" s="110" customFormat="1" x14ac:dyDescent="0.3">
      <c r="C37" s="131">
        <f>+C3+C4+C5+C6+C7+C8+C9+C10+C11+C12+C13+C14+C16+C25+C17+C18+C19+C20+C21+C22+C24+C26+C27+C28+C29+C30+C31+C32+C33+C34+C35+C36</f>
        <v>78097082.470982864</v>
      </c>
      <c r="D37" s="132">
        <f t="shared" ref="D37:I37" si="0">+D3+D4+D5+D6+D7+D8+D9+D10+D11+D12+D13+D14+D16+D25+D17+D18+D19+D20+D21+D22+D24+D26+D27+D28+D29+D30+D31+D32+D33+D34+D35+D36</f>
        <v>9470110.1911195237</v>
      </c>
      <c r="E37" s="132">
        <f t="shared" si="0"/>
        <v>5412416.382476191</v>
      </c>
      <c r="F37" s="132">
        <f t="shared" si="0"/>
        <v>13355444.031809524</v>
      </c>
      <c r="G37" s="132">
        <f t="shared" si="0"/>
        <v>11307211.694809524</v>
      </c>
      <c r="H37" s="132">
        <f t="shared" si="0"/>
        <v>9545800.8744761888</v>
      </c>
      <c r="I37" s="133">
        <f t="shared" si="0"/>
        <v>6169989.382476191</v>
      </c>
      <c r="J37" s="111">
        <f>+SUM(C37:I37)</f>
        <v>133358055.02815002</v>
      </c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</sheetData>
  <mergeCells count="1">
    <mergeCell ref="C1:I1"/>
  </mergeCells>
  <phoneticPr fontId="22" type="noConversion"/>
  <conditionalFormatting sqref="C2">
    <cfRule type="colorScale" priority="26">
      <colorScale>
        <cfvo type="min"/>
        <cfvo type="max"/>
        <color rgb="FFFCFCFF"/>
        <color rgb="FF63BE7B"/>
      </colorScale>
    </cfRule>
  </conditionalFormatting>
  <conditionalFormatting sqref="C3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4C1A-1B6E-42CA-ACCD-2F894A8E6699}">
  <dimension ref="B1:D38"/>
  <sheetViews>
    <sheetView topLeftCell="A30" workbookViewId="0">
      <selection activeCell="C1" sqref="C1:C1048576"/>
    </sheetView>
  </sheetViews>
  <sheetFormatPr baseColWidth="10" defaultRowHeight="14.5" x14ac:dyDescent="0.35"/>
  <cols>
    <col min="2" max="2" width="42.54296875" style="69" bestFit="1" customWidth="1"/>
    <col min="3" max="3" width="21.90625" style="69" customWidth="1"/>
    <col min="4" max="4" width="15.54296875" style="69" bestFit="1" customWidth="1"/>
  </cols>
  <sheetData>
    <row r="1" spans="2:4" ht="16" thickBot="1" x14ac:dyDescent="0.4">
      <c r="B1" s="83"/>
      <c r="C1" s="83"/>
      <c r="D1" s="83"/>
    </row>
    <row r="2" spans="2:4" x14ac:dyDescent="0.35">
      <c r="B2" s="87" t="s">
        <v>214</v>
      </c>
      <c r="C2" s="87" t="s">
        <v>213</v>
      </c>
      <c r="D2" s="86" t="s">
        <v>207</v>
      </c>
    </row>
    <row r="3" spans="2:4" x14ac:dyDescent="0.35">
      <c r="B3" s="112" t="s">
        <v>0</v>
      </c>
      <c r="C3" s="116">
        <v>2285925</v>
      </c>
      <c r="D3" s="116">
        <v>574.3530150753769</v>
      </c>
    </row>
    <row r="4" spans="2:4" x14ac:dyDescent="0.35">
      <c r="B4" s="112" t="s">
        <v>209</v>
      </c>
      <c r="C4" s="116">
        <v>3500000</v>
      </c>
      <c r="D4" s="116">
        <v>879.3969849246231</v>
      </c>
    </row>
    <row r="5" spans="2:4" x14ac:dyDescent="0.35">
      <c r="B5" s="112" t="s">
        <v>204</v>
      </c>
      <c r="C5" s="116">
        <v>58435845.737000003</v>
      </c>
      <c r="D5" s="116">
        <v>14682.37330075377</v>
      </c>
    </row>
    <row r="6" spans="2:4" x14ac:dyDescent="0.35">
      <c r="B6" s="113" t="s">
        <v>33</v>
      </c>
      <c r="C6" s="116">
        <v>7518677</v>
      </c>
      <c r="D6" s="116">
        <v>1889.1148241206031</v>
      </c>
    </row>
    <row r="7" spans="2:4" x14ac:dyDescent="0.35">
      <c r="B7" s="112" t="s">
        <v>205</v>
      </c>
      <c r="C7" s="116">
        <v>3632654.1260000002</v>
      </c>
      <c r="D7" s="116">
        <v>912.72716733668346</v>
      </c>
    </row>
    <row r="8" spans="2:4" x14ac:dyDescent="0.35">
      <c r="B8" s="112" t="s">
        <v>37</v>
      </c>
      <c r="C8" s="116">
        <v>987500</v>
      </c>
      <c r="D8" s="116">
        <v>248.11557788944722</v>
      </c>
    </row>
    <row r="9" spans="2:4" x14ac:dyDescent="0.35">
      <c r="B9" s="112" t="s">
        <v>206</v>
      </c>
      <c r="C9" s="116">
        <v>3282101.6869999999</v>
      </c>
      <c r="D9" s="116">
        <v>824.64866507537681</v>
      </c>
    </row>
    <row r="10" spans="2:4" x14ac:dyDescent="0.35">
      <c r="B10" s="112" t="s">
        <v>1</v>
      </c>
      <c r="C10" s="116">
        <v>3400000</v>
      </c>
      <c r="D10" s="116">
        <v>854.2713567839196</v>
      </c>
    </row>
    <row r="11" spans="2:4" x14ac:dyDescent="0.35">
      <c r="B11" s="113" t="s">
        <v>51</v>
      </c>
      <c r="C11" s="116">
        <v>1400000</v>
      </c>
      <c r="D11" s="116">
        <v>351.75879396984925</v>
      </c>
    </row>
    <row r="12" spans="2:4" x14ac:dyDescent="0.35">
      <c r="B12" s="112" t="s">
        <v>2</v>
      </c>
      <c r="C12" s="116">
        <v>1316667</v>
      </c>
      <c r="D12" s="116">
        <v>330.82085427135678</v>
      </c>
    </row>
    <row r="13" spans="2:4" x14ac:dyDescent="0.35">
      <c r="B13" s="112" t="s">
        <v>3</v>
      </c>
      <c r="C13" s="116">
        <v>2962500</v>
      </c>
      <c r="D13" s="116">
        <v>744.3467336683417</v>
      </c>
    </row>
    <row r="14" spans="2:4" x14ac:dyDescent="0.35">
      <c r="B14" s="112" t="s">
        <v>4</v>
      </c>
      <c r="C14" s="116">
        <v>1066500</v>
      </c>
      <c r="D14" s="116">
        <v>267.964824120603</v>
      </c>
    </row>
    <row r="15" spans="2:4" x14ac:dyDescent="0.35">
      <c r="B15" s="112" t="s">
        <v>5</v>
      </c>
      <c r="C15" s="116">
        <v>1659000</v>
      </c>
      <c r="D15" s="116">
        <v>416.83417085427135</v>
      </c>
    </row>
    <row r="16" spans="2:4" x14ac:dyDescent="0.35">
      <c r="B16" s="112" t="s">
        <v>6</v>
      </c>
      <c r="C16" s="117">
        <v>14000000</v>
      </c>
      <c r="D16" s="116">
        <v>3517.5879396984924</v>
      </c>
    </row>
    <row r="17" spans="2:4" x14ac:dyDescent="0.35">
      <c r="B17" s="112" t="s">
        <v>208</v>
      </c>
      <c r="C17" s="116">
        <v>8541659.6119999997</v>
      </c>
      <c r="D17" s="116">
        <v>2146.145631155779</v>
      </c>
    </row>
    <row r="18" spans="2:4" x14ac:dyDescent="0.35">
      <c r="B18" s="112" t="s">
        <v>7</v>
      </c>
      <c r="C18" s="118">
        <v>6000000</v>
      </c>
      <c r="D18" s="116">
        <v>1507.537688442211</v>
      </c>
    </row>
    <row r="19" spans="2:4" x14ac:dyDescent="0.35">
      <c r="B19" s="112" t="s">
        <v>212</v>
      </c>
      <c r="C19" s="118">
        <v>1551102</v>
      </c>
      <c r="D19" s="116">
        <v>389.72412060301508</v>
      </c>
    </row>
    <row r="20" spans="2:4" x14ac:dyDescent="0.35">
      <c r="B20" s="112" t="s">
        <v>8</v>
      </c>
      <c r="C20" s="119">
        <v>19750000</v>
      </c>
      <c r="D20" s="116">
        <v>4962.3115577889448</v>
      </c>
    </row>
    <row r="21" spans="2:4" x14ac:dyDescent="0.35">
      <c r="B21" s="112" t="s">
        <v>193</v>
      </c>
      <c r="C21" s="118">
        <v>31600000</v>
      </c>
      <c r="D21" s="116">
        <v>7939.6984924623112</v>
      </c>
    </row>
    <row r="22" spans="2:4" x14ac:dyDescent="0.35">
      <c r="B22" s="113" t="s">
        <v>191</v>
      </c>
      <c r="C22" s="116">
        <f>6137840/12</f>
        <v>511486.66666666669</v>
      </c>
      <c r="D22" s="116">
        <v>1542.1708542713568</v>
      </c>
    </row>
    <row r="23" spans="2:4" x14ac:dyDescent="0.35">
      <c r="B23" s="113" t="s">
        <v>194</v>
      </c>
      <c r="C23" s="116">
        <f>4098900/12</f>
        <v>341575</v>
      </c>
      <c r="D23" s="116">
        <v>1029.8743718592964</v>
      </c>
    </row>
    <row r="24" spans="2:4" x14ac:dyDescent="0.35">
      <c r="B24" s="112" t="s">
        <v>21</v>
      </c>
      <c r="C24" s="120">
        <f>3415750/12</f>
        <v>284645.83333333331</v>
      </c>
      <c r="D24" s="121">
        <v>864.74683544303798</v>
      </c>
    </row>
    <row r="25" spans="2:4" x14ac:dyDescent="0.35">
      <c r="B25" s="113" t="s">
        <v>195</v>
      </c>
      <c r="C25" s="116">
        <v>105100</v>
      </c>
      <c r="D25" s="116">
        <v>26.407035175879397</v>
      </c>
    </row>
    <row r="26" spans="2:4" x14ac:dyDescent="0.35">
      <c r="B26" s="113" t="s">
        <v>201</v>
      </c>
      <c r="C26" s="116">
        <v>788250</v>
      </c>
      <c r="D26" s="116">
        <v>0</v>
      </c>
    </row>
    <row r="27" spans="2:4" x14ac:dyDescent="0.35">
      <c r="B27" s="113" t="s">
        <v>200</v>
      </c>
      <c r="C27" s="116">
        <v>157650</v>
      </c>
      <c r="D27" s="116">
        <v>0</v>
      </c>
    </row>
    <row r="28" spans="2:4" x14ac:dyDescent="0.35">
      <c r="B28" s="113" t="s">
        <v>196</v>
      </c>
      <c r="C28" s="116">
        <v>1045683.6916666667</v>
      </c>
      <c r="D28" s="116">
        <v>262.73459589614743</v>
      </c>
    </row>
    <row r="29" spans="2:4" x14ac:dyDescent="0.35">
      <c r="B29" s="113" t="s">
        <v>197</v>
      </c>
      <c r="C29" s="116">
        <v>1250690</v>
      </c>
      <c r="D29" s="116">
        <v>314.2437185929648</v>
      </c>
    </row>
    <row r="30" spans="2:4" x14ac:dyDescent="0.35">
      <c r="B30" s="113" t="s">
        <v>198</v>
      </c>
      <c r="C30" s="116">
        <v>12506900</v>
      </c>
      <c r="D30" s="116">
        <v>3142.4371859296484</v>
      </c>
    </row>
    <row r="31" spans="2:4" x14ac:dyDescent="0.35">
      <c r="B31" s="113" t="s">
        <v>199</v>
      </c>
      <c r="C31" s="116">
        <v>1051000</v>
      </c>
      <c r="D31" s="116">
        <v>264.07035175879395</v>
      </c>
    </row>
    <row r="32" spans="2:4" x14ac:dyDescent="0.35">
      <c r="B32" s="113" t="s">
        <v>22</v>
      </c>
      <c r="C32" s="116">
        <v>3039316.483</v>
      </c>
      <c r="D32" s="116">
        <v>763.64735753768844</v>
      </c>
    </row>
    <row r="33" spans="2:4" x14ac:dyDescent="0.35">
      <c r="B33" s="112" t="s">
        <v>202</v>
      </c>
      <c r="C33" s="122">
        <v>2270160</v>
      </c>
      <c r="D33" s="116">
        <v>570.391959798995</v>
      </c>
    </row>
    <row r="34" spans="2:4" x14ac:dyDescent="0.35">
      <c r="B34" s="112" t="s">
        <v>203</v>
      </c>
      <c r="C34" s="122">
        <v>780000</v>
      </c>
      <c r="D34" s="116">
        <v>195.97989949748742</v>
      </c>
    </row>
    <row r="35" spans="2:4" x14ac:dyDescent="0.35">
      <c r="B35" s="112" t="s">
        <v>9</v>
      </c>
      <c r="C35" s="121">
        <v>2019680</v>
      </c>
      <c r="D35" s="116">
        <v>507.4572864321608</v>
      </c>
    </row>
    <row r="36" spans="2:4" x14ac:dyDescent="0.35">
      <c r="B36" s="112" t="s">
        <v>210</v>
      </c>
      <c r="C36" s="121">
        <v>600000</v>
      </c>
      <c r="D36" s="116">
        <v>150.7537688442211</v>
      </c>
    </row>
    <row r="37" spans="2:4" x14ac:dyDescent="0.35">
      <c r="B37" s="112" t="s">
        <v>211</v>
      </c>
      <c r="C37" s="121">
        <v>12000000</v>
      </c>
      <c r="D37" s="116">
        <v>3015.075376884422</v>
      </c>
    </row>
    <row r="38" spans="2:4" x14ac:dyDescent="0.35">
      <c r="B38" s="110"/>
      <c r="C38" s="114">
        <v>206741302.33666667</v>
      </c>
      <c r="D38" s="115">
        <v>51707.387521775549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39B6-9969-4CE0-A20E-3CA7DE03B9A6}">
  <sheetPr>
    <tabColor rgb="FFFF0000"/>
  </sheetPr>
  <dimension ref="A1:V69"/>
  <sheetViews>
    <sheetView showGridLines="0" topLeftCell="C1" zoomScale="90" zoomScaleNormal="90" workbookViewId="0">
      <pane ySplit="1" topLeftCell="A2" activePane="bottomLeft" state="frozen"/>
      <selection activeCell="U16" sqref="U16:U17"/>
      <selection pane="bottomLeft" activeCell="C55" sqref="C55"/>
    </sheetView>
  </sheetViews>
  <sheetFormatPr baseColWidth="10" defaultColWidth="10.81640625" defaultRowHeight="11.5" outlineLevelRow="1" x14ac:dyDescent="0.25"/>
  <cols>
    <col min="1" max="1" width="16.1796875" style="63" customWidth="1"/>
    <col min="2" max="2" width="29.1796875" style="63" bestFit="1" customWidth="1"/>
    <col min="3" max="3" width="24.81640625" style="63" bestFit="1" customWidth="1"/>
    <col min="4" max="4" width="24.81640625" style="63" customWidth="1"/>
    <col min="5" max="5" width="33.1796875" style="64" bestFit="1" customWidth="1"/>
    <col min="6" max="6" width="45.453125" style="63" customWidth="1"/>
    <col min="7" max="7" width="18" style="63" bestFit="1" customWidth="1"/>
    <col min="8" max="8" width="22.81640625" style="63" bestFit="1" customWidth="1"/>
    <col min="9" max="9" width="14" style="63" customWidth="1"/>
    <col min="10" max="10" width="12.453125" style="63" customWidth="1"/>
    <col min="11" max="14" width="11.81640625" style="63" customWidth="1"/>
    <col min="15" max="20" width="11.81640625" style="63" bestFit="1" customWidth="1"/>
    <col min="21" max="21" width="12.453125" style="63" bestFit="1" customWidth="1"/>
    <col min="22" max="30" width="10.81640625" style="63" customWidth="1"/>
    <col min="31" max="16384" width="10.81640625" style="63"/>
  </cols>
  <sheetData>
    <row r="1" spans="1:21" s="18" customFormat="1" ht="10.5" x14ac:dyDescent="0.25">
      <c r="A1" s="14" t="s">
        <v>85</v>
      </c>
      <c r="B1" s="14" t="s">
        <v>86</v>
      </c>
      <c r="C1" s="14" t="s">
        <v>87</v>
      </c>
      <c r="D1" s="14" t="s">
        <v>10</v>
      </c>
      <c r="E1" s="14" t="s">
        <v>88</v>
      </c>
      <c r="F1" s="14" t="s">
        <v>89</v>
      </c>
      <c r="G1" s="14" t="s">
        <v>90</v>
      </c>
      <c r="H1" s="14" t="s">
        <v>91</v>
      </c>
      <c r="I1" s="14" t="s">
        <v>92</v>
      </c>
      <c r="J1" s="15" t="s">
        <v>93</v>
      </c>
      <c r="K1" s="16" t="s">
        <v>94</v>
      </c>
      <c r="L1" s="14" t="s">
        <v>95</v>
      </c>
      <c r="M1" s="14" t="s">
        <v>96</v>
      </c>
      <c r="N1" s="14" t="s">
        <v>97</v>
      </c>
      <c r="O1" s="14" t="s">
        <v>98</v>
      </c>
      <c r="P1" s="14" t="s">
        <v>99</v>
      </c>
      <c r="Q1" s="14" t="s">
        <v>100</v>
      </c>
      <c r="R1" s="14" t="s">
        <v>101</v>
      </c>
      <c r="S1" s="14" t="s">
        <v>102</v>
      </c>
      <c r="T1" s="14" t="s">
        <v>103</v>
      </c>
      <c r="U1" s="17" t="s">
        <v>40</v>
      </c>
    </row>
    <row r="2" spans="1:21" s="18" customFormat="1" ht="18" customHeight="1" x14ac:dyDescent="0.3">
      <c r="A2" s="139" t="s">
        <v>104</v>
      </c>
      <c r="B2" s="139"/>
      <c r="C2" s="139"/>
      <c r="D2" s="139"/>
      <c r="E2" s="139"/>
      <c r="F2" s="139"/>
      <c r="G2" s="139"/>
      <c r="H2" s="13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s="23" customFormat="1" outlineLevel="1" x14ac:dyDescent="0.25">
      <c r="A3" s="20" t="s">
        <v>105</v>
      </c>
      <c r="B3" s="20" t="s">
        <v>106</v>
      </c>
      <c r="C3" s="21" t="s">
        <v>107</v>
      </c>
      <c r="D3" s="21" t="s">
        <v>108</v>
      </c>
      <c r="E3" s="21" t="s">
        <v>190</v>
      </c>
      <c r="F3" s="22" t="s">
        <v>110</v>
      </c>
      <c r="G3" s="22" t="s">
        <v>111</v>
      </c>
      <c r="H3" s="22" t="s">
        <v>112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</row>
    <row r="4" spans="1:21" s="23" customFormat="1" outlineLevel="1" x14ac:dyDescent="0.25">
      <c r="A4" s="20" t="s">
        <v>105</v>
      </c>
      <c r="B4" s="20" t="s">
        <v>106</v>
      </c>
      <c r="C4" s="21" t="s">
        <v>107</v>
      </c>
      <c r="D4" s="21" t="s">
        <v>108</v>
      </c>
      <c r="E4" s="21" t="s">
        <v>109</v>
      </c>
      <c r="F4" s="22" t="s">
        <v>113</v>
      </c>
      <c r="G4" s="22" t="s">
        <v>12</v>
      </c>
      <c r="H4" s="22" t="s">
        <v>112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</row>
    <row r="5" spans="1:21" s="23" customFormat="1" outlineLevel="1" x14ac:dyDescent="0.25">
      <c r="A5" s="20" t="s">
        <v>105</v>
      </c>
      <c r="B5" s="20" t="s">
        <v>106</v>
      </c>
      <c r="C5" s="21" t="s">
        <v>107</v>
      </c>
      <c r="D5" s="21" t="s">
        <v>108</v>
      </c>
      <c r="E5" s="21" t="s">
        <v>114</v>
      </c>
      <c r="F5" s="22" t="s">
        <v>110</v>
      </c>
      <c r="G5" s="22" t="s">
        <v>12</v>
      </c>
      <c r="H5" s="22" t="s">
        <v>115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</row>
    <row r="6" spans="1:21" s="23" customFormat="1" outlineLevel="1" x14ac:dyDescent="0.25">
      <c r="A6" s="20" t="s">
        <v>105</v>
      </c>
      <c r="B6" s="20" t="s">
        <v>106</v>
      </c>
      <c r="C6" s="21" t="s">
        <v>107</v>
      </c>
      <c r="D6" s="21" t="s">
        <v>108</v>
      </c>
      <c r="E6" s="21" t="s">
        <v>114</v>
      </c>
      <c r="F6" s="22" t="s">
        <v>110</v>
      </c>
      <c r="G6" s="22" t="s">
        <v>12</v>
      </c>
      <c r="H6" s="22" t="s">
        <v>116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</row>
    <row r="7" spans="1:21" s="23" customFormat="1" outlineLevel="1" x14ac:dyDescent="0.25">
      <c r="A7" s="20" t="s">
        <v>105</v>
      </c>
      <c r="B7" s="20" t="s">
        <v>117</v>
      </c>
      <c r="C7" s="21" t="s">
        <v>118</v>
      </c>
      <c r="D7" s="21" t="s">
        <v>108</v>
      </c>
      <c r="E7" s="21"/>
      <c r="F7" s="22"/>
      <c r="G7" s="22"/>
      <c r="H7" s="22"/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</row>
    <row r="8" spans="1:21" s="23" customFormat="1" outlineLevel="1" x14ac:dyDescent="0.25">
      <c r="A8" s="20" t="s">
        <v>105</v>
      </c>
      <c r="B8" s="20" t="s">
        <v>117</v>
      </c>
      <c r="C8" s="21" t="s">
        <v>119</v>
      </c>
      <c r="D8" s="21" t="s">
        <v>108</v>
      </c>
      <c r="E8" s="21"/>
      <c r="F8" s="22"/>
      <c r="G8" s="22"/>
      <c r="H8" s="22"/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</row>
    <row r="9" spans="1:21" s="23" customFormat="1" outlineLevel="1" x14ac:dyDescent="0.25">
      <c r="A9" s="20" t="s">
        <v>105</v>
      </c>
      <c r="B9" s="20" t="s">
        <v>117</v>
      </c>
      <c r="C9" s="21" t="s">
        <v>120</v>
      </c>
      <c r="D9" s="21" t="s">
        <v>108</v>
      </c>
      <c r="E9" s="21"/>
      <c r="F9" s="22"/>
      <c r="G9" s="22"/>
      <c r="H9" s="22"/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</row>
    <row r="10" spans="1:21" s="23" customFormat="1" outlineLevel="1" x14ac:dyDescent="0.25">
      <c r="A10" s="20" t="s">
        <v>105</v>
      </c>
      <c r="B10" s="20" t="s">
        <v>121</v>
      </c>
      <c r="C10" s="21" t="s">
        <v>122</v>
      </c>
      <c r="D10" s="21" t="s">
        <v>108</v>
      </c>
      <c r="E10" s="21"/>
      <c r="F10" s="22"/>
      <c r="G10" s="22"/>
      <c r="H10" s="22"/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</row>
    <row r="11" spans="1:21" s="23" customFormat="1" outlineLevel="1" x14ac:dyDescent="0.25">
      <c r="A11" s="20" t="s">
        <v>105</v>
      </c>
      <c r="B11" s="20" t="s">
        <v>121</v>
      </c>
      <c r="C11" s="21" t="s">
        <v>123</v>
      </c>
      <c r="D11" s="21" t="s">
        <v>108</v>
      </c>
      <c r="E11" s="21" t="s">
        <v>124</v>
      </c>
      <c r="F11" s="21"/>
      <c r="G11" s="21" t="s">
        <v>125</v>
      </c>
      <c r="H11" s="22" t="s">
        <v>126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</row>
    <row r="12" spans="1:21" s="23" customFormat="1" outlineLevel="1" x14ac:dyDescent="0.25">
      <c r="A12" s="20" t="s">
        <v>105</v>
      </c>
      <c r="B12" s="20" t="s">
        <v>127</v>
      </c>
      <c r="C12" s="21" t="s">
        <v>128</v>
      </c>
      <c r="D12" s="21" t="s">
        <v>108</v>
      </c>
      <c r="E12" s="21" t="s">
        <v>129</v>
      </c>
      <c r="F12" s="21" t="s">
        <v>130</v>
      </c>
      <c r="G12" s="21" t="s">
        <v>131</v>
      </c>
      <c r="H12" s="22"/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</row>
    <row r="13" spans="1:21" s="23" customFormat="1" outlineLevel="1" x14ac:dyDescent="0.25">
      <c r="A13" s="20" t="s">
        <v>105</v>
      </c>
      <c r="B13" s="20" t="s">
        <v>127</v>
      </c>
      <c r="C13" s="21" t="s">
        <v>132</v>
      </c>
      <c r="D13" s="21" t="s">
        <v>108</v>
      </c>
      <c r="E13" s="21"/>
      <c r="F13" s="21"/>
      <c r="G13" s="21"/>
      <c r="H13" s="22"/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</row>
    <row r="14" spans="1:21" s="23" customFormat="1" outlineLevel="1" x14ac:dyDescent="0.25">
      <c r="A14" s="20" t="s">
        <v>105</v>
      </c>
      <c r="B14" s="20" t="s">
        <v>127</v>
      </c>
      <c r="C14" s="21" t="s">
        <v>133</v>
      </c>
      <c r="D14" s="21" t="s">
        <v>134</v>
      </c>
      <c r="E14" s="21" t="s">
        <v>135</v>
      </c>
      <c r="F14" s="21"/>
      <c r="G14" s="21" t="s">
        <v>136</v>
      </c>
      <c r="H14" s="25"/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</row>
    <row r="15" spans="1:21" s="23" customFormat="1" outlineLevel="1" x14ac:dyDescent="0.25">
      <c r="A15" s="20" t="s">
        <v>105</v>
      </c>
      <c r="B15" s="20" t="s">
        <v>137</v>
      </c>
      <c r="C15" s="21" t="s">
        <v>138</v>
      </c>
      <c r="D15" s="21" t="s">
        <v>134</v>
      </c>
      <c r="E15" s="21" t="s">
        <v>139</v>
      </c>
      <c r="F15" s="22" t="s">
        <v>140</v>
      </c>
      <c r="G15" s="22" t="s">
        <v>141</v>
      </c>
      <c r="H15" s="22" t="s">
        <v>142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</row>
    <row r="16" spans="1:21" s="23" customFormat="1" outlineLevel="1" x14ac:dyDescent="0.25">
      <c r="A16" s="26" t="s">
        <v>105</v>
      </c>
      <c r="B16" s="26" t="s">
        <v>137</v>
      </c>
      <c r="C16" s="26"/>
      <c r="D16" s="26"/>
      <c r="E16" s="26"/>
      <c r="F16" s="27"/>
      <c r="G16" s="27"/>
      <c r="H16" s="27"/>
      <c r="I16" s="28">
        <f>SUM(I3:I15)</f>
        <v>0</v>
      </c>
      <c r="J16" s="28">
        <f t="shared" ref="J16:T16" si="0">SUM(J3:J15)</f>
        <v>0</v>
      </c>
      <c r="K16" s="28">
        <f t="shared" si="0"/>
        <v>0</v>
      </c>
      <c r="L16" s="28">
        <f t="shared" si="0"/>
        <v>0</v>
      </c>
      <c r="M16" s="28">
        <f t="shared" si="0"/>
        <v>0</v>
      </c>
      <c r="N16" s="28">
        <f t="shared" si="0"/>
        <v>0</v>
      </c>
      <c r="O16" s="28">
        <f t="shared" si="0"/>
        <v>0</v>
      </c>
      <c r="P16" s="28">
        <f t="shared" si="0"/>
        <v>0</v>
      </c>
      <c r="Q16" s="28">
        <f t="shared" si="0"/>
        <v>0</v>
      </c>
      <c r="R16" s="28">
        <f t="shared" si="0"/>
        <v>0</v>
      </c>
      <c r="S16" s="28">
        <f t="shared" si="0"/>
        <v>0</v>
      </c>
      <c r="T16" s="28">
        <f t="shared" si="0"/>
        <v>0</v>
      </c>
      <c r="U16" s="28">
        <f>SUM(I16:T16)</f>
        <v>0</v>
      </c>
    </row>
    <row r="17" spans="1:22" s="23" customFormat="1" outlineLevel="1" x14ac:dyDescent="0.25">
      <c r="A17" s="29" t="s">
        <v>143</v>
      </c>
      <c r="B17" s="29" t="s">
        <v>144</v>
      </c>
      <c r="C17" s="30" t="s">
        <v>145</v>
      </c>
      <c r="D17" s="30" t="s">
        <v>146</v>
      </c>
      <c r="E17" s="30" t="s">
        <v>147</v>
      </c>
      <c r="F17" s="31" t="s">
        <v>148</v>
      </c>
      <c r="G17" s="31" t="s">
        <v>149</v>
      </c>
      <c r="H17" s="31" t="s">
        <v>142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f>SUM(I17:T17)</f>
        <v>0</v>
      </c>
    </row>
    <row r="18" spans="1:22" s="23" customFormat="1" outlineLevel="1" x14ac:dyDescent="0.25">
      <c r="A18" s="29" t="s">
        <v>143</v>
      </c>
      <c r="B18" s="29" t="s">
        <v>150</v>
      </c>
      <c r="C18" s="30" t="s">
        <v>151</v>
      </c>
      <c r="D18" s="30" t="s">
        <v>152</v>
      </c>
      <c r="E18" s="30" t="s">
        <v>153</v>
      </c>
      <c r="F18" s="31" t="s">
        <v>154</v>
      </c>
      <c r="G18" s="31" t="s">
        <v>155</v>
      </c>
      <c r="H18" s="31" t="s">
        <v>142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f>SUM(I18:T18)</f>
        <v>0</v>
      </c>
    </row>
    <row r="19" spans="1:22" s="23" customFormat="1" outlineLevel="1" x14ac:dyDescent="0.25">
      <c r="A19" s="26" t="s">
        <v>143</v>
      </c>
      <c r="B19" s="26" t="s">
        <v>150</v>
      </c>
      <c r="C19" s="33"/>
      <c r="D19" s="33"/>
      <c r="E19" s="33"/>
      <c r="F19" s="34"/>
      <c r="G19" s="34"/>
      <c r="H19" s="34"/>
      <c r="I19" s="35">
        <f>SUM(I17:I18)</f>
        <v>0</v>
      </c>
      <c r="J19" s="35">
        <f t="shared" ref="J19:U19" si="1">SUM(J17:J18)</f>
        <v>0</v>
      </c>
      <c r="K19" s="35">
        <f t="shared" si="1"/>
        <v>0</v>
      </c>
      <c r="L19" s="35">
        <f t="shared" si="1"/>
        <v>0</v>
      </c>
      <c r="M19" s="35">
        <f t="shared" si="1"/>
        <v>0</v>
      </c>
      <c r="N19" s="35">
        <f t="shared" si="1"/>
        <v>0</v>
      </c>
      <c r="O19" s="35">
        <f t="shared" si="1"/>
        <v>0</v>
      </c>
      <c r="P19" s="35">
        <f t="shared" si="1"/>
        <v>0</v>
      </c>
      <c r="Q19" s="35">
        <f t="shared" si="1"/>
        <v>0</v>
      </c>
      <c r="R19" s="35">
        <f t="shared" si="1"/>
        <v>0</v>
      </c>
      <c r="S19" s="35">
        <f t="shared" si="1"/>
        <v>0</v>
      </c>
      <c r="T19" s="35">
        <f t="shared" si="1"/>
        <v>0</v>
      </c>
      <c r="U19" s="35">
        <f t="shared" si="1"/>
        <v>0</v>
      </c>
    </row>
    <row r="20" spans="1:22" s="23" customFormat="1" outlineLevel="1" x14ac:dyDescent="0.25">
      <c r="A20" s="36" t="s">
        <v>156</v>
      </c>
      <c r="B20" s="36" t="s">
        <v>157</v>
      </c>
      <c r="C20" s="37" t="s">
        <v>158</v>
      </c>
      <c r="D20" s="37" t="s">
        <v>108</v>
      </c>
      <c r="E20" s="37"/>
      <c r="F20" s="38"/>
      <c r="G20" s="38"/>
      <c r="H20" s="38"/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</row>
    <row r="21" spans="1:22" s="23" customFormat="1" outlineLevel="1" x14ac:dyDescent="0.25">
      <c r="A21" s="36" t="s">
        <v>159</v>
      </c>
      <c r="B21" s="36" t="s">
        <v>160</v>
      </c>
      <c r="C21" s="37" t="s">
        <v>158</v>
      </c>
      <c r="D21" s="37" t="s">
        <v>108</v>
      </c>
      <c r="E21" s="37"/>
      <c r="F21" s="38"/>
      <c r="G21" s="38"/>
      <c r="H21" s="38"/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</row>
    <row r="22" spans="1:22" s="23" customFormat="1" outlineLevel="1" x14ac:dyDescent="0.25">
      <c r="A22" s="36" t="s">
        <v>156</v>
      </c>
      <c r="B22" s="36" t="s">
        <v>157</v>
      </c>
      <c r="C22" s="37" t="s">
        <v>161</v>
      </c>
      <c r="D22" s="37" t="s">
        <v>162</v>
      </c>
      <c r="E22" s="37"/>
      <c r="F22" s="38"/>
      <c r="G22" s="38"/>
      <c r="H22" s="38"/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</row>
    <row r="23" spans="1:22" s="23" customFormat="1" outlineLevel="1" x14ac:dyDescent="0.25">
      <c r="A23" s="36" t="s">
        <v>159</v>
      </c>
      <c r="B23" s="36" t="s">
        <v>160</v>
      </c>
      <c r="C23" s="37" t="s">
        <v>163</v>
      </c>
      <c r="D23" s="37" t="s">
        <v>164</v>
      </c>
      <c r="E23" s="37"/>
      <c r="F23" s="38"/>
      <c r="G23" s="38"/>
      <c r="H23" s="38"/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</row>
    <row r="24" spans="1:22" s="23" customFormat="1" outlineLevel="1" x14ac:dyDescent="0.25">
      <c r="A24" s="26" t="s">
        <v>159</v>
      </c>
      <c r="B24" s="26" t="s">
        <v>160</v>
      </c>
      <c r="C24" s="26"/>
      <c r="D24" s="26"/>
      <c r="E24" s="26"/>
      <c r="F24" s="26"/>
      <c r="G24" s="26"/>
      <c r="H24" s="26"/>
      <c r="I24" s="40">
        <f>SUM(I20:I23)</f>
        <v>0</v>
      </c>
      <c r="J24" s="40">
        <f t="shared" ref="J24:T24" si="2">SUM(J20:J23)</f>
        <v>0</v>
      </c>
      <c r="K24" s="40">
        <f t="shared" si="2"/>
        <v>0</v>
      </c>
      <c r="L24" s="40">
        <f t="shared" si="2"/>
        <v>0</v>
      </c>
      <c r="M24" s="40">
        <f t="shared" si="2"/>
        <v>0</v>
      </c>
      <c r="N24" s="40">
        <f t="shared" si="2"/>
        <v>0</v>
      </c>
      <c r="O24" s="40">
        <f t="shared" si="2"/>
        <v>0</v>
      </c>
      <c r="P24" s="40">
        <f t="shared" si="2"/>
        <v>0</v>
      </c>
      <c r="Q24" s="40">
        <f t="shared" si="2"/>
        <v>0</v>
      </c>
      <c r="R24" s="40">
        <f t="shared" si="2"/>
        <v>0</v>
      </c>
      <c r="S24" s="40">
        <f t="shared" si="2"/>
        <v>0</v>
      </c>
      <c r="T24" s="40">
        <f t="shared" si="2"/>
        <v>0</v>
      </c>
      <c r="U24" s="40">
        <f>SUM(U20:U23)</f>
        <v>0</v>
      </c>
    </row>
    <row r="25" spans="1:22" s="46" customFormat="1" x14ac:dyDescent="0.25">
      <c r="A25" s="41" t="s">
        <v>165</v>
      </c>
      <c r="B25" s="41"/>
      <c r="C25" s="41"/>
      <c r="D25" s="41"/>
      <c r="E25" s="42"/>
      <c r="F25" s="41"/>
      <c r="G25" s="41"/>
      <c r="H25" s="43" t="s">
        <v>166</v>
      </c>
      <c r="I25" s="44">
        <f>SUM(I16,I19,I24)</f>
        <v>0</v>
      </c>
      <c r="J25" s="44">
        <f t="shared" ref="J25:T25" si="3">SUM(J16,J19,J24)</f>
        <v>0</v>
      </c>
      <c r="K25" s="44">
        <f t="shared" si="3"/>
        <v>0</v>
      </c>
      <c r="L25" s="44">
        <f t="shared" si="3"/>
        <v>0</v>
      </c>
      <c r="M25" s="44">
        <f t="shared" si="3"/>
        <v>0</v>
      </c>
      <c r="N25" s="44">
        <f t="shared" si="3"/>
        <v>0</v>
      </c>
      <c r="O25" s="44">
        <f t="shared" si="3"/>
        <v>0</v>
      </c>
      <c r="P25" s="44">
        <f t="shared" si="3"/>
        <v>0</v>
      </c>
      <c r="Q25" s="44">
        <f t="shared" si="3"/>
        <v>0</v>
      </c>
      <c r="R25" s="44">
        <f t="shared" si="3"/>
        <v>0</v>
      </c>
      <c r="S25" s="44">
        <f t="shared" si="3"/>
        <v>0</v>
      </c>
      <c r="T25" s="44">
        <f t="shared" si="3"/>
        <v>0</v>
      </c>
      <c r="U25" s="45">
        <f>SUM(U16,U19,U24)</f>
        <v>0</v>
      </c>
    </row>
    <row r="26" spans="1:22" s="50" customFormat="1" x14ac:dyDescent="0.25">
      <c r="A26" s="47"/>
      <c r="B26" s="47"/>
      <c r="C26" s="47"/>
      <c r="D26" s="47"/>
      <c r="E26" s="47"/>
      <c r="F26" s="47"/>
      <c r="G26" s="47"/>
      <c r="H26" s="48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</row>
    <row r="27" spans="1:22" s="50" customFormat="1" ht="13" x14ac:dyDescent="0.3">
      <c r="A27" s="140" t="s">
        <v>167</v>
      </c>
      <c r="B27" s="141"/>
      <c r="C27" s="141"/>
      <c r="D27" s="141"/>
      <c r="E27" s="141"/>
      <c r="F27" s="141"/>
      <c r="G27" s="141"/>
      <c r="H27" s="142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</row>
    <row r="28" spans="1:22" s="56" customFormat="1" ht="12" customHeight="1" outlineLevel="1" x14ac:dyDescent="0.25">
      <c r="A28" s="52" t="s">
        <v>168</v>
      </c>
      <c r="B28" s="52" t="s">
        <v>169</v>
      </c>
      <c r="C28" s="52" t="s">
        <v>170</v>
      </c>
      <c r="D28" s="52" t="s">
        <v>171</v>
      </c>
      <c r="E28" s="52" t="s">
        <v>172</v>
      </c>
      <c r="F28" s="53" t="s">
        <v>173</v>
      </c>
      <c r="G28" s="53" t="s">
        <v>149</v>
      </c>
      <c r="H28" s="48" t="s">
        <v>142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54">
        <v>0</v>
      </c>
      <c r="R28" s="54">
        <v>0</v>
      </c>
      <c r="S28" s="54">
        <v>0</v>
      </c>
      <c r="T28" s="54">
        <v>0</v>
      </c>
      <c r="U28" s="54">
        <f>SUM(I28:T28)</f>
        <v>0</v>
      </c>
      <c r="V28" s="55"/>
    </row>
    <row r="29" spans="1:22" s="56" customFormat="1" outlineLevel="1" x14ac:dyDescent="0.25">
      <c r="A29" s="52" t="s">
        <v>168</v>
      </c>
      <c r="B29" s="52" t="s">
        <v>174</v>
      </c>
      <c r="C29" s="52" t="s">
        <v>170</v>
      </c>
      <c r="D29" s="52" t="s">
        <v>171</v>
      </c>
      <c r="E29" s="52" t="s">
        <v>175</v>
      </c>
      <c r="F29" s="53" t="s">
        <v>176</v>
      </c>
      <c r="G29" s="52" t="s">
        <v>149</v>
      </c>
      <c r="H29" s="48"/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54">
        <v>0</v>
      </c>
      <c r="R29" s="54">
        <v>0</v>
      </c>
      <c r="S29" s="54">
        <v>0</v>
      </c>
      <c r="T29" s="54">
        <v>0</v>
      </c>
      <c r="U29" s="54">
        <f>SUM(I29:T29)</f>
        <v>0</v>
      </c>
    </row>
    <row r="30" spans="1:22" s="56" customFormat="1" outlineLevel="1" x14ac:dyDescent="0.25">
      <c r="A30" s="57" t="s">
        <v>168</v>
      </c>
      <c r="B30" s="57"/>
      <c r="C30" s="57"/>
      <c r="D30" s="57"/>
      <c r="E30" s="57"/>
      <c r="F30" s="57"/>
      <c r="G30" s="57"/>
      <c r="H30" s="57"/>
      <c r="I30" s="40">
        <f>SUM(I28:I29)</f>
        <v>0</v>
      </c>
      <c r="J30" s="40">
        <f t="shared" ref="J30:U30" si="4">SUM(J28:J29)</f>
        <v>0</v>
      </c>
      <c r="K30" s="40">
        <f t="shared" si="4"/>
        <v>0</v>
      </c>
      <c r="L30" s="40">
        <f t="shared" si="4"/>
        <v>0</v>
      </c>
      <c r="M30" s="40">
        <f t="shared" si="4"/>
        <v>0</v>
      </c>
      <c r="N30" s="40">
        <f t="shared" si="4"/>
        <v>0</v>
      </c>
      <c r="O30" s="40">
        <f t="shared" si="4"/>
        <v>0</v>
      </c>
      <c r="P30" s="40">
        <f t="shared" si="4"/>
        <v>0</v>
      </c>
      <c r="Q30" s="40">
        <f t="shared" si="4"/>
        <v>0</v>
      </c>
      <c r="R30" s="40">
        <f t="shared" si="4"/>
        <v>0</v>
      </c>
      <c r="S30" s="40">
        <f t="shared" si="4"/>
        <v>0</v>
      </c>
      <c r="T30" s="40">
        <f t="shared" si="4"/>
        <v>0</v>
      </c>
      <c r="U30" s="40">
        <f t="shared" si="4"/>
        <v>0</v>
      </c>
    </row>
    <row r="31" spans="1:22" s="56" customFormat="1" outlineLevel="1" x14ac:dyDescent="0.25">
      <c r="A31" s="52" t="s">
        <v>177</v>
      </c>
      <c r="B31" s="52" t="s">
        <v>178</v>
      </c>
      <c r="C31" s="52" t="s">
        <v>170</v>
      </c>
      <c r="D31" s="52"/>
      <c r="E31" s="52"/>
      <c r="F31" s="53" t="s">
        <v>179</v>
      </c>
      <c r="G31" s="52"/>
      <c r="H31" s="48" t="s">
        <v>180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4">
        <v>0</v>
      </c>
      <c r="O31" s="54">
        <v>0</v>
      </c>
      <c r="P31" s="54">
        <v>0</v>
      </c>
      <c r="Q31" s="54">
        <v>0</v>
      </c>
      <c r="R31" s="54">
        <v>0</v>
      </c>
      <c r="S31" s="54">
        <v>0</v>
      </c>
      <c r="T31" s="54">
        <v>0</v>
      </c>
      <c r="U31" s="54">
        <f>SUM(I31:T31)</f>
        <v>0</v>
      </c>
    </row>
    <row r="32" spans="1:22" s="56" customFormat="1" outlineLevel="1" x14ac:dyDescent="0.25">
      <c r="A32" s="52" t="s">
        <v>177</v>
      </c>
      <c r="B32" s="52" t="s">
        <v>181</v>
      </c>
      <c r="C32" s="52" t="s">
        <v>182</v>
      </c>
      <c r="D32" s="52" t="s">
        <v>171</v>
      </c>
      <c r="E32" s="52"/>
      <c r="F32" s="52" t="s">
        <v>183</v>
      </c>
      <c r="G32" s="52"/>
      <c r="H32" s="48"/>
      <c r="I32" s="54">
        <v>0</v>
      </c>
      <c r="J32" s="54">
        <v>0</v>
      </c>
      <c r="K32" s="54">
        <v>0</v>
      </c>
      <c r="L32" s="54">
        <v>0</v>
      </c>
      <c r="M32" s="54">
        <v>0</v>
      </c>
      <c r="N32" s="54">
        <v>0</v>
      </c>
      <c r="O32" s="54">
        <v>0</v>
      </c>
      <c r="P32" s="54">
        <v>0</v>
      </c>
      <c r="Q32" s="54">
        <v>0</v>
      </c>
      <c r="R32" s="54">
        <v>0</v>
      </c>
      <c r="S32" s="54">
        <v>0</v>
      </c>
      <c r="T32" s="54">
        <v>0</v>
      </c>
      <c r="U32" s="54">
        <f>SUM(I32:T32)</f>
        <v>0</v>
      </c>
    </row>
    <row r="33" spans="1:21" s="56" customFormat="1" outlineLevel="1" x14ac:dyDescent="0.25">
      <c r="A33" s="52" t="s">
        <v>177</v>
      </c>
      <c r="B33" s="48" t="s">
        <v>184</v>
      </c>
      <c r="C33" s="52" t="s">
        <v>170</v>
      </c>
      <c r="D33" s="52" t="s">
        <v>185</v>
      </c>
      <c r="E33" s="52"/>
      <c r="F33" s="52" t="s">
        <v>186</v>
      </c>
      <c r="G33" s="52"/>
      <c r="H33" s="48" t="s">
        <v>180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0</v>
      </c>
      <c r="P33" s="54">
        <v>0</v>
      </c>
      <c r="Q33" s="54">
        <v>0</v>
      </c>
      <c r="R33" s="54">
        <v>0</v>
      </c>
      <c r="S33" s="54">
        <v>0</v>
      </c>
      <c r="T33" s="54">
        <v>0</v>
      </c>
      <c r="U33" s="54">
        <f>SUM(I33:T33)</f>
        <v>0</v>
      </c>
    </row>
    <row r="34" spans="1:21" s="50" customFormat="1" x14ac:dyDescent="0.25">
      <c r="A34" s="26" t="s">
        <v>177</v>
      </c>
      <c r="B34" s="57"/>
      <c r="C34" s="57"/>
      <c r="D34" s="57"/>
      <c r="E34" s="57"/>
      <c r="F34" s="57"/>
      <c r="G34" s="57"/>
      <c r="H34" s="57"/>
      <c r="I34" s="40">
        <f>SUM(I31:I33)</f>
        <v>0</v>
      </c>
      <c r="J34" s="40">
        <f t="shared" ref="J34:U34" si="5">SUM(J31:J33)</f>
        <v>0</v>
      </c>
      <c r="K34" s="40">
        <f t="shared" si="5"/>
        <v>0</v>
      </c>
      <c r="L34" s="40">
        <f t="shared" si="5"/>
        <v>0</v>
      </c>
      <c r="M34" s="40">
        <f t="shared" si="5"/>
        <v>0</v>
      </c>
      <c r="N34" s="40">
        <f t="shared" si="5"/>
        <v>0</v>
      </c>
      <c r="O34" s="40">
        <f t="shared" si="5"/>
        <v>0</v>
      </c>
      <c r="P34" s="40">
        <f t="shared" si="5"/>
        <v>0</v>
      </c>
      <c r="Q34" s="40">
        <f t="shared" si="5"/>
        <v>0</v>
      </c>
      <c r="R34" s="40">
        <f t="shared" si="5"/>
        <v>0</v>
      </c>
      <c r="S34" s="40">
        <f t="shared" si="5"/>
        <v>0</v>
      </c>
      <c r="T34" s="40">
        <f t="shared" si="5"/>
        <v>0</v>
      </c>
      <c r="U34" s="40">
        <f t="shared" si="5"/>
        <v>0</v>
      </c>
    </row>
    <row r="35" spans="1:21" s="62" customFormat="1" x14ac:dyDescent="0.25">
      <c r="A35" s="58" t="s">
        <v>23</v>
      </c>
      <c r="B35" s="59"/>
      <c r="C35" s="59"/>
      <c r="D35" s="59"/>
      <c r="E35" s="60"/>
      <c r="F35" s="59"/>
      <c r="G35" s="59"/>
      <c r="H35" s="59"/>
      <c r="I35" s="61">
        <f>SUM(I34)</f>
        <v>0</v>
      </c>
      <c r="J35" s="61">
        <f t="shared" ref="J35:T35" si="6">SUM(J34)</f>
        <v>0</v>
      </c>
      <c r="K35" s="61">
        <f t="shared" si="6"/>
        <v>0</v>
      </c>
      <c r="L35" s="61">
        <f t="shared" si="6"/>
        <v>0</v>
      </c>
      <c r="M35" s="61">
        <f t="shared" si="6"/>
        <v>0</v>
      </c>
      <c r="N35" s="61">
        <f t="shared" si="6"/>
        <v>0</v>
      </c>
      <c r="O35" s="61">
        <f t="shared" si="6"/>
        <v>0</v>
      </c>
      <c r="P35" s="61">
        <f t="shared" si="6"/>
        <v>0</v>
      </c>
      <c r="Q35" s="61">
        <f t="shared" si="6"/>
        <v>0</v>
      </c>
      <c r="R35" s="61">
        <f t="shared" si="6"/>
        <v>0</v>
      </c>
      <c r="S35" s="61">
        <f t="shared" si="6"/>
        <v>0</v>
      </c>
      <c r="T35" s="61">
        <f t="shared" si="6"/>
        <v>0</v>
      </c>
      <c r="U35" s="61">
        <f>SUM(I35:T35)</f>
        <v>0</v>
      </c>
    </row>
    <row r="36" spans="1:21" x14ac:dyDescent="0.25">
      <c r="A36" s="143" t="s">
        <v>187</v>
      </c>
      <c r="B36" s="145"/>
      <c r="C36" s="146"/>
      <c r="D36" s="146"/>
      <c r="E36" s="146"/>
      <c r="F36" s="146"/>
      <c r="G36" s="146"/>
      <c r="H36" s="147"/>
      <c r="I36" s="137">
        <f>SUM(I25,I35)</f>
        <v>0</v>
      </c>
      <c r="J36" s="137">
        <f t="shared" ref="J36:U36" si="7">SUM(J25,J35)</f>
        <v>0</v>
      </c>
      <c r="K36" s="137">
        <f t="shared" si="7"/>
        <v>0</v>
      </c>
      <c r="L36" s="137">
        <f t="shared" si="7"/>
        <v>0</v>
      </c>
      <c r="M36" s="137">
        <f t="shared" si="7"/>
        <v>0</v>
      </c>
      <c r="N36" s="137">
        <f t="shared" si="7"/>
        <v>0</v>
      </c>
      <c r="O36" s="137">
        <f t="shared" si="7"/>
        <v>0</v>
      </c>
      <c r="P36" s="137">
        <f t="shared" si="7"/>
        <v>0</v>
      </c>
      <c r="Q36" s="137">
        <f t="shared" si="7"/>
        <v>0</v>
      </c>
      <c r="R36" s="137">
        <f t="shared" si="7"/>
        <v>0</v>
      </c>
      <c r="S36" s="137">
        <f t="shared" si="7"/>
        <v>0</v>
      </c>
      <c r="T36" s="137">
        <f t="shared" si="7"/>
        <v>0</v>
      </c>
      <c r="U36" s="137">
        <f t="shared" si="7"/>
        <v>0</v>
      </c>
    </row>
    <row r="37" spans="1:21" x14ac:dyDescent="0.25">
      <c r="A37" s="144"/>
      <c r="B37" s="148"/>
      <c r="C37" s="149"/>
      <c r="D37" s="149"/>
      <c r="E37" s="149"/>
      <c r="F37" s="149"/>
      <c r="G37" s="149"/>
      <c r="H37" s="150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</row>
    <row r="41" spans="1:21" x14ac:dyDescent="0.25">
      <c r="L41" s="65"/>
    </row>
    <row r="42" spans="1:21" ht="14.5" x14ac:dyDescent="0.35">
      <c r="C42" s="66" t="s">
        <v>24</v>
      </c>
      <c r="D42" s="20" t="s">
        <v>105</v>
      </c>
      <c r="E42" s="48" t="s">
        <v>184</v>
      </c>
      <c r="F42" s="52"/>
      <c r="G42" s="52" t="s">
        <v>185</v>
      </c>
    </row>
    <row r="43" spans="1:21" ht="14.5" x14ac:dyDescent="0.35">
      <c r="C43" s="2" t="s">
        <v>25</v>
      </c>
      <c r="D43" s="20" t="s">
        <v>105</v>
      </c>
      <c r="E43" s="48" t="s">
        <v>184</v>
      </c>
    </row>
    <row r="44" spans="1:21" ht="14.5" x14ac:dyDescent="0.35">
      <c r="C44" s="66" t="s">
        <v>46</v>
      </c>
      <c r="D44" s="67" t="s">
        <v>105</v>
      </c>
      <c r="E44" s="67" t="s">
        <v>121</v>
      </c>
      <c r="F44" s="68" t="s">
        <v>123</v>
      </c>
    </row>
    <row r="45" spans="1:21" ht="14.5" x14ac:dyDescent="0.35">
      <c r="C45" s="2" t="s">
        <v>48</v>
      </c>
      <c r="D45" s="20" t="s">
        <v>105</v>
      </c>
      <c r="E45" s="20" t="s">
        <v>121</v>
      </c>
      <c r="F45" s="21" t="s">
        <v>123</v>
      </c>
    </row>
    <row r="46" spans="1:21" ht="14.5" x14ac:dyDescent="0.35">
      <c r="C46" s="2" t="s">
        <v>47</v>
      </c>
      <c r="D46" s="29" t="s">
        <v>143</v>
      </c>
      <c r="E46" s="29" t="s">
        <v>150</v>
      </c>
      <c r="F46" s="30" t="s">
        <v>151</v>
      </c>
    </row>
    <row r="47" spans="1:21" ht="14.5" x14ac:dyDescent="0.25">
      <c r="C47" s="7" t="s">
        <v>41</v>
      </c>
      <c r="D47" s="20" t="s">
        <v>105</v>
      </c>
      <c r="E47" s="20" t="s">
        <v>121</v>
      </c>
      <c r="F47" s="21" t="s">
        <v>123</v>
      </c>
    </row>
    <row r="48" spans="1:21" ht="14.5" x14ac:dyDescent="0.35">
      <c r="C48" s="9" t="s">
        <v>26</v>
      </c>
      <c r="D48" s="20" t="s">
        <v>105</v>
      </c>
      <c r="E48" s="20" t="s">
        <v>106</v>
      </c>
      <c r="F48" s="21" t="s">
        <v>107</v>
      </c>
    </row>
    <row r="49" spans="3:7" ht="14.5" x14ac:dyDescent="0.35">
      <c r="C49" s="2" t="s">
        <v>27</v>
      </c>
      <c r="D49" s="20" t="s">
        <v>105</v>
      </c>
      <c r="E49" s="20" t="s">
        <v>121</v>
      </c>
      <c r="F49" s="21" t="s">
        <v>123</v>
      </c>
    </row>
    <row r="50" spans="3:7" ht="14.5" x14ac:dyDescent="0.35">
      <c r="C50" s="2" t="s">
        <v>28</v>
      </c>
      <c r="D50" s="20" t="s">
        <v>105</v>
      </c>
      <c r="E50" s="20" t="s">
        <v>121</v>
      </c>
      <c r="F50" s="21" t="s">
        <v>123</v>
      </c>
    </row>
    <row r="51" spans="3:7" ht="14.5" x14ac:dyDescent="0.35">
      <c r="C51" s="2" t="s">
        <v>49</v>
      </c>
      <c r="D51" s="20" t="s">
        <v>105</v>
      </c>
      <c r="E51" s="48" t="s">
        <v>184</v>
      </c>
    </row>
    <row r="52" spans="3:7" ht="14.5" x14ac:dyDescent="0.35">
      <c r="C52" s="2" t="s">
        <v>30</v>
      </c>
      <c r="D52" s="20" t="s">
        <v>105</v>
      </c>
      <c r="E52" s="20" t="s">
        <v>137</v>
      </c>
      <c r="F52" s="21" t="s">
        <v>138</v>
      </c>
    </row>
    <row r="53" spans="3:7" ht="14.5" x14ac:dyDescent="0.35">
      <c r="C53" s="2" t="s">
        <v>31</v>
      </c>
      <c r="D53" s="20" t="s">
        <v>105</v>
      </c>
      <c r="E53" s="20" t="s">
        <v>106</v>
      </c>
      <c r="F53" s="21" t="s">
        <v>107</v>
      </c>
    </row>
    <row r="54" spans="3:7" ht="14.5" x14ac:dyDescent="0.35">
      <c r="C54" s="2" t="s">
        <v>32</v>
      </c>
      <c r="D54" s="20" t="s">
        <v>105</v>
      </c>
      <c r="E54" s="48" t="s">
        <v>184</v>
      </c>
    </row>
    <row r="55" spans="3:7" ht="14.5" x14ac:dyDescent="0.35">
      <c r="C55" s="2" t="s">
        <v>29</v>
      </c>
      <c r="D55" s="20" t="s">
        <v>105</v>
      </c>
      <c r="E55" s="20" t="s">
        <v>121</v>
      </c>
      <c r="F55" s="21" t="s">
        <v>122</v>
      </c>
    </row>
    <row r="56" spans="3:7" ht="14.5" x14ac:dyDescent="0.35">
      <c r="C56" t="s">
        <v>42</v>
      </c>
      <c r="D56" s="20" t="s">
        <v>105</v>
      </c>
      <c r="E56" s="20" t="s">
        <v>127</v>
      </c>
      <c r="F56" s="21" t="s">
        <v>132</v>
      </c>
    </row>
    <row r="57" spans="3:7" ht="14.5" x14ac:dyDescent="0.35">
      <c r="C57" t="s">
        <v>44</v>
      </c>
      <c r="D57" s="20" t="s">
        <v>105</v>
      </c>
      <c r="E57" s="20" t="s">
        <v>127</v>
      </c>
      <c r="F57" s="21" t="s">
        <v>132</v>
      </c>
    </row>
    <row r="58" spans="3:7" ht="14.5" x14ac:dyDescent="0.35">
      <c r="C58" s="2" t="s">
        <v>43</v>
      </c>
      <c r="D58" s="20" t="s">
        <v>105</v>
      </c>
      <c r="E58" s="48" t="s">
        <v>184</v>
      </c>
    </row>
    <row r="59" spans="3:7" ht="14.5" x14ac:dyDescent="0.35">
      <c r="C59" s="2" t="s">
        <v>39</v>
      </c>
      <c r="D59" s="20" t="s">
        <v>105</v>
      </c>
      <c r="E59" s="48" t="s">
        <v>184</v>
      </c>
    </row>
    <row r="60" spans="3:7" ht="13" x14ac:dyDescent="0.3">
      <c r="C60" s="1" t="s">
        <v>45</v>
      </c>
      <c r="D60" s="29" t="s">
        <v>143</v>
      </c>
      <c r="E60" s="29" t="s">
        <v>144</v>
      </c>
      <c r="F60" s="30" t="s">
        <v>188</v>
      </c>
    </row>
    <row r="61" spans="3:7" ht="13" x14ac:dyDescent="0.25">
      <c r="C61" s="3" t="s">
        <v>36</v>
      </c>
      <c r="F61" s="63" t="s">
        <v>189</v>
      </c>
    </row>
    <row r="62" spans="3:7" ht="13" x14ac:dyDescent="0.3">
      <c r="C62" s="1" t="s">
        <v>50</v>
      </c>
      <c r="D62" s="20" t="s">
        <v>105</v>
      </c>
      <c r="E62" s="20" t="s">
        <v>117</v>
      </c>
      <c r="F62" s="21" t="s">
        <v>118</v>
      </c>
      <c r="G62" s="21" t="s">
        <v>108</v>
      </c>
    </row>
    <row r="63" spans="3:7" ht="13" x14ac:dyDescent="0.3">
      <c r="C63" s="1" t="s">
        <v>51</v>
      </c>
      <c r="D63" s="20" t="s">
        <v>105</v>
      </c>
      <c r="E63" s="20" t="s">
        <v>117</v>
      </c>
      <c r="F63" s="21" t="s">
        <v>118</v>
      </c>
      <c r="G63" s="21" t="s">
        <v>108</v>
      </c>
    </row>
    <row r="64" spans="3:7" ht="13" x14ac:dyDescent="0.25">
      <c r="C64" s="3" t="s">
        <v>35</v>
      </c>
    </row>
    <row r="65" spans="3:6" ht="13" x14ac:dyDescent="0.25">
      <c r="C65" s="4" t="s">
        <v>11</v>
      </c>
      <c r="D65" s="67" t="s">
        <v>105</v>
      </c>
      <c r="E65" s="67" t="s">
        <v>106</v>
      </c>
      <c r="F65" s="68" t="s">
        <v>107</v>
      </c>
    </row>
    <row r="66" spans="3:6" ht="13" x14ac:dyDescent="0.25">
      <c r="C66" s="4" t="s">
        <v>12</v>
      </c>
      <c r="D66" s="67" t="s">
        <v>105</v>
      </c>
      <c r="E66" s="67" t="s">
        <v>106</v>
      </c>
      <c r="F66" s="68" t="s">
        <v>107</v>
      </c>
    </row>
    <row r="67" spans="3:6" ht="13" x14ac:dyDescent="0.25">
      <c r="C67" s="6" t="s">
        <v>38</v>
      </c>
      <c r="D67" s="67" t="s">
        <v>105</v>
      </c>
      <c r="E67" s="67" t="s">
        <v>106</v>
      </c>
      <c r="F67" s="68" t="s">
        <v>107</v>
      </c>
    </row>
    <row r="68" spans="3:6" ht="13" x14ac:dyDescent="0.25">
      <c r="C68" s="4" t="s">
        <v>13</v>
      </c>
      <c r="D68" s="67" t="s">
        <v>105</v>
      </c>
      <c r="E68" s="67" t="s">
        <v>106</v>
      </c>
      <c r="F68" s="68" t="s">
        <v>107</v>
      </c>
    </row>
    <row r="69" spans="3:6" ht="13" x14ac:dyDescent="0.25">
      <c r="C69" s="4" t="s">
        <v>14</v>
      </c>
      <c r="D69" s="67" t="s">
        <v>105</v>
      </c>
      <c r="E69" s="67" t="s">
        <v>106</v>
      </c>
      <c r="F69" s="68" t="s">
        <v>107</v>
      </c>
    </row>
  </sheetData>
  <autoFilter ref="A1:U35" xr:uid="{00000000-0001-0000-0000-000000000000}"/>
  <mergeCells count="17">
    <mergeCell ref="P36:P37"/>
    <mergeCell ref="A2:H2"/>
    <mergeCell ref="A27:H27"/>
    <mergeCell ref="A36:A37"/>
    <mergeCell ref="B36:H37"/>
    <mergeCell ref="I36:I37"/>
    <mergeCell ref="J36:J37"/>
    <mergeCell ref="K36:K37"/>
    <mergeCell ref="L36:L37"/>
    <mergeCell ref="M36:M37"/>
    <mergeCell ref="N36:N37"/>
    <mergeCell ref="O36:O37"/>
    <mergeCell ref="Q36:Q37"/>
    <mergeCell ref="R36:R37"/>
    <mergeCell ref="S36:S37"/>
    <mergeCell ref="T36:T37"/>
    <mergeCell ref="U36:U37"/>
  </mergeCells>
  <conditionalFormatting sqref="A1:XFD1 A2 I2:XFD2 A3:XFD26 A27 I27:XFD27 A28:XFD31 A32:T32 U32:XFD33 C33:T33 A33:A35 B34:XFD35 A36:B36 I36:U36 V36:XFD37 A38:XFD41 A42:D43 F42:XFD43 A44:XFD50 A51:D51 F51:XFD51 A52:XFD53 A54:D54 F54:XFD54 A55:XFD57 A58:D59 F58:XFD59 A60:B69 D60:XFD69 A70:XFD1048576">
    <cfRule type="cellIs" dxfId="1" priority="1" operator="lessThan">
      <formula>0</formula>
    </cfRule>
  </conditionalFormatting>
  <conditionalFormatting sqref="I1:I2">
    <cfRule type="cellIs" dxfId="0" priority="2" operator="lessThan">
      <formula>0</formula>
    </cfRule>
  </conditionalFormatting>
  <pageMargins left="0.78740157499999996" right="0.78740157499999996" top="0.984251969" bottom="0.984251969" header="0.4921259845" footer="0.4921259845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C8CE-35C3-47D2-9BF5-B2E1DC065C9F}">
  <dimension ref="A1:L83"/>
  <sheetViews>
    <sheetView topLeftCell="A14" zoomScale="70" zoomScaleNormal="70" workbookViewId="0">
      <selection activeCell="H22" sqref="H22"/>
    </sheetView>
  </sheetViews>
  <sheetFormatPr baseColWidth="10" defaultRowHeight="14.5" x14ac:dyDescent="0.35"/>
  <cols>
    <col min="1" max="1" width="46.81640625" customWidth="1"/>
    <col min="3" max="3" width="14.1796875" bestFit="1" customWidth="1"/>
    <col min="4" max="4" width="26.81640625" bestFit="1" customWidth="1"/>
    <col min="6" max="6" width="12.54296875" bestFit="1" customWidth="1"/>
    <col min="7" max="7" width="14.1796875" bestFit="1" customWidth="1"/>
    <col min="8" max="8" width="15.1796875" bestFit="1" customWidth="1"/>
    <col min="9" max="9" width="12.54296875" bestFit="1" customWidth="1"/>
    <col min="10" max="10" width="14.1796875" bestFit="1" customWidth="1"/>
  </cols>
  <sheetData>
    <row r="1" spans="1:12" x14ac:dyDescent="0.35">
      <c r="A1" t="s">
        <v>54</v>
      </c>
      <c r="B1" t="s">
        <v>52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5">
      <c r="A2" t="s">
        <v>55</v>
      </c>
      <c r="B2" t="s">
        <v>52</v>
      </c>
      <c r="C2" s="5"/>
      <c r="D2" s="5" t="s">
        <v>63</v>
      </c>
      <c r="E2" s="5"/>
      <c r="F2" s="5"/>
      <c r="G2" s="5">
        <v>4250</v>
      </c>
      <c r="H2" s="5" t="s">
        <v>64</v>
      </c>
      <c r="I2" s="5"/>
      <c r="J2" s="5"/>
      <c r="K2" s="5"/>
      <c r="L2" s="5"/>
    </row>
    <row r="3" spans="1:12" x14ac:dyDescent="0.35">
      <c r="A3" t="s">
        <v>56</v>
      </c>
      <c r="B3" t="s">
        <v>82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t="s">
        <v>58</v>
      </c>
      <c r="B4" t="s">
        <v>82</v>
      </c>
      <c r="C4" s="5"/>
      <c r="D4" s="5">
        <v>-10013434700.915796</v>
      </c>
      <c r="E4" s="5" t="s">
        <v>65</v>
      </c>
      <c r="F4" s="5"/>
      <c r="G4" s="5"/>
      <c r="H4" s="5"/>
      <c r="I4" s="5"/>
      <c r="J4" s="5"/>
      <c r="K4" s="5"/>
      <c r="L4" s="5"/>
    </row>
    <row r="5" spans="1:12" x14ac:dyDescent="0.35">
      <c r="A5" s="10" t="s">
        <v>59</v>
      </c>
      <c r="B5" t="s">
        <v>83</v>
      </c>
      <c r="C5" s="5"/>
      <c r="D5" s="5">
        <v>-57684832.243199974</v>
      </c>
      <c r="E5" s="5"/>
      <c r="F5" s="5" t="s">
        <v>66</v>
      </c>
      <c r="G5" s="5"/>
      <c r="H5" s="5"/>
      <c r="I5" s="5"/>
      <c r="J5" s="5"/>
      <c r="K5" s="5"/>
      <c r="L5" s="5"/>
    </row>
    <row r="6" spans="1:12" x14ac:dyDescent="0.35">
      <c r="A6" s="10" t="s">
        <v>60</v>
      </c>
      <c r="B6" t="s">
        <v>52</v>
      </c>
      <c r="C6" s="5"/>
      <c r="D6" s="5">
        <v>-57684832.243199974</v>
      </c>
      <c r="E6" s="5"/>
      <c r="F6" s="5" t="s">
        <v>67</v>
      </c>
      <c r="G6" s="5"/>
      <c r="H6" s="5"/>
      <c r="I6" s="5"/>
      <c r="J6" s="5"/>
      <c r="K6" s="5"/>
      <c r="L6" s="5"/>
    </row>
    <row r="7" spans="1:12" x14ac:dyDescent="0.35">
      <c r="A7" t="s">
        <v>61</v>
      </c>
      <c r="C7" s="5"/>
      <c r="D7" s="5">
        <v>-57684832.243199974</v>
      </c>
      <c r="E7" s="5"/>
      <c r="F7" s="5" t="s">
        <v>68</v>
      </c>
      <c r="G7" s="5"/>
      <c r="H7" s="5"/>
      <c r="I7" s="5"/>
      <c r="J7" s="5"/>
      <c r="K7" s="5"/>
      <c r="L7" s="5"/>
    </row>
    <row r="8" spans="1:12" x14ac:dyDescent="0.35">
      <c r="A8" t="s">
        <v>62</v>
      </c>
      <c r="C8" s="5"/>
      <c r="D8" s="5">
        <v>-57684832.243199974</v>
      </c>
      <c r="E8" s="5"/>
      <c r="F8" s="5" t="s">
        <v>69</v>
      </c>
      <c r="G8" s="5"/>
      <c r="H8" s="5"/>
      <c r="I8" s="5"/>
      <c r="J8" s="5"/>
      <c r="K8" s="5"/>
      <c r="L8" s="5"/>
    </row>
    <row r="9" spans="1:12" x14ac:dyDescent="0.35">
      <c r="A9" t="s">
        <v>57</v>
      </c>
      <c r="B9" t="s">
        <v>52</v>
      </c>
      <c r="C9" s="5"/>
      <c r="D9" s="5">
        <v>-57684832.243199974</v>
      </c>
      <c r="E9" s="5"/>
      <c r="F9" s="5" t="s">
        <v>70</v>
      </c>
      <c r="G9" s="5"/>
      <c r="H9" s="5"/>
      <c r="I9" s="5"/>
      <c r="J9" s="5"/>
      <c r="K9" s="5"/>
      <c r="L9" s="5"/>
    </row>
    <row r="10" spans="1:12" x14ac:dyDescent="0.35">
      <c r="C10" s="5"/>
      <c r="D10" s="5">
        <v>-10301858862.131798</v>
      </c>
      <c r="E10" s="5"/>
      <c r="F10" s="5" t="s">
        <v>23</v>
      </c>
      <c r="G10" s="5">
        <v>-2423966.7910898346</v>
      </c>
      <c r="H10" s="5">
        <v>-92705.050600328948</v>
      </c>
      <c r="I10" s="5">
        <v>170000</v>
      </c>
      <c r="J10" s="5">
        <v>2040000</v>
      </c>
      <c r="K10" s="5"/>
      <c r="L10" s="5"/>
    </row>
    <row r="11" spans="1:12" x14ac:dyDescent="0.35">
      <c r="A11" s="11" t="s">
        <v>84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35">
      <c r="C12" s="5"/>
      <c r="D12" s="5" t="s">
        <v>71</v>
      </c>
      <c r="E12" s="5"/>
      <c r="F12" s="5"/>
      <c r="G12" s="5"/>
      <c r="H12" s="5"/>
      <c r="I12" s="5"/>
      <c r="J12" s="5"/>
      <c r="K12" s="5"/>
      <c r="L12" s="5"/>
    </row>
    <row r="13" spans="1:12" x14ac:dyDescent="0.35"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35">
      <c r="C14" s="5"/>
      <c r="D14" s="5">
        <v>-9525060635.864397</v>
      </c>
      <c r="E14" s="5"/>
      <c r="F14" s="5"/>
      <c r="G14" s="5"/>
      <c r="H14" s="5"/>
      <c r="I14" s="5"/>
      <c r="J14" s="5"/>
      <c r="K14" s="5"/>
      <c r="L14" s="5"/>
    </row>
    <row r="15" spans="1:12" x14ac:dyDescent="0.35">
      <c r="A15" s="12" t="s">
        <v>74</v>
      </c>
      <c r="C15" s="5"/>
      <c r="D15" s="5">
        <v>-57684832.243199974</v>
      </c>
      <c r="E15" s="5"/>
      <c r="F15" s="5" t="s">
        <v>66</v>
      </c>
      <c r="G15" s="5"/>
      <c r="H15" s="5"/>
      <c r="I15" s="5"/>
      <c r="J15" s="5"/>
      <c r="K15" s="5"/>
      <c r="L15" s="5"/>
    </row>
    <row r="16" spans="1:12" x14ac:dyDescent="0.35">
      <c r="C16" s="5"/>
      <c r="D16" s="5">
        <v>-57684832.243199974</v>
      </c>
      <c r="E16" s="5"/>
      <c r="F16" s="5" t="s">
        <v>67</v>
      </c>
      <c r="G16" s="5"/>
      <c r="H16" s="5"/>
      <c r="I16" s="5"/>
      <c r="J16" s="5"/>
      <c r="K16" s="5"/>
      <c r="L16" s="5"/>
    </row>
    <row r="17" spans="1:12" x14ac:dyDescent="0.35">
      <c r="A17" s="8" t="s">
        <v>53</v>
      </c>
      <c r="C17" s="5"/>
      <c r="D17" s="5">
        <v>-57684832.243199974</v>
      </c>
      <c r="E17" s="5"/>
      <c r="F17" s="5" t="s">
        <v>68</v>
      </c>
      <c r="G17" s="5"/>
      <c r="H17" s="5"/>
      <c r="I17" s="5"/>
      <c r="J17" s="5"/>
      <c r="K17" s="5"/>
      <c r="L17" s="5"/>
    </row>
    <row r="18" spans="1:12" x14ac:dyDescent="0.35">
      <c r="A18" s="8" t="s">
        <v>76</v>
      </c>
      <c r="C18" s="5"/>
      <c r="D18" s="5">
        <v>-57684832.243199974</v>
      </c>
      <c r="E18" s="5"/>
      <c r="F18" s="5" t="s">
        <v>69</v>
      </c>
      <c r="G18" s="5"/>
      <c r="H18" s="5"/>
      <c r="I18" s="5"/>
      <c r="J18" s="5"/>
      <c r="K18" s="5"/>
      <c r="L18" s="5"/>
    </row>
    <row r="19" spans="1:12" x14ac:dyDescent="0.35">
      <c r="A19" s="8" t="s">
        <v>75</v>
      </c>
      <c r="C19" s="5"/>
      <c r="D19" s="5">
        <v>-57684832.243199974</v>
      </c>
      <c r="E19" s="5"/>
      <c r="F19" s="5" t="s">
        <v>70</v>
      </c>
      <c r="G19" s="5"/>
      <c r="H19" s="5"/>
      <c r="I19" s="5"/>
      <c r="J19" s="5"/>
      <c r="K19" s="5"/>
      <c r="L19" s="5"/>
    </row>
    <row r="20" spans="1:12" x14ac:dyDescent="0.35">
      <c r="A20" s="8"/>
      <c r="C20" s="5"/>
      <c r="D20" s="5">
        <v>-9813484797.0803986</v>
      </c>
      <c r="E20" s="5"/>
      <c r="F20" s="5"/>
      <c r="G20" s="5">
        <v>-2309055.2463718583</v>
      </c>
      <c r="H20" s="5"/>
      <c r="I20" s="5"/>
      <c r="J20" s="5"/>
      <c r="K20" s="5"/>
      <c r="L20" s="5"/>
    </row>
    <row r="21" spans="1:12" x14ac:dyDescent="0.35">
      <c r="A21" s="8" t="s">
        <v>77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35">
      <c r="A22" s="8" t="s">
        <v>78</v>
      </c>
      <c r="C22" s="5"/>
      <c r="D22" s="11" t="s">
        <v>72</v>
      </c>
      <c r="E22" s="11"/>
      <c r="F22" s="11"/>
      <c r="G22" s="11"/>
      <c r="H22" s="5"/>
      <c r="I22" s="5"/>
      <c r="J22" s="5"/>
      <c r="K22" s="5"/>
      <c r="L22" s="5"/>
    </row>
    <row r="23" spans="1:12" x14ac:dyDescent="0.35">
      <c r="A23" s="8" t="s">
        <v>79</v>
      </c>
      <c r="C23" s="5"/>
      <c r="D23" s="11">
        <v>-9525060635.864397</v>
      </c>
      <c r="E23" s="11"/>
      <c r="F23" s="11"/>
      <c r="G23" s="11"/>
      <c r="H23" s="5"/>
      <c r="I23" s="5"/>
      <c r="J23" s="5"/>
      <c r="K23" s="5"/>
      <c r="L23" s="5"/>
    </row>
    <row r="24" spans="1:12" ht="29" x14ac:dyDescent="0.35">
      <c r="A24" s="13" t="s">
        <v>80</v>
      </c>
      <c r="C24" s="5"/>
      <c r="D24" s="11">
        <v>-57684832.243199974</v>
      </c>
      <c r="E24" s="11"/>
      <c r="F24" s="11" t="s">
        <v>66</v>
      </c>
      <c r="G24" s="11"/>
      <c r="H24" s="5"/>
      <c r="I24" s="5"/>
      <c r="J24" s="5"/>
      <c r="K24" s="5"/>
      <c r="L24" s="5"/>
    </row>
    <row r="25" spans="1:12" x14ac:dyDescent="0.35">
      <c r="A25" s="8" t="s">
        <v>81</v>
      </c>
      <c r="C25" s="5"/>
      <c r="D25" s="11">
        <v>-57684832.243199974</v>
      </c>
      <c r="E25" s="11"/>
      <c r="F25" s="11" t="s">
        <v>67</v>
      </c>
      <c r="G25" s="11"/>
      <c r="H25" s="5"/>
      <c r="I25" s="5"/>
      <c r="J25" s="5"/>
      <c r="K25" s="5"/>
      <c r="L25" s="5"/>
    </row>
    <row r="26" spans="1:12" x14ac:dyDescent="0.35">
      <c r="C26" s="5"/>
      <c r="D26" s="11">
        <v>-57684832.243199974</v>
      </c>
      <c r="E26" s="11"/>
      <c r="F26" s="11" t="s">
        <v>68</v>
      </c>
      <c r="G26" s="11"/>
      <c r="H26" s="5"/>
      <c r="I26" s="5"/>
      <c r="J26" s="5"/>
      <c r="K26" s="5"/>
      <c r="L26" s="5"/>
    </row>
    <row r="27" spans="1:12" x14ac:dyDescent="0.35">
      <c r="C27" s="5"/>
      <c r="D27" s="11">
        <v>-57684832.243199974</v>
      </c>
      <c r="E27" s="11"/>
      <c r="F27" s="11" t="s">
        <v>69</v>
      </c>
      <c r="G27" s="11"/>
      <c r="H27" s="5"/>
      <c r="I27" s="5"/>
      <c r="J27" s="5"/>
      <c r="K27" s="5"/>
      <c r="L27" s="5"/>
    </row>
    <row r="28" spans="1:12" x14ac:dyDescent="0.35">
      <c r="C28" s="5"/>
      <c r="D28" s="11">
        <v>-57684832.243199974</v>
      </c>
      <c r="E28" s="11"/>
      <c r="F28" s="11" t="s">
        <v>70</v>
      </c>
      <c r="G28" s="11"/>
      <c r="H28" s="5"/>
      <c r="I28" s="5"/>
      <c r="J28" s="5"/>
      <c r="K28" s="5"/>
      <c r="L28" s="5"/>
    </row>
    <row r="29" spans="1:12" x14ac:dyDescent="0.35">
      <c r="C29" s="5"/>
      <c r="D29" s="11">
        <v>-23594400</v>
      </c>
      <c r="E29" s="11"/>
      <c r="F29" s="11" t="s">
        <v>73</v>
      </c>
      <c r="G29" s="11"/>
      <c r="H29" s="5"/>
      <c r="I29" s="5"/>
      <c r="J29" s="5"/>
      <c r="K29" s="5"/>
      <c r="L29" s="5"/>
    </row>
    <row r="30" spans="1:12" x14ac:dyDescent="0.35">
      <c r="C30" s="5"/>
      <c r="D30" s="11">
        <v>-23594400</v>
      </c>
      <c r="E30" s="11"/>
      <c r="F30" s="11" t="s">
        <v>73</v>
      </c>
      <c r="G30" s="11"/>
      <c r="H30" s="5"/>
      <c r="I30" s="5"/>
      <c r="J30" s="5"/>
      <c r="K30" s="5"/>
      <c r="L30" s="5"/>
    </row>
    <row r="31" spans="1:12" x14ac:dyDescent="0.35">
      <c r="C31" s="5"/>
      <c r="D31" s="11">
        <v>-23594400</v>
      </c>
      <c r="E31" s="11"/>
      <c r="F31" s="11" t="s">
        <v>73</v>
      </c>
      <c r="G31" s="11"/>
      <c r="H31" s="5"/>
      <c r="I31" s="5"/>
      <c r="J31" s="5"/>
      <c r="K31" s="5"/>
      <c r="L31" s="5"/>
    </row>
    <row r="32" spans="1:12" x14ac:dyDescent="0.35">
      <c r="C32" s="5"/>
      <c r="D32" s="11">
        <v>-23594400</v>
      </c>
      <c r="E32" s="11"/>
      <c r="F32" s="11" t="s">
        <v>73</v>
      </c>
      <c r="G32" s="11"/>
      <c r="H32" s="5"/>
      <c r="I32" s="5"/>
      <c r="J32" s="5"/>
      <c r="K32" s="5"/>
      <c r="L32" s="5"/>
    </row>
    <row r="33" spans="3:12" x14ac:dyDescent="0.35">
      <c r="C33" s="5"/>
      <c r="D33" s="11">
        <v>-9907862397.0803986</v>
      </c>
      <c r="E33" s="11"/>
      <c r="F33" s="11"/>
      <c r="G33" s="11">
        <v>-2331261.7404895057</v>
      </c>
      <c r="H33" s="5"/>
      <c r="I33" s="5"/>
      <c r="J33" s="5"/>
      <c r="K33" s="5"/>
      <c r="L33" s="5"/>
    </row>
    <row r="34" spans="3:12" x14ac:dyDescent="0.35"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3:12" x14ac:dyDescent="0.35"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3:12" x14ac:dyDescent="0.35">
      <c r="C36" s="5">
        <v>1160000</v>
      </c>
      <c r="D36" s="5">
        <v>1310799.9999999998</v>
      </c>
      <c r="E36" s="5"/>
      <c r="F36" s="5">
        <v>655399.99999999988</v>
      </c>
      <c r="G36" s="5">
        <v>1966199.9999999995</v>
      </c>
      <c r="H36" s="5">
        <v>23594399.999999993</v>
      </c>
      <c r="I36" s="5"/>
      <c r="J36" s="5"/>
      <c r="K36" s="5"/>
      <c r="L36" s="5"/>
    </row>
    <row r="37" spans="3:12" x14ac:dyDescent="0.35"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3:12" x14ac:dyDescent="0.35"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3:12" x14ac:dyDescent="0.35"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3:12" x14ac:dyDescent="0.35"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3:12" x14ac:dyDescent="0.35"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3:12" x14ac:dyDescent="0.35"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3:12" x14ac:dyDescent="0.35"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35"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35"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35"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35"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35"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35"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35"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35"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35"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35"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35"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35"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35"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35"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35"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35"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35"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35"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35"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35"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35"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35"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3:12" x14ac:dyDescent="0.35"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3:12" x14ac:dyDescent="0.35"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3:12" x14ac:dyDescent="0.35"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3:12" x14ac:dyDescent="0.35"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3:12" x14ac:dyDescent="0.35"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3:12" x14ac:dyDescent="0.35"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3:12" x14ac:dyDescent="0.35"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3:12" x14ac:dyDescent="0.35"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3:12" x14ac:dyDescent="0.35"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3:12" x14ac:dyDescent="0.35"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3:12" x14ac:dyDescent="0.35"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3:12" x14ac:dyDescent="0.35"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3:12" x14ac:dyDescent="0.35"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3:12" x14ac:dyDescent="0.35"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3:12" x14ac:dyDescent="0.35"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3:12" x14ac:dyDescent="0.35"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3:12" x14ac:dyDescent="0.35">
      <c r="C83" s="5"/>
      <c r="D83" s="5"/>
      <c r="E83" s="5"/>
      <c r="F83" s="5"/>
      <c r="G83" s="5"/>
      <c r="H83" s="5"/>
      <c r="I83" s="5"/>
      <c r="J83" s="5"/>
      <c r="K83" s="5"/>
      <c r="L83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6556DBA09C30439C5C09DA19FF8880" ma:contentTypeVersion="14" ma:contentTypeDescription="Crear nuevo documento." ma:contentTypeScope="" ma:versionID="684cb77eeaadc58b63e0a05f2ac98248">
  <xsd:schema xmlns:xsd="http://www.w3.org/2001/XMLSchema" xmlns:xs="http://www.w3.org/2001/XMLSchema" xmlns:p="http://schemas.microsoft.com/office/2006/metadata/properties" xmlns:ns2="3339edf2-cd88-4e92-9910-32e7e5832556" xmlns:ns3="d5dcee30-359a-4489-9aaa-d1b205cce266" targetNamespace="http://schemas.microsoft.com/office/2006/metadata/properties" ma:root="true" ma:fieldsID="6e9639dd9b27d70d962eea1b537d71de" ns2:_="" ns3:_="">
    <xsd:import namespace="3339edf2-cd88-4e92-9910-32e7e5832556"/>
    <xsd:import namespace="d5dcee30-359a-4489-9aaa-d1b205cce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9edf2-cd88-4e92-9910-32e7e5832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dd7a111-9761-4ccb-ba91-79ca13af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dcee30-359a-4489-9aaa-d1b205cce2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77fd177-a72f-4701-8af8-417f32cd8aab}" ma:internalName="TaxCatchAll" ma:showField="CatchAllData" ma:web="d5dcee30-359a-4489-9aaa-d1b205cce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39edf2-cd88-4e92-9910-32e7e5832556">
      <Terms xmlns="http://schemas.microsoft.com/office/infopath/2007/PartnerControls"/>
    </lcf76f155ced4ddcb4097134ff3c332f>
    <TaxCatchAll xmlns="d5dcee30-359a-4489-9aaa-d1b205cce26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3A8859-69B4-42A3-9213-E2A887E69E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9edf2-cd88-4e92-9910-32e7e5832556"/>
    <ds:schemaRef ds:uri="d5dcee30-359a-4489-9aaa-d1b205cce2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003228-B0B6-4C4B-9EAF-DEC53E99A340}">
  <ds:schemaRefs>
    <ds:schemaRef ds:uri="http://schemas.microsoft.com/office/2006/metadata/properties"/>
    <ds:schemaRef ds:uri="http://schemas.microsoft.com/office/infopath/2007/PartnerControls"/>
    <ds:schemaRef ds:uri="3339edf2-cd88-4e92-9910-32e7e5832556"/>
    <ds:schemaRef ds:uri="d5dcee30-359a-4489-9aaa-d1b205cce266"/>
  </ds:schemaRefs>
</ds:datastoreItem>
</file>

<file path=customXml/itemProps3.xml><?xml version="1.0" encoding="utf-8"?>
<ds:datastoreItem xmlns:ds="http://schemas.openxmlformats.org/officeDocument/2006/customXml" ds:itemID="{35710570-0126-4DE3-81EB-6BAAAF5168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Anual Sucursal ADM</vt:lpstr>
      <vt:lpstr>Presupuesto mensual ADM General</vt:lpstr>
      <vt:lpstr>BDIT BR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Franco</dc:creator>
  <cp:lastModifiedBy>Ginna Castro Correa</cp:lastModifiedBy>
  <cp:lastPrinted>2025-11-18T12:41:59Z</cp:lastPrinted>
  <dcterms:created xsi:type="dcterms:W3CDTF">2023-11-09T19:28:28Z</dcterms:created>
  <dcterms:modified xsi:type="dcterms:W3CDTF">2026-06-19T16:17:56Z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0x010100506556DBA09C30439C5C09DA19FF8880</vt:lpwstr>
  </property>
  <property fmtid="{D5CDD505-2E9C-101B-9397-08002B2CF9AE}" pid="3" name="MediaServiceImageTags">
    <vt:lpwstr/>
  </property>
</Properties>
</file>